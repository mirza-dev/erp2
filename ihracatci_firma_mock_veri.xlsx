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unler" sheetId="1" state="visible" r:id="rId1"/>
    <sheet name="Musteriler" sheetId="2" state="visible" r:id="rId2"/>
    <sheet name="Satis_Temsilcileri" sheetId="3" state="visible" r:id="rId3"/>
    <sheet name="Teklifler" sheetId="4" state="visible" r:id="rId4"/>
    <sheet name="Siparisler" sheetId="5" state="visible" r:id="rId5"/>
    <sheet name="Siparis_Kalemleri" sheetId="6" state="visible" r:id="rId6"/>
    <sheet name="Sevkiyatlar" sheetId="7" state="visible" r:id="rId7"/>
    <sheet name="Faturalar" sheetId="8" state="visible" r:id="rId8"/>
    <sheet name="Tahsilatlar" sheetId="9" state="visible" r:id="rId9"/>
    <sheet name="Stok" sheetId="10" state="visible" r:id="rId10"/>
    <sheet name="Tedarikciler" sheetId="11" state="visible" r:id="rId11"/>
    <sheet name="Kur_Tablosu" sheetId="12" state="visible" r:id="rId12"/>
    <sheet name="Ulke_Lojistik_Parametreleri" sheetId="13" state="visible" r:id="rId13"/>
    <sheet name="Ozet_KPI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6">
    <numFmt numFmtId="164" formatCode="$&quot;#,##0.00;[Red]($&quot;#,##0.00);-"/>
    <numFmt numFmtId="165" formatCode="0.0%"/>
    <numFmt numFmtId="166" formatCode="#,##0;[Red](#,##0);-"/>
    <numFmt numFmtId="167" formatCode="yyyy-mm-dd"/>
    <numFmt numFmtId="168" formatCode="DD.MM.YYYY"/>
    <numFmt numFmtId="169" formatCode="#,##0.0;[Red](#,##0.0);-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F172A"/>
      <sz val="14"/>
    </font>
    <font>
      <name val="Calibri"/>
      <family val="2"/>
      <color theme="10"/>
      <sz val="12"/>
      <scheme val="minor"/>
    </font>
    <font>
      <b val="1"/>
      <color rgb="000F172A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F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8" fontId="0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1"/>
    <xf numFmtId="0" fontId="1" fillId="2" borderId="1" pivotButton="0" quotePrefix="0" xfId="0"/>
    <xf numFmtId="164" fontId="1" fillId="2" borderId="1" pivotButton="0" quotePrefix="0" xfId="0"/>
    <xf numFmtId="169" fontId="0" fillId="0" borderId="1" pivotButton="0" quotePrefix="0" xfId="0"/>
    <xf numFmtId="0" fontId="4" fillId="3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Codex</author>
  </authors>
  <commentList>
    <comment ref="B2" authorId="0" shapeId="0">
      <text>
        <t>Referans olarak baz alinan firma sitesi.</t>
      </text>
    </comment>
  </commentList>
</comments>
</file>

<file path=xl/tables/table1.xml><?xml version="1.0" encoding="utf-8"?>
<table xmlns="http://schemas.openxmlformats.org/spreadsheetml/2006/main" id="1" name="TblUrunler" displayName="TblUrunler" ref="A1:O101" headerRowCount="1">
  <autoFilter ref="A1:O101"/>
  <tableColumns count="15">
    <tableColumn id="1" name="Urun_Kodu"/>
    <tableColumn id="2" name="Urun_Adi"/>
    <tableColumn id="3" name="Urun_Ailesi"/>
    <tableColumn id="4" name="Kategori"/>
    <tableColumn id="5" name="Alt_Kategori"/>
    <tableColumn id="6" name="Sektor_Uygunlugu"/>
    <tableColumn id="7" name="Olcu_Birimi"/>
    <tableColumn id="8" name="Standart_Maliyet_USD"/>
    <tableColumn id="9" name="Liste_Fiyati_USD"/>
    <tableColumn id="10" name="Brut_Marj_Hedef_Yuzde"/>
    <tableColumn id="11" name="Termin_Gun"/>
    <tableColumn id="12" name="Min_Siparis_Miktari"/>
    <tableColumn id="13" name="GTIP_Kodu"/>
    <tableColumn id="14" name="Aktif_Pasif"/>
    <tableColumn id="15" name="Birim_Agirlik_K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Musteriler" displayName="TblMusteriler" ref="A1:N85" headerRowCount="1">
  <autoFilter ref="A1:N85"/>
  <tableColumns count="14">
    <tableColumn id="1" name="Musteri_Kodu"/>
    <tableColumn id="2" name="Firma_Adi"/>
    <tableColumn id="3" name="Ulke"/>
    <tableColumn id="4" name="Sehir"/>
    <tableColumn id="5" name="Bolge"/>
    <tableColumn id="6" name="Sektor"/>
    <tableColumn id="7" name="Musteri_Tipi"/>
    <tableColumn id="8" name="Risk_Segmenti"/>
    <tableColumn id="9" name="Odeme_Vadesi_Gun"/>
    <tableColumn id="10" name="Para_Birimi_Tercihi"/>
    <tableColumn id="11" name="Incoterm_Tercihi"/>
    <tableColumn id="12" name="Ilk_Calisma_Tarihi"/>
    <tableColumn id="13" name="Yillik_Hedef_Ciro_USD"/>
    <tableColumn id="14" name="Aktif_Pasi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atisTemsilcileri" displayName="TblSatisTemsilcileri" ref="A1:H9" headerRowCount="1">
  <autoFilter ref="A1:H9"/>
  <tableColumns count="8">
    <tableColumn id="1" name="Temsilci_Kodu"/>
    <tableColumn id="2" name="Ad_Soyad"/>
    <tableColumn id="3" name="Bolge"/>
    <tableColumn id="4" name="Uzmanlik_Alani"/>
    <tableColumn id="5" name="Ise_Giris_Tarihi"/>
    <tableColumn id="6" name="Aylik_Hedef_USD"/>
    <tableColumn id="7" name="Prim_Yuzde"/>
    <tableColumn id="8" name="Aktif_Pasif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Teklifler" displayName="TblTeklifler" ref="A1:M563" headerRowCount="1">
  <autoFilter ref="A1:M563"/>
  <tableColumns count="13">
    <tableColumn id="1" name="Teklif_No"/>
    <tableColumn id="2" name="Teklif_Tarihi"/>
    <tableColumn id="3" name="Musteri_Kodu"/>
    <tableColumn id="4" name="Temsilci_Kodu"/>
    <tableColumn id="5" name="Teklif_Durumu"/>
    <tableColumn id="6" name="Toplam_Tutar_USD"/>
    <tableColumn id="7" name="Para_Birimi"/>
    <tableColumn id="8" name="Kur"/>
    <tableColumn id="9" name="Gecerlilik_Gun"/>
    <tableColumn id="10" name="Incoterm"/>
    <tableColumn id="11" name="Tahmini_Kapanis_Tarihi"/>
    <tableColumn id="12" name="Kazanildi_Kaybedildi"/>
    <tableColumn id="13" name="Kayip_Nedeni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iparisler" displayName="TblSiparisler" ref="A1:O281" headerRowCount="1">
  <autoFilter ref="A1:O281"/>
  <tableColumns count="15">
    <tableColumn id="1" name="Siparis_No"/>
    <tableColumn id="2" name="Siparis_Tarihi"/>
    <tableColumn id="3" name="Musteri_Kodu"/>
    <tableColumn id="4" name="Teklif_No"/>
    <tableColumn id="5" name="Temsilci_Kodu"/>
    <tableColumn id="6" name="Siparis_Durumu"/>
    <tableColumn id="7" name="Para_Birimi"/>
    <tableColumn id="8" name="Kur"/>
    <tableColumn id="9" name="Toplam_Tutar_USD"/>
    <tableColumn id="10" name="Incoterm"/>
    <tableColumn id="11" name="Teslim_Sekli"/>
    <tableColumn id="12" name="Planlanan_Sevk_Tarihi"/>
    <tableColumn id="13" name="Gerceklesen_Sevk_Tarihi"/>
    <tableColumn id="14" name="Teslimat_Gecikme_Gun"/>
    <tableColumn id="15" name="Siparis_Oncelig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SiparisKalemleri" displayName="TblSiparisKalemleri" ref="A1:M1072" headerRowCount="1">
  <autoFilter ref="A1:M1072"/>
  <tableColumns count="13">
    <tableColumn id="1" name="Siparis_Kalem_ID"/>
    <tableColumn id="2" name="Siparis_No"/>
    <tableColumn id="3" name="Urun_Kodu"/>
    <tableColumn id="4" name="Miktar"/>
    <tableColumn id="5" name="Birim"/>
    <tableColumn id="6" name="Birim_Fiyat_USD"/>
    <tableColumn id="7" name="Indirim_Yuzde"/>
    <tableColumn id="8" name="Net_Birim_Fiyat_USD"/>
    <tableColumn id="9" name="Toplam_Tutar_USD"/>
    <tableColumn id="10" name="Standart_Maliyet_USD"/>
    <tableColumn id="11" name="Toplam_Maliyet_USD"/>
    <tableColumn id="12" name="Brut_Kar_USD"/>
    <tableColumn id="13" name="Brut_Kar_Marji_Yuzd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Sevkiyatlar" displayName="TblSevkiyatlar" ref="A1:O332" headerRowCount="1">
  <autoFilter ref="A1:O332"/>
  <tableColumns count="15">
    <tableColumn id="1" name="Sevkiyat_No"/>
    <tableColumn id="2" name="Siparis_No"/>
    <tableColumn id="3" name="Musteri_Kodu"/>
    <tableColumn id="4" name="Ulke"/>
    <tableColumn id="5" name="Sevkiyat_Tarihi"/>
    <tableColumn id="6" name="Tasima_Turu"/>
    <tableColumn id="7" name="Konteyner_Tipi"/>
    <tableColumn id="8" name="Net_Agirlik_Kg"/>
    <tableColumn id="9" name="Brut_Agirlik_Kg"/>
    <tableColumn id="10" name="Navlun_Maliyeti_USD"/>
    <tableColumn id="11" name="Sigorta_Maliyeti_USD"/>
    <tableColumn id="12" name="Gumruk_Maliyeti_USD"/>
    <tableColumn id="13" name="Toplam_Lojistik_Maliyeti_USD"/>
    <tableColumn id="14" name="Teslim_Suresi_Gun"/>
    <tableColumn id="15" name="Sevkiyat_Durumu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Faturalar" displayName="TblFaturalar" ref="A1:L353" headerRowCount="1">
  <autoFilter ref="A1:L353"/>
  <tableColumns count="12">
    <tableColumn id="1" name="Fatura_No"/>
    <tableColumn id="2" name="Fatura_Tarihi"/>
    <tableColumn id="3" name="Siparis_No"/>
    <tableColumn id="4" name="Musteri_Kodu"/>
    <tableColumn id="5" name="Para_Birimi"/>
    <tableColumn id="6" name="Kur"/>
    <tableColumn id="7" name="Fatura_Tutari_Para_Birimi"/>
    <tableColumn id="8" name="Fatura_Tutari_USD"/>
    <tableColumn id="9" name="Vade_Tarihi"/>
    <tableColumn id="10" name="Odeme_Durumu"/>
    <tableColumn id="11" name="KDV_Durumu"/>
    <tableColumn id="12" name="Ihracat_Istisna_Kodu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Tahsilatlar" displayName="TblTahsilatlar" ref="A1:I312" headerRowCount="1">
  <autoFilter ref="A1:I312"/>
  <tableColumns count="9">
    <tableColumn id="1" name="Tahsilat_No"/>
    <tableColumn id="2" name="Fatura_No"/>
    <tableColumn id="3" name="Musteri_Kodu"/>
    <tableColumn id="4" name="Tahsilat_Tarihi"/>
    <tableColumn id="5" name="Tahsil_Edilen_Tutar_USD"/>
    <tableColumn id="6" name="Odeme_Yontemi"/>
    <tableColumn id="7" name="Gecikme_Gun"/>
    <tableColumn id="8" name="Kur_Farki_Etkisi_USD"/>
    <tableColumn id="9" name="Tahsilat_Durumu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ok" displayName="TblStok" ref="A1:I101" headerRowCount="1">
  <autoFilter ref="A1:I101"/>
  <tableColumns count="9">
    <tableColumn id="1" name="Stok_Kayit_ID"/>
    <tableColumn id="2" name="Urun_Kodu"/>
    <tableColumn id="3" name="Depo_Kodu"/>
    <tableColumn id="4" name="Mevcut_Stok"/>
    <tableColumn id="5" name="Rezerve_Stok"/>
    <tableColumn id="6" name="Serbest_Stok"/>
    <tableColumn id="7" name="Guvenlik_Stogu"/>
    <tableColumn id="8" name="Yeniden_Siparis_Noktasi"/>
    <tableColumn id="9" name="Son_Guncelleme_Tarih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Tedarikciler" displayName="TblTedarikciler" ref="A1:I25" headerRowCount="1">
  <autoFilter ref="A1:I25"/>
  <tableColumns count="9">
    <tableColumn id="1" name="Tedarikci_Kodu"/>
    <tableColumn id="2" name="Firma_Adi"/>
    <tableColumn id="3" name="Ulke"/>
    <tableColumn id="4" name="Kategori"/>
    <tableColumn id="5" name="Odeme_Vadesi_Gun"/>
    <tableColumn id="6" name="Para_Birimi"/>
    <tableColumn id="7" name="Teslim_Suresi_Gun"/>
    <tableColumn id="8" name="Kalite_Puani"/>
    <tableColumn id="9" name="Aktif_Pasi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KurTablosu" displayName="TblKurTablosu" ref="A1:D25" headerRowCount="1">
  <autoFilter ref="A1:D25"/>
  <tableColumns count="4">
    <tableColumn id="1" name="Tarih"/>
    <tableColumn id="2" name="USD_TRY"/>
    <tableColumn id="3" name="EUR_TRY"/>
    <tableColumn id="4" name="EUR_US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UlkeLojistik" displayName="TblUlkeLojistik" ref="A1:H13" headerRowCount="1">
  <autoFilter ref="A1:H13"/>
  <tableColumns count="8">
    <tableColumn id="1" name="Ulke"/>
    <tableColumn id="2" name="Bolge"/>
    <tableColumn id="3" name="Varsayilan_Incoterm"/>
    <tableColumn id="4" name="Varsayilan_Tasima_Turu"/>
    <tableColumn id="5" name="Ortalama_Transit_Gun"/>
    <tableColumn id="6" name="Risk_Skoru"/>
    <tableColumn id="7" name="Tahmini_Navlun_USD"/>
    <tableColumn id="8" name="Gumruk_Zorluk_Sko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24" customWidth="1" min="5" max="5"/>
    <col width="26" customWidth="1" min="6" max="6"/>
    <col width="13" customWidth="1" min="7" max="7"/>
    <col width="22" customWidth="1" min="8" max="8"/>
    <col width="18" customWidth="1" min="9" max="9"/>
    <col width="23" customWidth="1" min="10" max="10"/>
    <col width="12" customWidth="1" min="11" max="11"/>
    <col width="21" customWidth="1" min="12" max="12"/>
    <col width="12" customWidth="1" min="13" max="13"/>
    <col width="13" customWidth="1" min="14" max="14"/>
    <col width="18" customWidth="1" min="15" max="15"/>
  </cols>
  <sheetData>
    <row r="1">
      <c r="A1" s="1" t="inlineStr">
        <is>
          <t>Urun_Kodu</t>
        </is>
      </c>
      <c r="B1" s="1" t="inlineStr">
        <is>
          <t>Urun_Adi</t>
        </is>
      </c>
      <c r="C1" s="1" t="inlineStr">
        <is>
          <t>Urun_Ailesi</t>
        </is>
      </c>
      <c r="D1" s="1" t="inlineStr">
        <is>
          <t>Kategori</t>
        </is>
      </c>
      <c r="E1" s="1" t="inlineStr">
        <is>
          <t>Alt_Kategori</t>
        </is>
      </c>
      <c r="F1" s="1" t="inlineStr">
        <is>
          <t>Sektor_Uygunlugu</t>
        </is>
      </c>
      <c r="G1" s="1" t="inlineStr">
        <is>
          <t>Olcu_Birimi</t>
        </is>
      </c>
      <c r="H1" s="1" t="inlineStr">
        <is>
          <t>Standart_Maliyet_USD</t>
        </is>
      </c>
      <c r="I1" s="1" t="inlineStr">
        <is>
          <t>Liste_Fiyati_USD</t>
        </is>
      </c>
      <c r="J1" s="1" t="inlineStr">
        <is>
          <t>Brut_Marj_Hedef_Yuzde</t>
        </is>
      </c>
      <c r="K1" s="1" t="inlineStr">
        <is>
          <t>Termin_Gun</t>
        </is>
      </c>
      <c r="L1" s="1" t="inlineStr">
        <is>
          <t>Min_Siparis_Miktari</t>
        </is>
      </c>
      <c r="M1" s="1" t="inlineStr">
        <is>
          <t>GTIP_Kodu</t>
        </is>
      </c>
      <c r="N1" s="1" t="inlineStr">
        <is>
          <t>Aktif_Pasif</t>
        </is>
      </c>
      <c r="O1" s="1" t="inlineStr">
        <is>
          <t>Birim_Agirlik_Kg</t>
        </is>
      </c>
    </row>
    <row r="2">
      <c r="A2" s="2" t="inlineStr">
        <is>
          <t>ENDVAN-001</t>
        </is>
      </c>
      <c r="B2" s="2" t="inlineStr">
        <is>
          <t>Glob Vana Hijyenik</t>
        </is>
      </c>
      <c r="C2" s="2" t="inlineStr">
        <is>
          <t>Endustriyel Vana</t>
        </is>
      </c>
      <c r="D2" s="2" t="inlineStr">
        <is>
          <t>Kontrol ve Hat Vanalari</t>
        </is>
      </c>
      <c r="E2" s="2" t="inlineStr">
        <is>
          <t>Glob Vana</t>
        </is>
      </c>
      <c r="F2" s="2" t="inlineStr">
        <is>
          <t>Enerji, Su Arıtma, Petrokimya, Kimya</t>
        </is>
      </c>
      <c r="G2" s="2" t="inlineStr">
        <is>
          <t>Adet</t>
        </is>
      </c>
      <c r="H2" s="3" t="n">
        <v>192.02</v>
      </c>
      <c r="I2" s="3" t="n">
        <v>278.48</v>
      </c>
      <c r="J2" s="4" t="n">
        <v>0.2873</v>
      </c>
      <c r="K2" s="5" t="n">
        <v>16</v>
      </c>
      <c r="L2" s="5" t="n">
        <v>4</v>
      </c>
      <c r="M2" s="2" t="inlineStr">
        <is>
          <t>848180</t>
        </is>
      </c>
      <c r="N2" s="2" t="inlineStr">
        <is>
          <t>Aktif</t>
        </is>
      </c>
      <c r="O2" s="5" t="n">
        <v>42.42</v>
      </c>
    </row>
    <row r="3">
      <c r="A3" s="2" t="inlineStr">
        <is>
          <t>ENDVAN-002</t>
        </is>
      </c>
      <c r="B3" s="2" t="inlineStr">
        <is>
          <t>Glob Vana Paslanmaz</t>
        </is>
      </c>
      <c r="C3" s="2" t="inlineStr">
        <is>
          <t>Endustriyel Vana</t>
        </is>
      </c>
      <c r="D3" s="2" t="inlineStr">
        <is>
          <t>Kontrol ve Hat Vanalari</t>
        </is>
      </c>
      <c r="E3" s="2" t="inlineStr">
        <is>
          <t>Glob Vana</t>
        </is>
      </c>
      <c r="F3" s="2" t="inlineStr">
        <is>
          <t>Enerji, Kimya, Petrokimya, Su Arıtma</t>
        </is>
      </c>
      <c r="G3" s="2" t="inlineStr">
        <is>
          <t>Adet</t>
        </is>
      </c>
      <c r="H3" s="3" t="n">
        <v>186.74</v>
      </c>
      <c r="I3" s="3" t="n">
        <v>249.42</v>
      </c>
      <c r="J3" s="4" t="n">
        <v>0.235</v>
      </c>
      <c r="K3" s="5" t="n">
        <v>39</v>
      </c>
      <c r="L3" s="5" t="n">
        <v>10</v>
      </c>
      <c r="M3" s="2" t="inlineStr">
        <is>
          <t>848180</t>
        </is>
      </c>
      <c r="N3" s="2" t="inlineStr">
        <is>
          <t>Aktif</t>
        </is>
      </c>
      <c r="O3" s="5" t="n">
        <v>55.06</v>
      </c>
    </row>
    <row r="4">
      <c r="A4" s="2" t="inlineStr">
        <is>
          <t>ENDVAN-003</t>
        </is>
      </c>
      <c r="B4" s="2" t="inlineStr">
        <is>
          <t>Surgulu Vana ANSI 150</t>
        </is>
      </c>
      <c r="C4" s="2" t="inlineStr">
        <is>
          <t>Endustriyel Vana</t>
        </is>
      </c>
      <c r="D4" s="2" t="inlineStr">
        <is>
          <t>Kontrol ve Hat Vanalari</t>
        </is>
      </c>
      <c r="E4" s="2" t="inlineStr">
        <is>
          <t>Surgulu Vana</t>
        </is>
      </c>
      <c r="F4" s="2" t="inlineStr">
        <is>
          <t>Dogal Gaz, Kimya</t>
        </is>
      </c>
      <c r="G4" s="2" t="inlineStr">
        <is>
          <t>Adet</t>
        </is>
      </c>
      <c r="H4" s="3" t="n">
        <v>1050.24</v>
      </c>
      <c r="I4" s="3" t="n">
        <v>1400.97</v>
      </c>
      <c r="J4" s="4" t="n">
        <v>0.3059</v>
      </c>
      <c r="K4" s="5" t="n">
        <v>31</v>
      </c>
      <c r="L4" s="5" t="n">
        <v>4</v>
      </c>
      <c r="M4" s="2" t="inlineStr">
        <is>
          <t>848180</t>
        </is>
      </c>
      <c r="N4" s="2" t="inlineStr">
        <is>
          <t>Aktif</t>
        </is>
      </c>
      <c r="O4" s="5" t="n">
        <v>65.08</v>
      </c>
    </row>
    <row r="5">
      <c r="A5" s="2" t="inlineStr">
        <is>
          <t>ENDVAN-004</t>
        </is>
      </c>
      <c r="B5" s="2" t="inlineStr">
        <is>
          <t>Surgulu Vana PN16</t>
        </is>
      </c>
      <c r="C5" s="2" t="inlineStr">
        <is>
          <t>Endustriyel Vana</t>
        </is>
      </c>
      <c r="D5" s="2" t="inlineStr">
        <is>
          <t>Kontrol ve Hat Vanalari</t>
        </is>
      </c>
      <c r="E5" s="2" t="inlineStr">
        <is>
          <t>Surgulu Vana</t>
        </is>
      </c>
      <c r="F5" s="2" t="inlineStr">
        <is>
          <t>Petrokimya, Dogal Gaz, Su Arıtma, Enerji</t>
        </is>
      </c>
      <c r="G5" s="2" t="inlineStr">
        <is>
          <t>Adet</t>
        </is>
      </c>
      <c r="H5" s="3" t="n">
        <v>212.53</v>
      </c>
      <c r="I5" s="3" t="n">
        <v>290.69</v>
      </c>
      <c r="J5" s="4" t="n">
        <v>0.2977</v>
      </c>
      <c r="K5" s="5" t="n">
        <v>28</v>
      </c>
      <c r="L5" s="5" t="n">
        <v>4</v>
      </c>
      <c r="M5" s="2" t="inlineStr">
        <is>
          <t>848180</t>
        </is>
      </c>
      <c r="N5" s="2" t="inlineStr">
        <is>
          <t>Aktif</t>
        </is>
      </c>
      <c r="O5" s="5" t="n">
        <v>46.8</v>
      </c>
    </row>
    <row r="6">
      <c r="A6" s="2" t="inlineStr">
        <is>
          <t>ENDVAN-005</t>
        </is>
      </c>
      <c r="B6" s="2" t="inlineStr">
        <is>
          <t>Kelebek Vana PN16</t>
        </is>
      </c>
      <c r="C6" s="2" t="inlineStr">
        <is>
          <t>Endustriyel Vana</t>
        </is>
      </c>
      <c r="D6" s="2" t="inlineStr">
        <is>
          <t>Kontrol ve Hat Vanalari</t>
        </is>
      </c>
      <c r="E6" s="2" t="inlineStr">
        <is>
          <t>Kelebek Vana</t>
        </is>
      </c>
      <c r="F6" s="2" t="inlineStr">
        <is>
          <t>Kimya, Petrokimya, Enerji, Dogal Gaz</t>
        </is>
      </c>
      <c r="G6" s="2" t="inlineStr">
        <is>
          <t>Adet</t>
        </is>
      </c>
      <c r="H6" s="3" t="n">
        <v>653.55</v>
      </c>
      <c r="I6" s="3" t="n">
        <v>888.58</v>
      </c>
      <c r="J6" s="4" t="n">
        <v>0.262</v>
      </c>
      <c r="K6" s="5" t="n">
        <v>21</v>
      </c>
      <c r="L6" s="5" t="n">
        <v>6</v>
      </c>
      <c r="M6" s="2" t="inlineStr">
        <is>
          <t>848180</t>
        </is>
      </c>
      <c r="N6" s="2" t="inlineStr">
        <is>
          <t>Aktif</t>
        </is>
      </c>
      <c r="O6" s="5" t="n">
        <v>28.97</v>
      </c>
    </row>
    <row r="7">
      <c r="A7" s="2" t="inlineStr">
        <is>
          <t>ENDVAN-006</t>
        </is>
      </c>
      <c r="B7" s="2" t="inlineStr">
        <is>
          <t>Kure Vana Paslanmaz</t>
        </is>
      </c>
      <c r="C7" s="2" t="inlineStr">
        <is>
          <t>Endustriyel Vana</t>
        </is>
      </c>
      <c r="D7" s="2" t="inlineStr">
        <is>
          <t>Kontrol ve Hat Vanalari</t>
        </is>
      </c>
      <c r="E7" s="2" t="inlineStr">
        <is>
          <t>Kure Vana</t>
        </is>
      </c>
      <c r="F7" s="2" t="inlineStr">
        <is>
          <t>Petrokimya, Dogal Gaz, Kimya</t>
        </is>
      </c>
      <c r="G7" s="2" t="inlineStr">
        <is>
          <t>Adet</t>
        </is>
      </c>
      <c r="H7" s="3" t="n">
        <v>1160.99</v>
      </c>
      <c r="I7" s="3" t="n">
        <v>1602.08</v>
      </c>
      <c r="J7" s="4" t="n">
        <v>0.2546</v>
      </c>
      <c r="K7" s="5" t="n">
        <v>31</v>
      </c>
      <c r="L7" s="5" t="n">
        <v>7</v>
      </c>
      <c r="M7" s="2" t="inlineStr">
        <is>
          <t>848180</t>
        </is>
      </c>
      <c r="N7" s="2" t="inlineStr">
        <is>
          <t>Aktif</t>
        </is>
      </c>
      <c r="O7" s="5" t="n">
        <v>58.4</v>
      </c>
    </row>
    <row r="8">
      <c r="A8" s="2" t="inlineStr">
        <is>
          <t>ENDVAN-007</t>
        </is>
      </c>
      <c r="B8" s="2" t="inlineStr">
        <is>
          <t>Glob Vana ANSI 150</t>
        </is>
      </c>
      <c r="C8" s="2" t="inlineStr">
        <is>
          <t>Endustriyel Vana</t>
        </is>
      </c>
      <c r="D8" s="2" t="inlineStr">
        <is>
          <t>Kontrol ve Hat Vanalari</t>
        </is>
      </c>
      <c r="E8" s="2" t="inlineStr">
        <is>
          <t>Glob Vana</t>
        </is>
      </c>
      <c r="F8" s="2" t="inlineStr">
        <is>
          <t>Su Arıtma, Dogal Gaz, Enerji</t>
        </is>
      </c>
      <c r="G8" s="2" t="inlineStr">
        <is>
          <t>Adet</t>
        </is>
      </c>
      <c r="H8" s="3" t="n">
        <v>126.94</v>
      </c>
      <c r="I8" s="3" t="n">
        <v>193.78</v>
      </c>
      <c r="J8" s="4" t="n">
        <v>0.3298</v>
      </c>
      <c r="K8" s="5" t="n">
        <v>41</v>
      </c>
      <c r="L8" s="5" t="n">
        <v>4</v>
      </c>
      <c r="M8" s="2" t="inlineStr">
        <is>
          <t>848180</t>
        </is>
      </c>
      <c r="N8" s="2" t="inlineStr">
        <is>
          <t>Aktif</t>
        </is>
      </c>
      <c r="O8" s="5" t="n">
        <v>38.31</v>
      </c>
    </row>
    <row r="9">
      <c r="A9" s="2" t="inlineStr">
        <is>
          <t>ENDVAN-008</t>
        </is>
      </c>
      <c r="B9" s="2" t="inlineStr">
        <is>
          <t>Glob Vana ANSI 150</t>
        </is>
      </c>
      <c r="C9" s="2" t="inlineStr">
        <is>
          <t>Endustriyel Vana</t>
        </is>
      </c>
      <c r="D9" s="2" t="inlineStr">
        <is>
          <t>Kontrol ve Hat Vanalari</t>
        </is>
      </c>
      <c r="E9" s="2" t="inlineStr">
        <is>
          <t>Glob Vana</t>
        </is>
      </c>
      <c r="F9" s="2" t="inlineStr">
        <is>
          <t>Kimya, Dogal Gaz, Su Arıtma</t>
        </is>
      </c>
      <c r="G9" s="2" t="inlineStr">
        <is>
          <t>Adet</t>
        </is>
      </c>
      <c r="H9" s="3" t="n">
        <v>429.42</v>
      </c>
      <c r="I9" s="3" t="n">
        <v>549.83</v>
      </c>
      <c r="J9" s="4" t="n">
        <v>0.2946</v>
      </c>
      <c r="K9" s="5" t="n">
        <v>28</v>
      </c>
      <c r="L9" s="5" t="n">
        <v>11</v>
      </c>
      <c r="M9" s="2" t="inlineStr">
        <is>
          <t>848180</t>
        </is>
      </c>
      <c r="N9" s="2" t="inlineStr">
        <is>
          <t>Aktif</t>
        </is>
      </c>
      <c r="O9" s="5" t="n">
        <v>47.92</v>
      </c>
    </row>
    <row r="10">
      <c r="A10" s="2" t="inlineStr">
        <is>
          <t>ENDVAN-009</t>
        </is>
      </c>
      <c r="B10" s="2" t="inlineStr">
        <is>
          <t>Surgulu Vana ATEX</t>
        </is>
      </c>
      <c r="C10" s="2" t="inlineStr">
        <is>
          <t>Endustriyel Vana</t>
        </is>
      </c>
      <c r="D10" s="2" t="inlineStr">
        <is>
          <t>Kontrol ve Hat Vanalari</t>
        </is>
      </c>
      <c r="E10" s="2" t="inlineStr">
        <is>
          <t>Surgulu Vana</t>
        </is>
      </c>
      <c r="F10" s="2" t="inlineStr">
        <is>
          <t>Enerji, Petrokimya</t>
        </is>
      </c>
      <c r="G10" s="2" t="inlineStr">
        <is>
          <t>Adet</t>
        </is>
      </c>
      <c r="H10" s="3" t="n">
        <v>411.64</v>
      </c>
      <c r="I10" s="3" t="n">
        <v>541.34</v>
      </c>
      <c r="J10" s="4" t="n">
        <v>0.3222</v>
      </c>
      <c r="K10" s="5" t="n">
        <v>32</v>
      </c>
      <c r="L10" s="5" t="n">
        <v>10</v>
      </c>
      <c r="M10" s="2" t="inlineStr">
        <is>
          <t>848180</t>
        </is>
      </c>
      <c r="N10" s="2" t="inlineStr">
        <is>
          <t>Aktif</t>
        </is>
      </c>
      <c r="O10" s="5" t="n">
        <v>83.79000000000001</v>
      </c>
    </row>
    <row r="11">
      <c r="A11" s="2" t="inlineStr">
        <is>
          <t>ENDVAN-010</t>
        </is>
      </c>
      <c r="B11" s="2" t="inlineStr">
        <is>
          <t>Glob Vana PN16</t>
        </is>
      </c>
      <c r="C11" s="2" t="inlineStr">
        <is>
          <t>Endustriyel Vana</t>
        </is>
      </c>
      <c r="D11" s="2" t="inlineStr">
        <is>
          <t>Kontrol ve Hat Vanalari</t>
        </is>
      </c>
      <c r="E11" s="2" t="inlineStr">
        <is>
          <t>Glob Vana</t>
        </is>
      </c>
      <c r="F11" s="2" t="inlineStr">
        <is>
          <t>Petrokimya, Su Arıtma, Enerji, Kimya</t>
        </is>
      </c>
      <c r="G11" s="2" t="inlineStr">
        <is>
          <t>Adet</t>
        </is>
      </c>
      <c r="H11" s="3" t="n">
        <v>891.17</v>
      </c>
      <c r="I11" s="3" t="n">
        <v>1177.11</v>
      </c>
      <c r="J11" s="4" t="n">
        <v>0.3312</v>
      </c>
      <c r="K11" s="5" t="n">
        <v>39</v>
      </c>
      <c r="L11" s="5" t="n">
        <v>5</v>
      </c>
      <c r="M11" s="2" t="inlineStr">
        <is>
          <t>848180</t>
        </is>
      </c>
      <c r="N11" s="2" t="inlineStr">
        <is>
          <t>Aktif</t>
        </is>
      </c>
      <c r="O11" s="5" t="n">
        <v>93.61</v>
      </c>
    </row>
    <row r="12">
      <c r="A12" s="2" t="inlineStr">
        <is>
          <t>ENDVAN-011</t>
        </is>
      </c>
      <c r="B12" s="2" t="inlineStr">
        <is>
          <t>Kure Vana ANSI 150</t>
        </is>
      </c>
      <c r="C12" s="2" t="inlineStr">
        <is>
          <t>Endustriyel Vana</t>
        </is>
      </c>
      <c r="D12" s="2" t="inlineStr">
        <is>
          <t>Kontrol ve Hat Vanalari</t>
        </is>
      </c>
      <c r="E12" s="2" t="inlineStr">
        <is>
          <t>Kure Vana</t>
        </is>
      </c>
      <c r="F12" s="2" t="inlineStr">
        <is>
          <t>Enerji, Petrokimya</t>
        </is>
      </c>
      <c r="G12" s="2" t="inlineStr">
        <is>
          <t>Adet</t>
        </is>
      </c>
      <c r="H12" s="3" t="n">
        <v>615.55</v>
      </c>
      <c r="I12" s="3" t="n">
        <v>935.0700000000001</v>
      </c>
      <c r="J12" s="4" t="n">
        <v>0.322</v>
      </c>
      <c r="K12" s="5" t="n">
        <v>24</v>
      </c>
      <c r="L12" s="5" t="n">
        <v>2</v>
      </c>
      <c r="M12" s="2" t="inlineStr">
        <is>
          <t>848180</t>
        </is>
      </c>
      <c r="N12" s="2" t="inlineStr">
        <is>
          <t>Aktif</t>
        </is>
      </c>
      <c r="O12" s="5" t="n">
        <v>46.22</v>
      </c>
    </row>
    <row r="13">
      <c r="A13" s="2" t="inlineStr">
        <is>
          <t>ENDVAN-012</t>
        </is>
      </c>
      <c r="B13" s="2" t="inlineStr">
        <is>
          <t>Surgulu Vana Hijyenik</t>
        </is>
      </c>
      <c r="C13" s="2" t="inlineStr">
        <is>
          <t>Endustriyel Vana</t>
        </is>
      </c>
      <c r="D13" s="2" t="inlineStr">
        <is>
          <t>Kontrol ve Hat Vanalari</t>
        </is>
      </c>
      <c r="E13" s="2" t="inlineStr">
        <is>
          <t>Surgulu Vana</t>
        </is>
      </c>
      <c r="F13" s="2" t="inlineStr">
        <is>
          <t>Kimya, Dogal Gaz, Petrokimya</t>
        </is>
      </c>
      <c r="G13" s="2" t="inlineStr">
        <is>
          <t>Adet</t>
        </is>
      </c>
      <c r="H13" s="3" t="n">
        <v>281.71</v>
      </c>
      <c r="I13" s="3" t="n">
        <v>362.67</v>
      </c>
      <c r="J13" s="4" t="n">
        <v>0.2804</v>
      </c>
      <c r="K13" s="5" t="n">
        <v>42</v>
      </c>
      <c r="L13" s="5" t="n">
        <v>5</v>
      </c>
      <c r="M13" s="2" t="inlineStr">
        <is>
          <t>848180</t>
        </is>
      </c>
      <c r="N13" s="2" t="inlineStr">
        <is>
          <t>Aktif</t>
        </is>
      </c>
      <c r="O13" s="5" t="n">
        <v>28.72</v>
      </c>
    </row>
    <row r="14">
      <c r="A14" s="2" t="inlineStr">
        <is>
          <t>ENDVAN-013</t>
        </is>
      </c>
      <c r="B14" s="2" t="inlineStr">
        <is>
          <t>Surgulu Vana Paslanmaz</t>
        </is>
      </c>
      <c r="C14" s="2" t="inlineStr">
        <is>
          <t>Endustriyel Vana</t>
        </is>
      </c>
      <c r="D14" s="2" t="inlineStr">
        <is>
          <t>Kontrol ve Hat Vanalari</t>
        </is>
      </c>
      <c r="E14" s="2" t="inlineStr">
        <is>
          <t>Surgulu Vana</t>
        </is>
      </c>
      <c r="F14" s="2" t="inlineStr">
        <is>
          <t>Kimya, Enerji, Dogal Gaz</t>
        </is>
      </c>
      <c r="G14" s="2" t="inlineStr">
        <is>
          <t>Adet</t>
        </is>
      </c>
      <c r="H14" s="3" t="n">
        <v>1133.86</v>
      </c>
      <c r="I14" s="3" t="n">
        <v>1551.74</v>
      </c>
      <c r="J14" s="4" t="n">
        <v>0.2856</v>
      </c>
      <c r="K14" s="5" t="n">
        <v>45</v>
      </c>
      <c r="L14" s="5" t="n">
        <v>12</v>
      </c>
      <c r="M14" s="2" t="inlineStr">
        <is>
          <t>848180</t>
        </is>
      </c>
      <c r="N14" s="2" t="inlineStr">
        <is>
          <t>Aktif</t>
        </is>
      </c>
      <c r="O14" s="5" t="n">
        <v>45.03</v>
      </c>
    </row>
    <row r="15">
      <c r="A15" s="2" t="inlineStr">
        <is>
          <t>ENDVAN-014</t>
        </is>
      </c>
      <c r="B15" s="2" t="inlineStr">
        <is>
          <t>Surgulu Vana PN16</t>
        </is>
      </c>
      <c r="C15" s="2" t="inlineStr">
        <is>
          <t>Endustriyel Vana</t>
        </is>
      </c>
      <c r="D15" s="2" t="inlineStr">
        <is>
          <t>Kontrol ve Hat Vanalari</t>
        </is>
      </c>
      <c r="E15" s="2" t="inlineStr">
        <is>
          <t>Surgulu Vana</t>
        </is>
      </c>
      <c r="F15" s="2" t="inlineStr">
        <is>
          <t>Su Arıtma, Petrokimya</t>
        </is>
      </c>
      <c r="G15" s="2" t="inlineStr">
        <is>
          <t>Adet</t>
        </is>
      </c>
      <c r="H15" s="3" t="n">
        <v>1025.06</v>
      </c>
      <c r="I15" s="3" t="n">
        <v>1579.06</v>
      </c>
      <c r="J15" s="4" t="n">
        <v>0.2663</v>
      </c>
      <c r="K15" s="5" t="n">
        <v>15</v>
      </c>
      <c r="L15" s="5" t="n">
        <v>12</v>
      </c>
      <c r="M15" s="2" t="inlineStr">
        <is>
          <t>848180</t>
        </is>
      </c>
      <c r="N15" s="2" t="inlineStr">
        <is>
          <t>Aktif</t>
        </is>
      </c>
      <c r="O15" s="5" t="n">
        <v>92.02</v>
      </c>
    </row>
    <row r="16">
      <c r="A16" s="2" t="inlineStr">
        <is>
          <t>ENDVAN-015</t>
        </is>
      </c>
      <c r="B16" s="2" t="inlineStr">
        <is>
          <t>Surgulu Vana PN16</t>
        </is>
      </c>
      <c r="C16" s="2" t="inlineStr">
        <is>
          <t>Endustriyel Vana</t>
        </is>
      </c>
      <c r="D16" s="2" t="inlineStr">
        <is>
          <t>Kontrol ve Hat Vanalari</t>
        </is>
      </c>
      <c r="E16" s="2" t="inlineStr">
        <is>
          <t>Surgulu Vana</t>
        </is>
      </c>
      <c r="F16" s="2" t="inlineStr">
        <is>
          <t>Petrokimya, Dogal Gaz, Kimya, Su Arıtma</t>
        </is>
      </c>
      <c r="G16" s="2" t="inlineStr">
        <is>
          <t>Adet</t>
        </is>
      </c>
      <c r="H16" s="3" t="n">
        <v>1019.05</v>
      </c>
      <c r="I16" s="3" t="n">
        <v>1573.4</v>
      </c>
      <c r="J16" s="4" t="n">
        <v>0.2624</v>
      </c>
      <c r="K16" s="5" t="n">
        <v>32</v>
      </c>
      <c r="L16" s="5" t="n">
        <v>7</v>
      </c>
      <c r="M16" s="2" t="inlineStr">
        <is>
          <t>848180</t>
        </is>
      </c>
      <c r="N16" s="2" t="inlineStr">
        <is>
          <t>Aktif</t>
        </is>
      </c>
      <c r="O16" s="5" t="n">
        <v>102.02</v>
      </c>
    </row>
    <row r="17">
      <c r="A17" s="2" t="inlineStr">
        <is>
          <t>ENDVAN-016</t>
        </is>
      </c>
      <c r="B17" s="2" t="inlineStr">
        <is>
          <t>Surgulu Vana Paslanmaz</t>
        </is>
      </c>
      <c r="C17" s="2" t="inlineStr">
        <is>
          <t>Endustriyel Vana</t>
        </is>
      </c>
      <c r="D17" s="2" t="inlineStr">
        <is>
          <t>Kontrol ve Hat Vanalari</t>
        </is>
      </c>
      <c r="E17" s="2" t="inlineStr">
        <is>
          <t>Surgulu Vana</t>
        </is>
      </c>
      <c r="F17" s="2" t="inlineStr">
        <is>
          <t>Petrokimya, Kimya, Dogal Gaz</t>
        </is>
      </c>
      <c r="G17" s="2" t="inlineStr">
        <is>
          <t>Adet</t>
        </is>
      </c>
      <c r="H17" s="3" t="n">
        <v>674.97</v>
      </c>
      <c r="I17" s="3" t="n">
        <v>872.6799999999999</v>
      </c>
      <c r="J17" s="4" t="n">
        <v>0.3265</v>
      </c>
      <c r="K17" s="5" t="n">
        <v>37</v>
      </c>
      <c r="L17" s="5" t="n">
        <v>3</v>
      </c>
      <c r="M17" s="2" t="inlineStr">
        <is>
          <t>848180</t>
        </is>
      </c>
      <c r="N17" s="2" t="inlineStr">
        <is>
          <t>Aktif</t>
        </is>
      </c>
      <c r="O17" s="5" t="n">
        <v>53.03</v>
      </c>
    </row>
    <row r="18">
      <c r="A18" s="2" t="inlineStr">
        <is>
          <t>ENDVAN-017</t>
        </is>
      </c>
      <c r="B18" s="2" t="inlineStr">
        <is>
          <t>Glob Vana PN16</t>
        </is>
      </c>
      <c r="C18" s="2" t="inlineStr">
        <is>
          <t>Endustriyel Vana</t>
        </is>
      </c>
      <c r="D18" s="2" t="inlineStr">
        <is>
          <t>Kontrol ve Hat Vanalari</t>
        </is>
      </c>
      <c r="E18" s="2" t="inlineStr">
        <is>
          <t>Glob Vana</t>
        </is>
      </c>
      <c r="F18" s="2" t="inlineStr">
        <is>
          <t>Su Arıtma, Petrokimya</t>
        </is>
      </c>
      <c r="G18" s="2" t="inlineStr">
        <is>
          <t>Adet</t>
        </is>
      </c>
      <c r="H18" s="3" t="n">
        <v>518.3099999999999</v>
      </c>
      <c r="I18" s="3" t="n">
        <v>730.84</v>
      </c>
      <c r="J18" s="4" t="n">
        <v>0.3101</v>
      </c>
      <c r="K18" s="5" t="n">
        <v>28</v>
      </c>
      <c r="L18" s="5" t="n">
        <v>11</v>
      </c>
      <c r="M18" s="2" t="inlineStr">
        <is>
          <t>848180</t>
        </is>
      </c>
      <c r="N18" s="2" t="inlineStr">
        <is>
          <t>Aktif</t>
        </is>
      </c>
      <c r="O18" s="5" t="n">
        <v>38.05</v>
      </c>
    </row>
    <row r="19">
      <c r="A19" s="2" t="inlineStr">
        <is>
          <t>ENDVAN-018</t>
        </is>
      </c>
      <c r="B19" s="2" t="inlineStr">
        <is>
          <t>Surgulu Vana Hijyenik</t>
        </is>
      </c>
      <c r="C19" s="2" t="inlineStr">
        <is>
          <t>Endustriyel Vana</t>
        </is>
      </c>
      <c r="D19" s="2" t="inlineStr">
        <is>
          <t>Kontrol ve Hat Vanalari</t>
        </is>
      </c>
      <c r="E19" s="2" t="inlineStr">
        <is>
          <t>Surgulu Vana</t>
        </is>
      </c>
      <c r="F19" s="2" t="inlineStr">
        <is>
          <t>Dogal Gaz, Enerji, Petrokimya</t>
        </is>
      </c>
      <c r="G19" s="2" t="inlineStr">
        <is>
          <t>Adet</t>
        </is>
      </c>
      <c r="H19" s="3" t="n">
        <v>781.12</v>
      </c>
      <c r="I19" s="3" t="n">
        <v>1033.12</v>
      </c>
      <c r="J19" s="4" t="n">
        <v>0.2323</v>
      </c>
      <c r="K19" s="5" t="n">
        <v>20</v>
      </c>
      <c r="L19" s="5" t="n">
        <v>9</v>
      </c>
      <c r="M19" s="2" t="inlineStr">
        <is>
          <t>848180</t>
        </is>
      </c>
      <c r="N19" s="2" t="inlineStr">
        <is>
          <t>Aktif</t>
        </is>
      </c>
      <c r="O19" s="5" t="n">
        <v>45.05</v>
      </c>
    </row>
    <row r="20">
      <c r="A20" s="2" t="inlineStr">
        <is>
          <t>ENDVAN-019</t>
        </is>
      </c>
      <c r="B20" s="2" t="inlineStr">
        <is>
          <t>Kure Vana Hijyenik</t>
        </is>
      </c>
      <c r="C20" s="2" t="inlineStr">
        <is>
          <t>Endustriyel Vana</t>
        </is>
      </c>
      <c r="D20" s="2" t="inlineStr">
        <is>
          <t>Kontrol ve Hat Vanalari</t>
        </is>
      </c>
      <c r="E20" s="2" t="inlineStr">
        <is>
          <t>Kure Vana</t>
        </is>
      </c>
      <c r="F20" s="2" t="inlineStr">
        <is>
          <t>Dogal Gaz, Enerji, Su Arıtma, Kimya</t>
        </is>
      </c>
      <c r="G20" s="2" t="inlineStr">
        <is>
          <t>Adet</t>
        </is>
      </c>
      <c r="H20" s="3" t="n">
        <v>564.9400000000001</v>
      </c>
      <c r="I20" s="3" t="n">
        <v>770.1900000000001</v>
      </c>
      <c r="J20" s="4" t="n">
        <v>0.3171</v>
      </c>
      <c r="K20" s="5" t="n">
        <v>33</v>
      </c>
      <c r="L20" s="5" t="n">
        <v>12</v>
      </c>
      <c r="M20" s="2" t="inlineStr">
        <is>
          <t>848180</t>
        </is>
      </c>
      <c r="N20" s="2" t="inlineStr">
        <is>
          <t>Pasif</t>
        </is>
      </c>
      <c r="O20" s="5" t="n">
        <v>23.76</v>
      </c>
    </row>
    <row r="21">
      <c r="A21" s="2" t="inlineStr">
        <is>
          <t>ENDVAN-020</t>
        </is>
      </c>
      <c r="B21" s="2" t="inlineStr">
        <is>
          <t>Kelebek Vana PN16</t>
        </is>
      </c>
      <c r="C21" s="2" t="inlineStr">
        <is>
          <t>Endustriyel Vana</t>
        </is>
      </c>
      <c r="D21" s="2" t="inlineStr">
        <is>
          <t>Kontrol ve Hat Vanalari</t>
        </is>
      </c>
      <c r="E21" s="2" t="inlineStr">
        <is>
          <t>Kelebek Vana</t>
        </is>
      </c>
      <c r="F21" s="2" t="inlineStr">
        <is>
          <t>Kimya, Petrokimya, Dogal Gaz</t>
        </is>
      </c>
      <c r="G21" s="2" t="inlineStr">
        <is>
          <t>Adet</t>
        </is>
      </c>
      <c r="H21" s="3" t="n">
        <v>433.62</v>
      </c>
      <c r="I21" s="3" t="n">
        <v>606.89</v>
      </c>
      <c r="J21" s="4" t="n">
        <v>0.2804</v>
      </c>
      <c r="K21" s="5" t="n">
        <v>34</v>
      </c>
      <c r="L21" s="5" t="n">
        <v>4</v>
      </c>
      <c r="M21" s="2" t="inlineStr">
        <is>
          <t>848180</t>
        </is>
      </c>
      <c r="N21" s="2" t="inlineStr">
        <is>
          <t>Aktif</t>
        </is>
      </c>
      <c r="O21" s="5" t="n">
        <v>94.08</v>
      </c>
    </row>
    <row r="22">
      <c r="A22" s="2" t="inlineStr">
        <is>
          <t>ENDVAN-021</t>
        </is>
      </c>
      <c r="B22" s="2" t="inlineStr">
        <is>
          <t>Glob Vana ANSI 150</t>
        </is>
      </c>
      <c r="C22" s="2" t="inlineStr">
        <is>
          <t>Endustriyel Vana</t>
        </is>
      </c>
      <c r="D22" s="2" t="inlineStr">
        <is>
          <t>Kontrol ve Hat Vanalari</t>
        </is>
      </c>
      <c r="E22" s="2" t="inlineStr">
        <is>
          <t>Glob Vana</t>
        </is>
      </c>
      <c r="F22" s="2" t="inlineStr">
        <is>
          <t>Kimya, Enerji, Dogal Gaz</t>
        </is>
      </c>
      <c r="G22" s="2" t="inlineStr">
        <is>
          <t>Adet</t>
        </is>
      </c>
      <c r="H22" s="3" t="n">
        <v>736.7</v>
      </c>
      <c r="I22" s="3" t="n">
        <v>1001.8</v>
      </c>
      <c r="J22" s="4" t="n">
        <v>0.2592</v>
      </c>
      <c r="K22" s="5" t="n">
        <v>24</v>
      </c>
      <c r="L22" s="5" t="n">
        <v>9</v>
      </c>
      <c r="M22" s="2" t="inlineStr">
        <is>
          <t>848180</t>
        </is>
      </c>
      <c r="N22" s="2" t="inlineStr">
        <is>
          <t>Aktif</t>
        </is>
      </c>
      <c r="O22" s="5" t="n">
        <v>62.19</v>
      </c>
    </row>
    <row r="23">
      <c r="A23" s="2" t="inlineStr">
        <is>
          <t>ENDVAN-022</t>
        </is>
      </c>
      <c r="B23" s="2" t="inlineStr">
        <is>
          <t>Kure Vana PN16</t>
        </is>
      </c>
      <c r="C23" s="2" t="inlineStr">
        <is>
          <t>Endustriyel Vana</t>
        </is>
      </c>
      <c r="D23" s="2" t="inlineStr">
        <is>
          <t>Kontrol ve Hat Vanalari</t>
        </is>
      </c>
      <c r="E23" s="2" t="inlineStr">
        <is>
          <t>Kure Vana</t>
        </is>
      </c>
      <c r="F23" s="2" t="inlineStr">
        <is>
          <t>Kimya, Petrokimya, Enerji</t>
        </is>
      </c>
      <c r="G23" s="2" t="inlineStr">
        <is>
          <t>Adet</t>
        </is>
      </c>
      <c r="H23" s="3" t="n">
        <v>163.9</v>
      </c>
      <c r="I23" s="3" t="n">
        <v>211.02</v>
      </c>
      <c r="J23" s="4" t="n">
        <v>0.2346</v>
      </c>
      <c r="K23" s="5" t="n">
        <v>43</v>
      </c>
      <c r="L23" s="5" t="n">
        <v>9</v>
      </c>
      <c r="M23" s="2" t="inlineStr">
        <is>
          <t>848180</t>
        </is>
      </c>
      <c r="N23" s="2" t="inlineStr">
        <is>
          <t>Aktif</t>
        </is>
      </c>
      <c r="O23" s="5" t="n">
        <v>66.31999999999999</v>
      </c>
    </row>
    <row r="24">
      <c r="A24" s="2" t="inlineStr">
        <is>
          <t>ENDVAN-023</t>
        </is>
      </c>
      <c r="B24" s="2" t="inlineStr">
        <is>
          <t>Glob Vana Paslanmaz</t>
        </is>
      </c>
      <c r="C24" s="2" t="inlineStr">
        <is>
          <t>Endustriyel Vana</t>
        </is>
      </c>
      <c r="D24" s="2" t="inlineStr">
        <is>
          <t>Kontrol ve Hat Vanalari</t>
        </is>
      </c>
      <c r="E24" s="2" t="inlineStr">
        <is>
          <t>Glob Vana</t>
        </is>
      </c>
      <c r="F24" s="2" t="inlineStr">
        <is>
          <t>Dogal Gaz, Su Arıtma, Kimya</t>
        </is>
      </c>
      <c r="G24" s="2" t="inlineStr">
        <is>
          <t>Adet</t>
        </is>
      </c>
      <c r="H24" s="3" t="n">
        <v>763.0599999999999</v>
      </c>
      <c r="I24" s="3" t="n">
        <v>1118.1</v>
      </c>
      <c r="J24" s="4" t="n">
        <v>0.2769</v>
      </c>
      <c r="K24" s="5" t="n">
        <v>20</v>
      </c>
      <c r="L24" s="5" t="n">
        <v>12</v>
      </c>
      <c r="M24" s="2" t="inlineStr">
        <is>
          <t>848180</t>
        </is>
      </c>
      <c r="N24" s="2" t="inlineStr">
        <is>
          <t>Aktif</t>
        </is>
      </c>
      <c r="O24" s="5" t="n">
        <v>106.61</v>
      </c>
    </row>
    <row r="25">
      <c r="A25" s="2" t="inlineStr">
        <is>
          <t>ENDVAN-024</t>
        </is>
      </c>
      <c r="B25" s="2" t="inlineStr">
        <is>
          <t>Kelebek Vana Hijyenik</t>
        </is>
      </c>
      <c r="C25" s="2" t="inlineStr">
        <is>
          <t>Endustriyel Vana</t>
        </is>
      </c>
      <c r="D25" s="2" t="inlineStr">
        <is>
          <t>Kontrol ve Hat Vanalari</t>
        </is>
      </c>
      <c r="E25" s="2" t="inlineStr">
        <is>
          <t>Kelebek Vana</t>
        </is>
      </c>
      <c r="F25" s="2" t="inlineStr">
        <is>
          <t>Dogal Gaz, Kimya, Petrokimya</t>
        </is>
      </c>
      <c r="G25" s="2" t="inlineStr">
        <is>
          <t>Adet</t>
        </is>
      </c>
      <c r="H25" s="3" t="n">
        <v>1156.64</v>
      </c>
      <c r="I25" s="3" t="n">
        <v>1704.25</v>
      </c>
      <c r="J25" s="4" t="n">
        <v>0.2692</v>
      </c>
      <c r="K25" s="5" t="n">
        <v>26</v>
      </c>
      <c r="L25" s="5" t="n">
        <v>10</v>
      </c>
      <c r="M25" s="2" t="inlineStr">
        <is>
          <t>848180</t>
        </is>
      </c>
      <c r="N25" s="2" t="inlineStr">
        <is>
          <t>Aktif</t>
        </is>
      </c>
      <c r="O25" s="5" t="n">
        <v>91.76000000000001</v>
      </c>
    </row>
    <row r="26">
      <c r="A26" s="2" t="inlineStr">
        <is>
          <t>ENDVAN-025</t>
        </is>
      </c>
      <c r="B26" s="2" t="inlineStr">
        <is>
          <t>Kure Vana Paslanmaz</t>
        </is>
      </c>
      <c r="C26" s="2" t="inlineStr">
        <is>
          <t>Endustriyel Vana</t>
        </is>
      </c>
      <c r="D26" s="2" t="inlineStr">
        <is>
          <t>Kontrol ve Hat Vanalari</t>
        </is>
      </c>
      <c r="E26" s="2" t="inlineStr">
        <is>
          <t>Kure Vana</t>
        </is>
      </c>
      <c r="F26" s="2" t="inlineStr">
        <is>
          <t>Petrokimya, Su Arıtma, Enerji, Dogal Gaz</t>
        </is>
      </c>
      <c r="G26" s="2" t="inlineStr">
        <is>
          <t>Adet</t>
        </is>
      </c>
      <c r="H26" s="3" t="n">
        <v>205.87</v>
      </c>
      <c r="I26" s="3" t="n">
        <v>293.84</v>
      </c>
      <c r="J26" s="4" t="n">
        <v>0.2315</v>
      </c>
      <c r="K26" s="5" t="n">
        <v>38</v>
      </c>
      <c r="L26" s="5" t="n">
        <v>2</v>
      </c>
      <c r="M26" s="2" t="inlineStr">
        <is>
          <t>848180</t>
        </is>
      </c>
      <c r="N26" s="2" t="inlineStr">
        <is>
          <t>Aktif</t>
        </is>
      </c>
      <c r="O26" s="5" t="n">
        <v>97.87</v>
      </c>
    </row>
    <row r="27">
      <c r="A27" s="2" t="inlineStr">
        <is>
          <t>ENDVAN-026</t>
        </is>
      </c>
      <c r="B27" s="2" t="inlineStr">
        <is>
          <t>Surgulu Vana ANSI 150</t>
        </is>
      </c>
      <c r="C27" s="2" t="inlineStr">
        <is>
          <t>Endustriyel Vana</t>
        </is>
      </c>
      <c r="D27" s="2" t="inlineStr">
        <is>
          <t>Kontrol ve Hat Vanalari</t>
        </is>
      </c>
      <c r="E27" s="2" t="inlineStr">
        <is>
          <t>Surgulu Vana</t>
        </is>
      </c>
      <c r="F27" s="2" t="inlineStr">
        <is>
          <t>Petrokimya, Enerji</t>
        </is>
      </c>
      <c r="G27" s="2" t="inlineStr">
        <is>
          <t>Adet</t>
        </is>
      </c>
      <c r="H27" s="3" t="n">
        <v>1039.5</v>
      </c>
      <c r="I27" s="3" t="n">
        <v>1405.44</v>
      </c>
      <c r="J27" s="4" t="n">
        <v>0.3081</v>
      </c>
      <c r="K27" s="5" t="n">
        <v>27</v>
      </c>
      <c r="L27" s="5" t="n">
        <v>2</v>
      </c>
      <c r="M27" s="2" t="inlineStr">
        <is>
          <t>848180</t>
        </is>
      </c>
      <c r="N27" s="2" t="inlineStr">
        <is>
          <t>Aktif</t>
        </is>
      </c>
      <c r="O27" s="5" t="n">
        <v>28.28</v>
      </c>
    </row>
    <row r="28">
      <c r="A28" s="2" t="inlineStr">
        <is>
          <t>ENDVAN-027</t>
        </is>
      </c>
      <c r="B28" s="2" t="inlineStr">
        <is>
          <t>Glob Vana Paslanmaz</t>
        </is>
      </c>
      <c r="C28" s="2" t="inlineStr">
        <is>
          <t>Endustriyel Vana</t>
        </is>
      </c>
      <c r="D28" s="2" t="inlineStr">
        <is>
          <t>Kontrol ve Hat Vanalari</t>
        </is>
      </c>
      <c r="E28" s="2" t="inlineStr">
        <is>
          <t>Glob Vana</t>
        </is>
      </c>
      <c r="F28" s="2" t="inlineStr">
        <is>
          <t>Enerji, Petrokimya</t>
        </is>
      </c>
      <c r="G28" s="2" t="inlineStr">
        <is>
          <t>Adet</t>
        </is>
      </c>
      <c r="H28" s="3" t="n">
        <v>1041.65</v>
      </c>
      <c r="I28" s="3" t="n">
        <v>1603.56</v>
      </c>
      <c r="J28" s="4" t="n">
        <v>0.3245</v>
      </c>
      <c r="K28" s="5" t="n">
        <v>15</v>
      </c>
      <c r="L28" s="5" t="n">
        <v>3</v>
      </c>
      <c r="M28" s="2" t="inlineStr">
        <is>
          <t>848180</t>
        </is>
      </c>
      <c r="N28" s="2" t="inlineStr">
        <is>
          <t>Aktif</t>
        </is>
      </c>
      <c r="O28" s="5" t="n">
        <v>28.92</v>
      </c>
    </row>
    <row r="29">
      <c r="A29" s="2" t="inlineStr">
        <is>
          <t>ENDVAN-028</t>
        </is>
      </c>
      <c r="B29" s="2" t="inlineStr">
        <is>
          <t>Glob Vana Paslanmaz</t>
        </is>
      </c>
      <c r="C29" s="2" t="inlineStr">
        <is>
          <t>Endustriyel Vana</t>
        </is>
      </c>
      <c r="D29" s="2" t="inlineStr">
        <is>
          <t>Kontrol ve Hat Vanalari</t>
        </is>
      </c>
      <c r="E29" s="2" t="inlineStr">
        <is>
          <t>Glob Vana</t>
        </is>
      </c>
      <c r="F29" s="2" t="inlineStr">
        <is>
          <t>Dogal Gaz, Kimya, Petrokimya</t>
        </is>
      </c>
      <c r="G29" s="2" t="inlineStr">
        <is>
          <t>Adet</t>
        </is>
      </c>
      <c r="H29" s="3" t="n">
        <v>812.05</v>
      </c>
      <c r="I29" s="3" t="n">
        <v>1108.25</v>
      </c>
      <c r="J29" s="4" t="n">
        <v>0.247</v>
      </c>
      <c r="K29" s="5" t="n">
        <v>40</v>
      </c>
      <c r="L29" s="5" t="n">
        <v>2</v>
      </c>
      <c r="M29" s="2" t="inlineStr">
        <is>
          <t>848180</t>
        </is>
      </c>
      <c r="N29" s="2" t="inlineStr">
        <is>
          <t>Aktif</t>
        </is>
      </c>
      <c r="O29" s="5" t="n">
        <v>109.24</v>
      </c>
    </row>
    <row r="30">
      <c r="A30" s="2" t="inlineStr">
        <is>
          <t>ENDVAN-029</t>
        </is>
      </c>
      <c r="B30" s="2" t="inlineStr">
        <is>
          <t>Kelebek Vana ATEX</t>
        </is>
      </c>
      <c r="C30" s="2" t="inlineStr">
        <is>
          <t>Endustriyel Vana</t>
        </is>
      </c>
      <c r="D30" s="2" t="inlineStr">
        <is>
          <t>Kontrol ve Hat Vanalari</t>
        </is>
      </c>
      <c r="E30" s="2" t="inlineStr">
        <is>
          <t>Kelebek Vana</t>
        </is>
      </c>
      <c r="F30" s="2" t="inlineStr">
        <is>
          <t>Dogal Gaz, Kimya, Su Arıtma, Petrokimya</t>
        </is>
      </c>
      <c r="G30" s="2" t="inlineStr">
        <is>
          <t>Adet</t>
        </is>
      </c>
      <c r="H30" s="3" t="n">
        <v>318.96</v>
      </c>
      <c r="I30" s="3" t="n">
        <v>488.06</v>
      </c>
      <c r="J30" s="4" t="n">
        <v>0.2275</v>
      </c>
      <c r="K30" s="5" t="n">
        <v>19</v>
      </c>
      <c r="L30" s="5" t="n">
        <v>6</v>
      </c>
      <c r="M30" s="2" t="inlineStr">
        <is>
          <t>848180</t>
        </is>
      </c>
      <c r="N30" s="2" t="inlineStr">
        <is>
          <t>Aktif</t>
        </is>
      </c>
      <c r="O30" s="5" t="n">
        <v>40.56</v>
      </c>
    </row>
    <row r="31">
      <c r="A31" s="2" t="inlineStr">
        <is>
          <t>ENDVAN-030</t>
        </is>
      </c>
      <c r="B31" s="2" t="inlineStr">
        <is>
          <t>Kure Vana ANSI 150</t>
        </is>
      </c>
      <c r="C31" s="2" t="inlineStr">
        <is>
          <t>Endustriyel Vana</t>
        </is>
      </c>
      <c r="D31" s="2" t="inlineStr">
        <is>
          <t>Kontrol ve Hat Vanalari</t>
        </is>
      </c>
      <c r="E31" s="2" t="inlineStr">
        <is>
          <t>Kure Vana</t>
        </is>
      </c>
      <c r="F31" s="2" t="inlineStr">
        <is>
          <t>Petrokimya, Kimya</t>
        </is>
      </c>
      <c r="G31" s="2" t="inlineStr">
        <is>
          <t>Adet</t>
        </is>
      </c>
      <c r="H31" s="3" t="n">
        <v>303.77</v>
      </c>
      <c r="I31" s="3" t="n">
        <v>449.28</v>
      </c>
      <c r="J31" s="4" t="n">
        <v>0.2333</v>
      </c>
      <c r="K31" s="5" t="n">
        <v>37</v>
      </c>
      <c r="L31" s="5" t="n">
        <v>7</v>
      </c>
      <c r="M31" s="2" t="inlineStr">
        <is>
          <t>848180</t>
        </is>
      </c>
      <c r="N31" s="2" t="inlineStr">
        <is>
          <t>Aktif</t>
        </is>
      </c>
      <c r="O31" s="5" t="n">
        <v>75.23999999999999</v>
      </c>
    </row>
    <row r="32">
      <c r="A32" s="2" t="inlineStr">
        <is>
          <t>ENDVAN-031</t>
        </is>
      </c>
      <c r="B32" s="2" t="inlineStr">
        <is>
          <t>Glob Vana ANSI 150</t>
        </is>
      </c>
      <c r="C32" s="2" t="inlineStr">
        <is>
          <t>Endustriyel Vana</t>
        </is>
      </c>
      <c r="D32" s="2" t="inlineStr">
        <is>
          <t>Kontrol ve Hat Vanalari</t>
        </is>
      </c>
      <c r="E32" s="2" t="inlineStr">
        <is>
          <t>Glob Vana</t>
        </is>
      </c>
      <c r="F32" s="2" t="inlineStr">
        <is>
          <t>Petrokimya, Enerji, Dogal Gaz</t>
        </is>
      </c>
      <c r="G32" s="2" t="inlineStr">
        <is>
          <t>Adet</t>
        </is>
      </c>
      <c r="H32" s="3" t="n">
        <v>247.14</v>
      </c>
      <c r="I32" s="3" t="n">
        <v>318.24</v>
      </c>
      <c r="J32" s="4" t="n">
        <v>0.2575</v>
      </c>
      <c r="K32" s="5" t="n">
        <v>25</v>
      </c>
      <c r="L32" s="5" t="n">
        <v>2</v>
      </c>
      <c r="M32" s="2" t="inlineStr">
        <is>
          <t>848180</t>
        </is>
      </c>
      <c r="N32" s="2" t="inlineStr">
        <is>
          <t>Aktif</t>
        </is>
      </c>
      <c r="O32" s="5" t="n">
        <v>21.38</v>
      </c>
    </row>
    <row r="33">
      <c r="A33" s="2" t="inlineStr">
        <is>
          <t>ENDVAN-032</t>
        </is>
      </c>
      <c r="B33" s="2" t="inlineStr">
        <is>
          <t>Glob Vana Paslanmaz</t>
        </is>
      </c>
      <c r="C33" s="2" t="inlineStr">
        <is>
          <t>Endustriyel Vana</t>
        </is>
      </c>
      <c r="D33" s="2" t="inlineStr">
        <is>
          <t>Kontrol ve Hat Vanalari</t>
        </is>
      </c>
      <c r="E33" s="2" t="inlineStr">
        <is>
          <t>Glob Vana</t>
        </is>
      </c>
      <c r="F33" s="2" t="inlineStr">
        <is>
          <t>Petrokimya, Kimya, Su Arıtma, Enerji</t>
        </is>
      </c>
      <c r="G33" s="2" t="inlineStr">
        <is>
          <t>Adet</t>
        </is>
      </c>
      <c r="H33" s="3" t="n">
        <v>641.8099999999999</v>
      </c>
      <c r="I33" s="3" t="n">
        <v>983.22</v>
      </c>
      <c r="J33" s="4" t="n">
        <v>0.2824</v>
      </c>
      <c r="K33" s="5" t="n">
        <v>40</v>
      </c>
      <c r="L33" s="5" t="n">
        <v>7</v>
      </c>
      <c r="M33" s="2" t="inlineStr">
        <is>
          <t>848180</t>
        </is>
      </c>
      <c r="N33" s="2" t="inlineStr">
        <is>
          <t>Aktif</t>
        </is>
      </c>
      <c r="O33" s="5" t="n">
        <v>36.01</v>
      </c>
    </row>
    <row r="34">
      <c r="A34" s="2" t="inlineStr">
        <is>
          <t>ENDVAN-033</t>
        </is>
      </c>
      <c r="B34" s="2" t="inlineStr">
        <is>
          <t>Glob Vana ANSI 150</t>
        </is>
      </c>
      <c r="C34" s="2" t="inlineStr">
        <is>
          <t>Endustriyel Vana</t>
        </is>
      </c>
      <c r="D34" s="2" t="inlineStr">
        <is>
          <t>Kontrol ve Hat Vanalari</t>
        </is>
      </c>
      <c r="E34" s="2" t="inlineStr">
        <is>
          <t>Glob Vana</t>
        </is>
      </c>
      <c r="F34" s="2" t="inlineStr">
        <is>
          <t>Petrokimya, Enerji</t>
        </is>
      </c>
      <c r="G34" s="2" t="inlineStr">
        <is>
          <t>Adet</t>
        </is>
      </c>
      <c r="H34" s="3" t="n">
        <v>1125.6</v>
      </c>
      <c r="I34" s="3" t="n">
        <v>1679.4</v>
      </c>
      <c r="J34" s="4" t="n">
        <v>0.3191</v>
      </c>
      <c r="K34" s="5" t="n">
        <v>15</v>
      </c>
      <c r="L34" s="5" t="n">
        <v>4</v>
      </c>
      <c r="M34" s="2" t="inlineStr">
        <is>
          <t>848180</t>
        </is>
      </c>
      <c r="N34" s="2" t="inlineStr">
        <is>
          <t>Aktif</t>
        </is>
      </c>
      <c r="O34" s="5" t="n">
        <v>59.35</v>
      </c>
    </row>
    <row r="35">
      <c r="A35" s="2" t="inlineStr">
        <is>
          <t>ENDVAN-034</t>
        </is>
      </c>
      <c r="B35" s="2" t="inlineStr">
        <is>
          <t>Surgulu Vana Paslanmaz</t>
        </is>
      </c>
      <c r="C35" s="2" t="inlineStr">
        <is>
          <t>Endustriyel Vana</t>
        </is>
      </c>
      <c r="D35" s="2" t="inlineStr">
        <is>
          <t>Kontrol ve Hat Vanalari</t>
        </is>
      </c>
      <c r="E35" s="2" t="inlineStr">
        <is>
          <t>Surgulu Vana</t>
        </is>
      </c>
      <c r="F35" s="2" t="inlineStr">
        <is>
          <t>Petrokimya, Su Arıtma, Kimya, Dogal Gaz</t>
        </is>
      </c>
      <c r="G35" s="2" t="inlineStr">
        <is>
          <t>Adet</t>
        </is>
      </c>
      <c r="H35" s="3" t="n">
        <v>595.41</v>
      </c>
      <c r="I35" s="3" t="n">
        <v>775.99</v>
      </c>
      <c r="J35" s="4" t="n">
        <v>0.2818</v>
      </c>
      <c r="K35" s="5" t="n">
        <v>15</v>
      </c>
      <c r="L35" s="5" t="n">
        <v>10</v>
      </c>
      <c r="M35" s="2" t="inlineStr">
        <is>
          <t>848180</t>
        </is>
      </c>
      <c r="N35" s="2" t="inlineStr">
        <is>
          <t>Aktif</t>
        </is>
      </c>
      <c r="O35" s="5" t="n">
        <v>74.01000000000001</v>
      </c>
    </row>
    <row r="36">
      <c r="A36" s="2" t="inlineStr">
        <is>
          <t>FLAIZO-001</t>
        </is>
      </c>
      <c r="B36" s="2" t="inlineStr">
        <is>
          <t>Tam Yuzey PN16</t>
        </is>
      </c>
      <c r="C36" s="2" t="inlineStr">
        <is>
          <t>Flans Izolasyon Kiti</t>
        </is>
      </c>
      <c r="D36" s="2" t="inlineStr">
        <is>
          <t>Izolasyon ve Yalitım</t>
        </is>
      </c>
      <c r="E36" s="2" t="inlineStr">
        <is>
          <t>Tam Yuzey</t>
        </is>
      </c>
      <c r="F36" s="2" t="inlineStr">
        <is>
          <t>Petrokimya, Enerji, Kimya, Dogal Gaz</t>
        </is>
      </c>
      <c r="G36" s="2" t="inlineStr">
        <is>
          <t>Set</t>
        </is>
      </c>
      <c r="H36" s="3" t="n">
        <v>72.90000000000001</v>
      </c>
      <c r="I36" s="3" t="n">
        <v>109.49</v>
      </c>
      <c r="J36" s="4" t="n">
        <v>0.3824</v>
      </c>
      <c r="K36" s="5" t="n">
        <v>10</v>
      </c>
      <c r="L36" s="5" t="n">
        <v>10</v>
      </c>
      <c r="M36" s="2" t="inlineStr">
        <is>
          <t>401693</t>
        </is>
      </c>
      <c r="N36" s="2" t="inlineStr">
        <is>
          <t>Aktif</t>
        </is>
      </c>
      <c r="O36" s="5" t="n">
        <v>2.23</v>
      </c>
    </row>
    <row r="37">
      <c r="A37" s="2" t="inlineStr">
        <is>
          <t>FLAIZO-002</t>
        </is>
      </c>
      <c r="B37" s="2" t="inlineStr">
        <is>
          <t>Tam Yuzey PN16</t>
        </is>
      </c>
      <c r="C37" s="2" t="inlineStr">
        <is>
          <t>Flans Izolasyon Kiti</t>
        </is>
      </c>
      <c r="D37" s="2" t="inlineStr">
        <is>
          <t>Izolasyon ve Yalitım</t>
        </is>
      </c>
      <c r="E37" s="2" t="inlineStr">
        <is>
          <t>Tam Yuzey</t>
        </is>
      </c>
      <c r="F37" s="2" t="inlineStr">
        <is>
          <t>Kimya, Dogal Gaz, Petrokimya, Enerji</t>
        </is>
      </c>
      <c r="G37" s="2" t="inlineStr">
        <is>
          <t>Set</t>
        </is>
      </c>
      <c r="H37" s="3" t="n">
        <v>54.73</v>
      </c>
      <c r="I37" s="3" t="n">
        <v>101.66</v>
      </c>
      <c r="J37" s="4" t="n">
        <v>0.3763</v>
      </c>
      <c r="K37" s="5" t="n">
        <v>9</v>
      </c>
      <c r="L37" s="5" t="n">
        <v>76</v>
      </c>
      <c r="M37" s="2" t="inlineStr">
        <is>
          <t>401693</t>
        </is>
      </c>
      <c r="N37" s="2" t="inlineStr">
        <is>
          <t>Aktif</t>
        </is>
      </c>
      <c r="O37" s="5" t="n">
        <v>4.48</v>
      </c>
    </row>
    <row r="38">
      <c r="A38" s="2" t="inlineStr">
        <is>
          <t>FLAIZO-003</t>
        </is>
      </c>
      <c r="B38" s="2" t="inlineStr">
        <is>
          <t>RTJ Kit ANSI 150</t>
        </is>
      </c>
      <c r="C38" s="2" t="inlineStr">
        <is>
          <t>Flans Izolasyon Kiti</t>
        </is>
      </c>
      <c r="D38" s="2" t="inlineStr">
        <is>
          <t>Izolasyon ve Yalitım</t>
        </is>
      </c>
      <c r="E38" s="2" t="inlineStr">
        <is>
          <t>RTJ Kit</t>
        </is>
      </c>
      <c r="F38" s="2" t="inlineStr">
        <is>
          <t>Dogal Gaz, Kimya, Petrokimya, Enerji</t>
        </is>
      </c>
      <c r="G38" s="2" t="inlineStr">
        <is>
          <t>Set</t>
        </is>
      </c>
      <c r="H38" s="3" t="n">
        <v>90.26000000000001</v>
      </c>
      <c r="I38" s="3" t="n">
        <v>147.78</v>
      </c>
      <c r="J38" s="4" t="n">
        <v>0.4131</v>
      </c>
      <c r="K38" s="5" t="n">
        <v>19</v>
      </c>
      <c r="L38" s="5" t="n">
        <v>18</v>
      </c>
      <c r="M38" s="2" t="inlineStr">
        <is>
          <t>401693</t>
        </is>
      </c>
      <c r="N38" s="2" t="inlineStr">
        <is>
          <t>Pasif</t>
        </is>
      </c>
      <c r="O38" s="5" t="n">
        <v>4.25</v>
      </c>
    </row>
    <row r="39">
      <c r="A39" s="2" t="inlineStr">
        <is>
          <t>FLAIZO-004</t>
        </is>
      </c>
      <c r="B39" s="2" t="inlineStr">
        <is>
          <t>Ring Tipi ATEX</t>
        </is>
      </c>
      <c r="C39" s="2" t="inlineStr">
        <is>
          <t>Flans Izolasyon Kiti</t>
        </is>
      </c>
      <c r="D39" s="2" t="inlineStr">
        <is>
          <t>Izolasyon ve Yalitım</t>
        </is>
      </c>
      <c r="E39" s="2" t="inlineStr">
        <is>
          <t>Ring Tipi</t>
        </is>
      </c>
      <c r="F39" s="2" t="inlineStr">
        <is>
          <t>Petrokimya, Dogal Gaz</t>
        </is>
      </c>
      <c r="G39" s="2" t="inlineStr">
        <is>
          <t>Set</t>
        </is>
      </c>
      <c r="H39" s="3" t="n">
        <v>25.08</v>
      </c>
      <c r="I39" s="3" t="n">
        <v>46.85</v>
      </c>
      <c r="J39" s="4" t="n">
        <v>0.2959</v>
      </c>
      <c r="K39" s="5" t="n">
        <v>18</v>
      </c>
      <c r="L39" s="5" t="n">
        <v>19</v>
      </c>
      <c r="M39" s="2" t="inlineStr">
        <is>
          <t>401693</t>
        </is>
      </c>
      <c r="N39" s="2" t="inlineStr">
        <is>
          <t>Aktif</t>
        </is>
      </c>
      <c r="O39" s="5" t="n">
        <v>3.58</v>
      </c>
    </row>
    <row r="40">
      <c r="A40" s="2" t="inlineStr">
        <is>
          <t>FLAIZO-005</t>
        </is>
      </c>
      <c r="B40" s="2" t="inlineStr">
        <is>
          <t>Ring Tipi Hijyenik</t>
        </is>
      </c>
      <c r="C40" s="2" t="inlineStr">
        <is>
          <t>Flans Izolasyon Kiti</t>
        </is>
      </c>
      <c r="D40" s="2" t="inlineStr">
        <is>
          <t>Izolasyon ve Yalitım</t>
        </is>
      </c>
      <c r="E40" s="2" t="inlineStr">
        <is>
          <t>Ring Tipi</t>
        </is>
      </c>
      <c r="F40" s="2" t="inlineStr">
        <is>
          <t>Enerji, Kimya</t>
        </is>
      </c>
      <c r="G40" s="2" t="inlineStr">
        <is>
          <t>Set</t>
        </is>
      </c>
      <c r="H40" s="3" t="n">
        <v>120.26</v>
      </c>
      <c r="I40" s="3" t="n">
        <v>219.59</v>
      </c>
      <c r="J40" s="4" t="n">
        <v>0.4043</v>
      </c>
      <c r="K40" s="5" t="n">
        <v>11</v>
      </c>
      <c r="L40" s="5" t="n">
        <v>69</v>
      </c>
      <c r="M40" s="2" t="inlineStr">
        <is>
          <t>401693</t>
        </is>
      </c>
      <c r="N40" s="2" t="inlineStr">
        <is>
          <t>Aktif</t>
        </is>
      </c>
      <c r="O40" s="5" t="n">
        <v>3.15</v>
      </c>
    </row>
    <row r="41">
      <c r="A41" s="2" t="inlineStr">
        <is>
          <t>FLAIZO-006</t>
        </is>
      </c>
      <c r="B41" s="2" t="inlineStr">
        <is>
          <t>RTJ Kit ATEX</t>
        </is>
      </c>
      <c r="C41" s="2" t="inlineStr">
        <is>
          <t>Flans Izolasyon Kiti</t>
        </is>
      </c>
      <c r="D41" s="2" t="inlineStr">
        <is>
          <t>Izolasyon ve Yalitım</t>
        </is>
      </c>
      <c r="E41" s="2" t="inlineStr">
        <is>
          <t>RTJ Kit</t>
        </is>
      </c>
      <c r="F41" s="2" t="inlineStr">
        <is>
          <t>Dogal Gaz, Kimya</t>
        </is>
      </c>
      <c r="G41" s="2" t="inlineStr">
        <is>
          <t>Set</t>
        </is>
      </c>
      <c r="H41" s="3" t="n">
        <v>41.17</v>
      </c>
      <c r="I41" s="3" t="n">
        <v>60.1</v>
      </c>
      <c r="J41" s="4" t="n">
        <v>0.3428</v>
      </c>
      <c r="K41" s="5" t="n">
        <v>16</v>
      </c>
      <c r="L41" s="5" t="n">
        <v>43</v>
      </c>
      <c r="M41" s="2" t="inlineStr">
        <is>
          <t>401693</t>
        </is>
      </c>
      <c r="N41" s="2" t="inlineStr">
        <is>
          <t>Aktif</t>
        </is>
      </c>
      <c r="O41" s="5" t="n">
        <v>2.33</v>
      </c>
    </row>
    <row r="42">
      <c r="A42" s="2" t="inlineStr">
        <is>
          <t>FLAIZO-007</t>
        </is>
      </c>
      <c r="B42" s="2" t="inlineStr">
        <is>
          <t>RTJ Kit ANSI 150</t>
        </is>
      </c>
      <c r="C42" s="2" t="inlineStr">
        <is>
          <t>Flans Izolasyon Kiti</t>
        </is>
      </c>
      <c r="D42" s="2" t="inlineStr">
        <is>
          <t>Izolasyon ve Yalitım</t>
        </is>
      </c>
      <c r="E42" s="2" t="inlineStr">
        <is>
          <t>RTJ Kit</t>
        </is>
      </c>
      <c r="F42" s="2" t="inlineStr">
        <is>
          <t>Enerji, Dogal Gaz, Kimya, Petrokimya</t>
        </is>
      </c>
      <c r="G42" s="2" t="inlineStr">
        <is>
          <t>Set</t>
        </is>
      </c>
      <c r="H42" s="3" t="n">
        <v>70.09</v>
      </c>
      <c r="I42" s="3" t="n">
        <v>119.31</v>
      </c>
      <c r="J42" s="4" t="n">
        <v>0.2931</v>
      </c>
      <c r="K42" s="5" t="n">
        <v>14</v>
      </c>
      <c r="L42" s="5" t="n">
        <v>59</v>
      </c>
      <c r="M42" s="2" t="inlineStr">
        <is>
          <t>401693</t>
        </is>
      </c>
      <c r="N42" s="2" t="inlineStr">
        <is>
          <t>Aktif</t>
        </is>
      </c>
      <c r="O42" s="5" t="n">
        <v>1.9</v>
      </c>
    </row>
    <row r="43">
      <c r="A43" s="2" t="inlineStr">
        <is>
          <t>FLAIZO-008</t>
        </is>
      </c>
      <c r="B43" s="2" t="inlineStr">
        <is>
          <t>RTJ Kit Hijyenik</t>
        </is>
      </c>
      <c r="C43" s="2" t="inlineStr">
        <is>
          <t>Flans Izolasyon Kiti</t>
        </is>
      </c>
      <c r="D43" s="2" t="inlineStr">
        <is>
          <t>Izolasyon ve Yalitım</t>
        </is>
      </c>
      <c r="E43" s="2" t="inlineStr">
        <is>
          <t>RTJ Kit</t>
        </is>
      </c>
      <c r="F43" s="2" t="inlineStr">
        <is>
          <t>Petrokimya, Enerji, Kimya, Dogal Gaz</t>
        </is>
      </c>
      <c r="G43" s="2" t="inlineStr">
        <is>
          <t>Set</t>
        </is>
      </c>
      <c r="H43" s="3" t="n">
        <v>78.08</v>
      </c>
      <c r="I43" s="3" t="n">
        <v>130.74</v>
      </c>
      <c r="J43" s="4" t="n">
        <v>0.3659</v>
      </c>
      <c r="K43" s="5" t="n">
        <v>18</v>
      </c>
      <c r="L43" s="5" t="n">
        <v>34</v>
      </c>
      <c r="M43" s="2" t="inlineStr">
        <is>
          <t>401693</t>
        </is>
      </c>
      <c r="N43" s="2" t="inlineStr">
        <is>
          <t>Aktif</t>
        </is>
      </c>
      <c r="O43" s="5" t="n">
        <v>2.84</v>
      </c>
    </row>
    <row r="44">
      <c r="A44" s="2" t="inlineStr">
        <is>
          <t>FLAIZO-009</t>
        </is>
      </c>
      <c r="B44" s="2" t="inlineStr">
        <is>
          <t>Tam Yuzey PN16</t>
        </is>
      </c>
      <c r="C44" s="2" t="inlineStr">
        <is>
          <t>Flans Izolasyon Kiti</t>
        </is>
      </c>
      <c r="D44" s="2" t="inlineStr">
        <is>
          <t>Izolasyon ve Yalitım</t>
        </is>
      </c>
      <c r="E44" s="2" t="inlineStr">
        <is>
          <t>Tam Yuzey</t>
        </is>
      </c>
      <c r="F44" s="2" t="inlineStr">
        <is>
          <t>Enerji, Petrokimya</t>
        </is>
      </c>
      <c r="G44" s="2" t="inlineStr">
        <is>
          <t>Set</t>
        </is>
      </c>
      <c r="H44" s="3" t="n">
        <v>127.08</v>
      </c>
      <c r="I44" s="3" t="n">
        <v>211.02</v>
      </c>
      <c r="J44" s="4" t="n">
        <v>0.3196</v>
      </c>
      <c r="K44" s="5" t="n">
        <v>11</v>
      </c>
      <c r="L44" s="5" t="n">
        <v>25</v>
      </c>
      <c r="M44" s="2" t="inlineStr">
        <is>
          <t>401693</t>
        </is>
      </c>
      <c r="N44" s="2" t="inlineStr">
        <is>
          <t>Aktif</t>
        </is>
      </c>
      <c r="O44" s="5" t="n">
        <v>5.97</v>
      </c>
    </row>
    <row r="45">
      <c r="A45" s="2" t="inlineStr">
        <is>
          <t>FLAIZO-010</t>
        </is>
      </c>
      <c r="B45" s="2" t="inlineStr">
        <is>
          <t>Tam Yuzey Paslanmaz</t>
        </is>
      </c>
      <c r="C45" s="2" t="inlineStr">
        <is>
          <t>Flans Izolasyon Kiti</t>
        </is>
      </c>
      <c r="D45" s="2" t="inlineStr">
        <is>
          <t>Izolasyon ve Yalitım</t>
        </is>
      </c>
      <c r="E45" s="2" t="inlineStr">
        <is>
          <t>Tam Yuzey</t>
        </is>
      </c>
      <c r="F45" s="2" t="inlineStr">
        <is>
          <t>Petrokimya, Dogal Gaz</t>
        </is>
      </c>
      <c r="G45" s="2" t="inlineStr">
        <is>
          <t>Set</t>
        </is>
      </c>
      <c r="H45" s="3" t="n">
        <v>82.88</v>
      </c>
      <c r="I45" s="3" t="n">
        <v>144.82</v>
      </c>
      <c r="J45" s="4" t="n">
        <v>0.3931</v>
      </c>
      <c r="K45" s="5" t="n">
        <v>7</v>
      </c>
      <c r="L45" s="5" t="n">
        <v>40</v>
      </c>
      <c r="M45" s="2" t="inlineStr">
        <is>
          <t>401693</t>
        </is>
      </c>
      <c r="N45" s="2" t="inlineStr">
        <is>
          <t>Pasif</t>
        </is>
      </c>
      <c r="O45" s="5" t="n">
        <v>5.18</v>
      </c>
    </row>
    <row r="46">
      <c r="A46" s="2" t="inlineStr">
        <is>
          <t>FLAIZO-011</t>
        </is>
      </c>
      <c r="B46" s="2" t="inlineStr">
        <is>
          <t>Tam Yuzey Paslanmaz</t>
        </is>
      </c>
      <c r="C46" s="2" t="inlineStr">
        <is>
          <t>Flans Izolasyon Kiti</t>
        </is>
      </c>
      <c r="D46" s="2" t="inlineStr">
        <is>
          <t>Izolasyon ve Yalitım</t>
        </is>
      </c>
      <c r="E46" s="2" t="inlineStr">
        <is>
          <t>Tam Yuzey</t>
        </is>
      </c>
      <c r="F46" s="2" t="inlineStr">
        <is>
          <t>Enerji, Kimya</t>
        </is>
      </c>
      <c r="G46" s="2" t="inlineStr">
        <is>
          <t>Set</t>
        </is>
      </c>
      <c r="H46" s="3" t="n">
        <v>86.27</v>
      </c>
      <c r="I46" s="3" t="n">
        <v>163.24</v>
      </c>
      <c r="J46" s="4" t="n">
        <v>0.4159</v>
      </c>
      <c r="K46" s="5" t="n">
        <v>10</v>
      </c>
      <c r="L46" s="5" t="n">
        <v>64</v>
      </c>
      <c r="M46" s="2" t="inlineStr">
        <is>
          <t>401693</t>
        </is>
      </c>
      <c r="N46" s="2" t="inlineStr">
        <is>
          <t>Aktif</t>
        </is>
      </c>
      <c r="O46" s="5" t="n">
        <v>2.99</v>
      </c>
    </row>
    <row r="47">
      <c r="A47" s="2" t="inlineStr">
        <is>
          <t>FLAIZO-012</t>
        </is>
      </c>
      <c r="B47" s="2" t="inlineStr">
        <is>
          <t>Ring Tipi ATEX</t>
        </is>
      </c>
      <c r="C47" s="2" t="inlineStr">
        <is>
          <t>Flans Izolasyon Kiti</t>
        </is>
      </c>
      <c r="D47" s="2" t="inlineStr">
        <is>
          <t>Izolasyon ve Yalitım</t>
        </is>
      </c>
      <c r="E47" s="2" t="inlineStr">
        <is>
          <t>Ring Tipi</t>
        </is>
      </c>
      <c r="F47" s="2" t="inlineStr">
        <is>
          <t>Petrokimya, Dogal Gaz</t>
        </is>
      </c>
      <c r="G47" s="2" t="inlineStr">
        <is>
          <t>Set</t>
        </is>
      </c>
      <c r="H47" s="3" t="n">
        <v>30.33</v>
      </c>
      <c r="I47" s="3" t="n">
        <v>46.55</v>
      </c>
      <c r="J47" s="4" t="n">
        <v>0.2986</v>
      </c>
      <c r="K47" s="5" t="n">
        <v>17</v>
      </c>
      <c r="L47" s="5" t="n">
        <v>52</v>
      </c>
      <c r="M47" s="2" t="inlineStr">
        <is>
          <t>401693</t>
        </is>
      </c>
      <c r="N47" s="2" t="inlineStr">
        <is>
          <t>Aktif</t>
        </is>
      </c>
      <c r="O47" s="5" t="n">
        <v>4.56</v>
      </c>
    </row>
    <row r="48">
      <c r="A48" s="2" t="inlineStr">
        <is>
          <t>FLAIZO-013</t>
        </is>
      </c>
      <c r="B48" s="2" t="inlineStr">
        <is>
          <t>RTJ Kit Hijyenik</t>
        </is>
      </c>
      <c r="C48" s="2" t="inlineStr">
        <is>
          <t>Flans Izolasyon Kiti</t>
        </is>
      </c>
      <c r="D48" s="2" t="inlineStr">
        <is>
          <t>Izolasyon ve Yalitım</t>
        </is>
      </c>
      <c r="E48" s="2" t="inlineStr">
        <is>
          <t>RTJ Kit</t>
        </is>
      </c>
      <c r="F48" s="2" t="inlineStr">
        <is>
          <t>Kimya, Petrokimya, Dogal Gaz, Enerji</t>
        </is>
      </c>
      <c r="G48" s="2" t="inlineStr">
        <is>
          <t>Set</t>
        </is>
      </c>
      <c r="H48" s="3" t="n">
        <v>19.05</v>
      </c>
      <c r="I48" s="3" t="n">
        <v>35.8</v>
      </c>
      <c r="J48" s="4" t="n">
        <v>0.2835</v>
      </c>
      <c r="K48" s="5" t="n">
        <v>17</v>
      </c>
      <c r="L48" s="5" t="n">
        <v>42</v>
      </c>
      <c r="M48" s="2" t="inlineStr">
        <is>
          <t>401693</t>
        </is>
      </c>
      <c r="N48" s="2" t="inlineStr">
        <is>
          <t>Aktif</t>
        </is>
      </c>
      <c r="O48" s="5" t="n">
        <v>4.39</v>
      </c>
    </row>
    <row r="49">
      <c r="A49" s="2" t="inlineStr">
        <is>
          <t>FLAIZO-014</t>
        </is>
      </c>
      <c r="B49" s="2" t="inlineStr">
        <is>
          <t>Tam Yuzey Hijyenik</t>
        </is>
      </c>
      <c r="C49" s="2" t="inlineStr">
        <is>
          <t>Flans Izolasyon Kiti</t>
        </is>
      </c>
      <c r="D49" s="2" t="inlineStr">
        <is>
          <t>Izolasyon ve Yalitım</t>
        </is>
      </c>
      <c r="E49" s="2" t="inlineStr">
        <is>
          <t>Tam Yuzey</t>
        </is>
      </c>
      <c r="F49" s="2" t="inlineStr">
        <is>
          <t>Dogal Gaz, Petrokimya, Kimya, Enerji</t>
        </is>
      </c>
      <c r="G49" s="2" t="inlineStr">
        <is>
          <t>Set</t>
        </is>
      </c>
      <c r="H49" s="3" t="n">
        <v>32.61</v>
      </c>
      <c r="I49" s="3" t="n">
        <v>59.27</v>
      </c>
      <c r="J49" s="4" t="n">
        <v>0.3935</v>
      </c>
      <c r="K49" s="5" t="n">
        <v>17</v>
      </c>
      <c r="L49" s="5" t="n">
        <v>29</v>
      </c>
      <c r="M49" s="2" t="inlineStr">
        <is>
          <t>401693</t>
        </is>
      </c>
      <c r="N49" s="2" t="inlineStr">
        <is>
          <t>Aktif</t>
        </is>
      </c>
      <c r="O49" s="5" t="n">
        <v>1.7</v>
      </c>
    </row>
    <row r="50">
      <c r="A50" s="2" t="inlineStr">
        <is>
          <t>FLAIZO-015</t>
        </is>
      </c>
      <c r="B50" s="2" t="inlineStr">
        <is>
          <t>RTJ Kit ATEX</t>
        </is>
      </c>
      <c r="C50" s="2" t="inlineStr">
        <is>
          <t>Flans Izolasyon Kiti</t>
        </is>
      </c>
      <c r="D50" s="2" t="inlineStr">
        <is>
          <t>Izolasyon ve Yalitım</t>
        </is>
      </c>
      <c r="E50" s="2" t="inlineStr">
        <is>
          <t>RTJ Kit</t>
        </is>
      </c>
      <c r="F50" s="2" t="inlineStr">
        <is>
          <t>Kimya, Enerji</t>
        </is>
      </c>
      <c r="G50" s="2" t="inlineStr">
        <is>
          <t>Set</t>
        </is>
      </c>
      <c r="H50" s="3" t="n">
        <v>94.38</v>
      </c>
      <c r="I50" s="3" t="n">
        <v>170.81</v>
      </c>
      <c r="J50" s="4" t="n">
        <v>0.3618</v>
      </c>
      <c r="K50" s="5" t="n">
        <v>12</v>
      </c>
      <c r="L50" s="5" t="n">
        <v>21</v>
      </c>
      <c r="M50" s="2" t="inlineStr">
        <is>
          <t>401693</t>
        </is>
      </c>
      <c r="N50" s="2" t="inlineStr">
        <is>
          <t>Aktif</t>
        </is>
      </c>
      <c r="O50" s="5" t="n">
        <v>5.81</v>
      </c>
    </row>
    <row r="51">
      <c r="A51" s="2" t="inlineStr">
        <is>
          <t>MEKSIZ-001</t>
        </is>
      </c>
      <c r="B51" s="2" t="inlineStr">
        <is>
          <t>Kompakt Tip ANSI 150</t>
        </is>
      </c>
      <c r="C51" s="2" t="inlineStr">
        <is>
          <t>Mekanik Sizdirmazlik</t>
        </is>
      </c>
      <c r="D51" s="2" t="inlineStr">
        <is>
          <t>Sizdirmazlik Urunleri</t>
        </is>
      </c>
      <c r="E51" s="2" t="inlineStr">
        <is>
          <t>Kompakt Tip</t>
        </is>
      </c>
      <c r="F51" s="2" t="inlineStr">
        <is>
          <t>Kimya, Su Arıtma, Gida, Petrokimya</t>
        </is>
      </c>
      <c r="G51" s="2" t="inlineStr">
        <is>
          <t>Adet</t>
        </is>
      </c>
      <c r="H51" s="3" t="n">
        <v>372.57</v>
      </c>
      <c r="I51" s="3" t="n">
        <v>622.12</v>
      </c>
      <c r="J51" s="4" t="n">
        <v>0.3056</v>
      </c>
      <c r="K51" s="5" t="n">
        <v>10</v>
      </c>
      <c r="L51" s="5" t="n">
        <v>17</v>
      </c>
      <c r="M51" s="2" t="inlineStr">
        <is>
          <t>848420</t>
        </is>
      </c>
      <c r="N51" s="2" t="inlineStr">
        <is>
          <t>Aktif</t>
        </is>
      </c>
      <c r="O51" s="5" t="n">
        <v>3.61</v>
      </c>
    </row>
    <row r="52">
      <c r="A52" s="2" t="inlineStr">
        <is>
          <t>MEKSIZ-002</t>
        </is>
      </c>
      <c r="B52" s="2" t="inlineStr">
        <is>
          <t>Kompakt Tip Hijyenik</t>
        </is>
      </c>
      <c r="C52" s="2" t="inlineStr">
        <is>
          <t>Mekanik Sizdirmazlik</t>
        </is>
      </c>
      <c r="D52" s="2" t="inlineStr">
        <is>
          <t>Sizdirmazlik Urunleri</t>
        </is>
      </c>
      <c r="E52" s="2" t="inlineStr">
        <is>
          <t>Kompakt Tip</t>
        </is>
      </c>
      <c r="F52" s="2" t="inlineStr">
        <is>
          <t>Kimya, Petrokimya</t>
        </is>
      </c>
      <c r="G52" s="2" t="inlineStr">
        <is>
          <t>Adet</t>
        </is>
      </c>
      <c r="H52" s="3" t="n">
        <v>343.25</v>
      </c>
      <c r="I52" s="3" t="n">
        <v>479.86</v>
      </c>
      <c r="J52" s="4" t="n">
        <v>0.3496</v>
      </c>
      <c r="K52" s="5" t="n">
        <v>22</v>
      </c>
      <c r="L52" s="5" t="n">
        <v>2</v>
      </c>
      <c r="M52" s="2" t="inlineStr">
        <is>
          <t>848420</t>
        </is>
      </c>
      <c r="N52" s="2" t="inlineStr">
        <is>
          <t>Aktif</t>
        </is>
      </c>
      <c r="O52" s="5" t="n">
        <v>8.029999999999999</v>
      </c>
    </row>
    <row r="53">
      <c r="A53" s="2" t="inlineStr">
        <is>
          <t>MEKSIZ-003</t>
        </is>
      </c>
      <c r="B53" s="2" t="inlineStr">
        <is>
          <t>Kartus Tip Hijyenik</t>
        </is>
      </c>
      <c r="C53" s="2" t="inlineStr">
        <is>
          <t>Mekanik Sizdirmazlik</t>
        </is>
      </c>
      <c r="D53" s="2" t="inlineStr">
        <is>
          <t>Sizdirmazlik Urunleri</t>
        </is>
      </c>
      <c r="E53" s="2" t="inlineStr">
        <is>
          <t>Kartus Tip</t>
        </is>
      </c>
      <c r="F53" s="2" t="inlineStr">
        <is>
          <t>Petrokimya, Kimya, Gida, Su Arıtma</t>
        </is>
      </c>
      <c r="G53" s="2" t="inlineStr">
        <is>
          <t>Adet</t>
        </is>
      </c>
      <c r="H53" s="3" t="n">
        <v>341.68</v>
      </c>
      <c r="I53" s="3" t="n">
        <v>496.46</v>
      </c>
      <c r="J53" s="4" t="n">
        <v>0.26</v>
      </c>
      <c r="K53" s="5" t="n">
        <v>12</v>
      </c>
      <c r="L53" s="5" t="n">
        <v>2</v>
      </c>
      <c r="M53" s="2" t="inlineStr">
        <is>
          <t>848420</t>
        </is>
      </c>
      <c r="N53" s="2" t="inlineStr">
        <is>
          <t>Aktif</t>
        </is>
      </c>
      <c r="O53" s="5" t="n">
        <v>7.68</v>
      </c>
    </row>
    <row r="54">
      <c r="A54" s="2" t="inlineStr">
        <is>
          <t>MEKSIZ-004</t>
        </is>
      </c>
      <c r="B54" s="2" t="inlineStr">
        <is>
          <t>Agir Hizmet Tipi Hijyenik</t>
        </is>
      </c>
      <c r="C54" s="2" t="inlineStr">
        <is>
          <t>Mekanik Sizdirmazlik</t>
        </is>
      </c>
      <c r="D54" s="2" t="inlineStr">
        <is>
          <t>Sizdirmazlik Urunleri</t>
        </is>
      </c>
      <c r="E54" s="2" t="inlineStr">
        <is>
          <t>Agir Hizmet Tipi</t>
        </is>
      </c>
      <c r="F54" s="2" t="inlineStr">
        <is>
          <t>Kimya, Gida, Su Arıtma, Petrokimya</t>
        </is>
      </c>
      <c r="G54" s="2" t="inlineStr">
        <is>
          <t>Adet</t>
        </is>
      </c>
      <c r="H54" s="3" t="n">
        <v>164.52</v>
      </c>
      <c r="I54" s="3" t="n">
        <v>249.9</v>
      </c>
      <c r="J54" s="4" t="n">
        <v>0.2613</v>
      </c>
      <c r="K54" s="5" t="n">
        <v>14</v>
      </c>
      <c r="L54" s="5" t="n">
        <v>18</v>
      </c>
      <c r="M54" s="2" t="inlineStr">
        <is>
          <t>848420</t>
        </is>
      </c>
      <c r="N54" s="2" t="inlineStr">
        <is>
          <t>Aktif</t>
        </is>
      </c>
      <c r="O54" s="5" t="n">
        <v>11.27</v>
      </c>
    </row>
    <row r="55">
      <c r="A55" s="2" t="inlineStr">
        <is>
          <t>MEKSIZ-005</t>
        </is>
      </c>
      <c r="B55" s="2" t="inlineStr">
        <is>
          <t>Kompakt Tip Hijyenik</t>
        </is>
      </c>
      <c r="C55" s="2" t="inlineStr">
        <is>
          <t>Mekanik Sizdirmazlik</t>
        </is>
      </c>
      <c r="D55" s="2" t="inlineStr">
        <is>
          <t>Sizdirmazlik Urunleri</t>
        </is>
      </c>
      <c r="E55" s="2" t="inlineStr">
        <is>
          <t>Kompakt Tip</t>
        </is>
      </c>
      <c r="F55" s="2" t="inlineStr">
        <is>
          <t>Su Arıtma, Gida</t>
        </is>
      </c>
      <c r="G55" s="2" t="inlineStr">
        <is>
          <t>Adet</t>
        </is>
      </c>
      <c r="H55" s="3" t="n">
        <v>370.26</v>
      </c>
      <c r="I55" s="3" t="n">
        <v>652.76</v>
      </c>
      <c r="J55" s="4" t="n">
        <v>0.3219</v>
      </c>
      <c r="K55" s="5" t="n">
        <v>11</v>
      </c>
      <c r="L55" s="5" t="n">
        <v>15</v>
      </c>
      <c r="M55" s="2" t="inlineStr">
        <is>
          <t>848420</t>
        </is>
      </c>
      <c r="N55" s="2" t="inlineStr">
        <is>
          <t>Aktif</t>
        </is>
      </c>
      <c r="O55" s="5" t="n">
        <v>6.66</v>
      </c>
    </row>
    <row r="56">
      <c r="A56" s="2" t="inlineStr">
        <is>
          <t>MEKSIZ-006</t>
        </is>
      </c>
      <c r="B56" s="2" t="inlineStr">
        <is>
          <t>Kompakt Tip ATEX</t>
        </is>
      </c>
      <c r="C56" s="2" t="inlineStr">
        <is>
          <t>Mekanik Sizdirmazlik</t>
        </is>
      </c>
      <c r="D56" s="2" t="inlineStr">
        <is>
          <t>Sizdirmazlik Urunleri</t>
        </is>
      </c>
      <c r="E56" s="2" t="inlineStr">
        <is>
          <t>Kompakt Tip</t>
        </is>
      </c>
      <c r="F56" s="2" t="inlineStr">
        <is>
          <t>Su Arıtma, Kimya, Gida</t>
        </is>
      </c>
      <c r="G56" s="2" t="inlineStr">
        <is>
          <t>Adet</t>
        </is>
      </c>
      <c r="H56" s="3" t="n">
        <v>347.05</v>
      </c>
      <c r="I56" s="3" t="n">
        <v>548.6</v>
      </c>
      <c r="J56" s="4" t="n">
        <v>0.3077</v>
      </c>
      <c r="K56" s="5" t="n">
        <v>19</v>
      </c>
      <c r="L56" s="5" t="n">
        <v>5</v>
      </c>
      <c r="M56" s="2" t="inlineStr">
        <is>
          <t>848420</t>
        </is>
      </c>
      <c r="N56" s="2" t="inlineStr">
        <is>
          <t>Aktif</t>
        </is>
      </c>
      <c r="O56" s="5" t="n">
        <v>9.380000000000001</v>
      </c>
    </row>
    <row r="57">
      <c r="A57" s="2" t="inlineStr">
        <is>
          <t>MEKSIZ-007</t>
        </is>
      </c>
      <c r="B57" s="2" t="inlineStr">
        <is>
          <t>Kompakt Tip Paslanmaz</t>
        </is>
      </c>
      <c r="C57" s="2" t="inlineStr">
        <is>
          <t>Mekanik Sizdirmazlik</t>
        </is>
      </c>
      <c r="D57" s="2" t="inlineStr">
        <is>
          <t>Sizdirmazlik Urunleri</t>
        </is>
      </c>
      <c r="E57" s="2" t="inlineStr">
        <is>
          <t>Kompakt Tip</t>
        </is>
      </c>
      <c r="F57" s="2" t="inlineStr">
        <is>
          <t>Su Arıtma, Gida, Kimya, Petrokimya</t>
        </is>
      </c>
      <c r="G57" s="2" t="inlineStr">
        <is>
          <t>Adet</t>
        </is>
      </c>
      <c r="H57" s="3" t="n">
        <v>301.85</v>
      </c>
      <c r="I57" s="3" t="n">
        <v>462.96</v>
      </c>
      <c r="J57" s="4" t="n">
        <v>0.3599</v>
      </c>
      <c r="K57" s="5" t="n">
        <v>14</v>
      </c>
      <c r="L57" s="5" t="n">
        <v>20</v>
      </c>
      <c r="M57" s="2" t="inlineStr">
        <is>
          <t>848420</t>
        </is>
      </c>
      <c r="N57" s="2" t="inlineStr">
        <is>
          <t>Pasif</t>
        </is>
      </c>
      <c r="O57" s="5" t="n">
        <v>3.64</v>
      </c>
    </row>
    <row r="58">
      <c r="A58" s="2" t="inlineStr">
        <is>
          <t>MEKSIZ-008</t>
        </is>
      </c>
      <c r="B58" s="2" t="inlineStr">
        <is>
          <t>Kartus Tip ATEX</t>
        </is>
      </c>
      <c r="C58" s="2" t="inlineStr">
        <is>
          <t>Mekanik Sizdirmazlik</t>
        </is>
      </c>
      <c r="D58" s="2" t="inlineStr">
        <is>
          <t>Sizdirmazlik Urunleri</t>
        </is>
      </c>
      <c r="E58" s="2" t="inlineStr">
        <is>
          <t>Kartus Tip</t>
        </is>
      </c>
      <c r="F58" s="2" t="inlineStr">
        <is>
          <t>Petrokimya, Kimya</t>
        </is>
      </c>
      <c r="G58" s="2" t="inlineStr">
        <is>
          <t>Adet</t>
        </is>
      </c>
      <c r="H58" s="3" t="n">
        <v>457.74</v>
      </c>
      <c r="I58" s="3" t="n">
        <v>702.51</v>
      </c>
      <c r="J58" s="4" t="n">
        <v>0.332</v>
      </c>
      <c r="K58" s="5" t="n">
        <v>15</v>
      </c>
      <c r="L58" s="5" t="n">
        <v>4</v>
      </c>
      <c r="M58" s="2" t="inlineStr">
        <is>
          <t>848420</t>
        </is>
      </c>
      <c r="N58" s="2" t="inlineStr">
        <is>
          <t>Aktif</t>
        </is>
      </c>
      <c r="O58" s="5" t="n">
        <v>10.16</v>
      </c>
    </row>
    <row r="59">
      <c r="A59" s="2" t="inlineStr">
        <is>
          <t>MEKSIZ-009</t>
        </is>
      </c>
      <c r="B59" s="2" t="inlineStr">
        <is>
          <t>Kartus Tip Paslanmaz</t>
        </is>
      </c>
      <c r="C59" s="2" t="inlineStr">
        <is>
          <t>Mekanik Sizdirmazlik</t>
        </is>
      </c>
      <c r="D59" s="2" t="inlineStr">
        <is>
          <t>Sizdirmazlik Urunleri</t>
        </is>
      </c>
      <c r="E59" s="2" t="inlineStr">
        <is>
          <t>Kartus Tip</t>
        </is>
      </c>
      <c r="F59" s="2" t="inlineStr">
        <is>
          <t>Petrokimya, Su Arıtma, Gida, Kimya</t>
        </is>
      </c>
      <c r="G59" s="2" t="inlineStr">
        <is>
          <t>Adet</t>
        </is>
      </c>
      <c r="H59" s="3" t="n">
        <v>458.31</v>
      </c>
      <c r="I59" s="3" t="n">
        <v>776.41</v>
      </c>
      <c r="J59" s="4" t="n">
        <v>0.2535</v>
      </c>
      <c r="K59" s="5" t="n">
        <v>27</v>
      </c>
      <c r="L59" s="5" t="n">
        <v>9</v>
      </c>
      <c r="M59" s="2" t="inlineStr">
        <is>
          <t>848420</t>
        </is>
      </c>
      <c r="N59" s="2" t="inlineStr">
        <is>
          <t>Aktif</t>
        </is>
      </c>
      <c r="O59" s="5" t="n">
        <v>2.64</v>
      </c>
    </row>
    <row r="60">
      <c r="A60" s="2" t="inlineStr">
        <is>
          <t>MEKSIZ-010</t>
        </is>
      </c>
      <c r="B60" s="2" t="inlineStr">
        <is>
          <t>Kartus Tip ATEX</t>
        </is>
      </c>
      <c r="C60" s="2" t="inlineStr">
        <is>
          <t>Mekanik Sizdirmazlik</t>
        </is>
      </c>
      <c r="D60" s="2" t="inlineStr">
        <is>
          <t>Sizdirmazlik Urunleri</t>
        </is>
      </c>
      <c r="E60" s="2" t="inlineStr">
        <is>
          <t>Kartus Tip</t>
        </is>
      </c>
      <c r="F60" s="2" t="inlineStr">
        <is>
          <t>Kimya, Petrokimya, Su Arıtma, Gida</t>
        </is>
      </c>
      <c r="G60" s="2" t="inlineStr">
        <is>
          <t>Adet</t>
        </is>
      </c>
      <c r="H60" s="3" t="n">
        <v>421.08</v>
      </c>
      <c r="I60" s="3" t="n">
        <v>686.01</v>
      </c>
      <c r="J60" s="4" t="n">
        <v>0.3523</v>
      </c>
      <c r="K60" s="5" t="n">
        <v>26</v>
      </c>
      <c r="L60" s="5" t="n">
        <v>12</v>
      </c>
      <c r="M60" s="2" t="inlineStr">
        <is>
          <t>848420</t>
        </is>
      </c>
      <c r="N60" s="2" t="inlineStr">
        <is>
          <t>Aktif</t>
        </is>
      </c>
      <c r="O60" s="5" t="n">
        <v>6.22</v>
      </c>
    </row>
    <row r="61">
      <c r="A61" s="2" t="inlineStr">
        <is>
          <t>MEKSIZ-011</t>
        </is>
      </c>
      <c r="B61" s="2" t="inlineStr">
        <is>
          <t>Kompakt Tip ATEX</t>
        </is>
      </c>
      <c r="C61" s="2" t="inlineStr">
        <is>
          <t>Mekanik Sizdirmazlik</t>
        </is>
      </c>
      <c r="D61" s="2" t="inlineStr">
        <is>
          <t>Sizdirmazlik Urunleri</t>
        </is>
      </c>
      <c r="E61" s="2" t="inlineStr">
        <is>
          <t>Kompakt Tip</t>
        </is>
      </c>
      <c r="F61" s="2" t="inlineStr">
        <is>
          <t>Gida, Kimya</t>
        </is>
      </c>
      <c r="G61" s="2" t="inlineStr">
        <is>
          <t>Adet</t>
        </is>
      </c>
      <c r="H61" s="3" t="n">
        <v>258.54</v>
      </c>
      <c r="I61" s="3" t="n">
        <v>437.51</v>
      </c>
      <c r="J61" s="4" t="n">
        <v>0.3039</v>
      </c>
      <c r="K61" s="5" t="n">
        <v>22</v>
      </c>
      <c r="L61" s="5" t="n">
        <v>18</v>
      </c>
      <c r="M61" s="2" t="inlineStr">
        <is>
          <t>848420</t>
        </is>
      </c>
      <c r="N61" s="2" t="inlineStr">
        <is>
          <t>Aktif</t>
        </is>
      </c>
      <c r="O61" s="5" t="n">
        <v>8.84</v>
      </c>
    </row>
    <row r="62">
      <c r="A62" s="2" t="inlineStr">
        <is>
          <t>MEKSIZ-012</t>
        </is>
      </c>
      <c r="B62" s="2" t="inlineStr">
        <is>
          <t>Kartus Tip ATEX</t>
        </is>
      </c>
      <c r="C62" s="2" t="inlineStr">
        <is>
          <t>Mekanik Sizdirmazlik</t>
        </is>
      </c>
      <c r="D62" s="2" t="inlineStr">
        <is>
          <t>Sizdirmazlik Urunleri</t>
        </is>
      </c>
      <c r="E62" s="2" t="inlineStr">
        <is>
          <t>Kartus Tip</t>
        </is>
      </c>
      <c r="F62" s="2" t="inlineStr">
        <is>
          <t>Kimya, Gida, Petrokimya</t>
        </is>
      </c>
      <c r="G62" s="2" t="inlineStr">
        <is>
          <t>Adet</t>
        </is>
      </c>
      <c r="H62" s="3" t="n">
        <v>282.12</v>
      </c>
      <c r="I62" s="3" t="n">
        <v>459.22</v>
      </c>
      <c r="J62" s="4" t="n">
        <v>0.3408</v>
      </c>
      <c r="K62" s="5" t="n">
        <v>16</v>
      </c>
      <c r="L62" s="5" t="n">
        <v>4</v>
      </c>
      <c r="M62" s="2" t="inlineStr">
        <is>
          <t>848420</t>
        </is>
      </c>
      <c r="N62" s="2" t="inlineStr">
        <is>
          <t>Aktif</t>
        </is>
      </c>
      <c r="O62" s="5" t="n">
        <v>10.17</v>
      </c>
    </row>
    <row r="63">
      <c r="A63" s="2" t="inlineStr">
        <is>
          <t>MEKSIZ-013</t>
        </is>
      </c>
      <c r="B63" s="2" t="inlineStr">
        <is>
          <t>Kompakt Tip ATEX</t>
        </is>
      </c>
      <c r="C63" s="2" t="inlineStr">
        <is>
          <t>Mekanik Sizdirmazlik</t>
        </is>
      </c>
      <c r="D63" s="2" t="inlineStr">
        <is>
          <t>Sizdirmazlik Urunleri</t>
        </is>
      </c>
      <c r="E63" s="2" t="inlineStr">
        <is>
          <t>Kompakt Tip</t>
        </is>
      </c>
      <c r="F63" s="2" t="inlineStr">
        <is>
          <t>Kimya, Gida</t>
        </is>
      </c>
      <c r="G63" s="2" t="inlineStr">
        <is>
          <t>Adet</t>
        </is>
      </c>
      <c r="H63" s="3" t="n">
        <v>45.62</v>
      </c>
      <c r="I63" s="3" t="n">
        <v>69.40000000000001</v>
      </c>
      <c r="J63" s="4" t="n">
        <v>0.2493</v>
      </c>
      <c r="K63" s="5" t="n">
        <v>27</v>
      </c>
      <c r="L63" s="5" t="n">
        <v>2</v>
      </c>
      <c r="M63" s="2" t="inlineStr">
        <is>
          <t>848420</t>
        </is>
      </c>
      <c r="N63" s="2" t="inlineStr">
        <is>
          <t>Aktif</t>
        </is>
      </c>
      <c r="O63" s="5" t="n">
        <v>7.31</v>
      </c>
    </row>
    <row r="64">
      <c r="A64" s="2" t="inlineStr">
        <is>
          <t>MEKSIZ-014</t>
        </is>
      </c>
      <c r="B64" s="2" t="inlineStr">
        <is>
          <t>Agir Hizmet Tipi ANSI 150</t>
        </is>
      </c>
      <c r="C64" s="2" t="inlineStr">
        <is>
          <t>Mekanik Sizdirmazlik</t>
        </is>
      </c>
      <c r="D64" s="2" t="inlineStr">
        <is>
          <t>Sizdirmazlik Urunleri</t>
        </is>
      </c>
      <c r="E64" s="2" t="inlineStr">
        <is>
          <t>Agir Hizmet Tipi</t>
        </is>
      </c>
      <c r="F64" s="2" t="inlineStr">
        <is>
          <t>Petrokimya, Gida, Kimya</t>
        </is>
      </c>
      <c r="G64" s="2" t="inlineStr">
        <is>
          <t>Adet</t>
        </is>
      </c>
      <c r="H64" s="3" t="n">
        <v>242.32</v>
      </c>
      <c r="I64" s="3" t="n">
        <v>396.15</v>
      </c>
      <c r="J64" s="4" t="n">
        <v>0.317</v>
      </c>
      <c r="K64" s="5" t="n">
        <v>18</v>
      </c>
      <c r="L64" s="5" t="n">
        <v>8</v>
      </c>
      <c r="M64" s="2" t="inlineStr">
        <is>
          <t>848420</t>
        </is>
      </c>
      <c r="N64" s="2" t="inlineStr">
        <is>
          <t>Aktif</t>
        </is>
      </c>
      <c r="O64" s="5" t="n">
        <v>10.88</v>
      </c>
    </row>
    <row r="65">
      <c r="A65" s="2" t="inlineStr">
        <is>
          <t>KAR/-001</t>
        </is>
      </c>
      <c r="B65" s="2" t="inlineStr">
        <is>
          <t>Manyetik Mikser Paslanmaz</t>
        </is>
      </c>
      <c r="C65" s="2" t="inlineStr">
        <is>
          <t>Karistirici / Mikser</t>
        </is>
      </c>
      <c r="D65" s="2" t="inlineStr">
        <is>
          <t>Proses Karistirma Sistemleri</t>
        </is>
      </c>
      <c r="E65" s="2" t="inlineStr">
        <is>
          <t>Manyetik Mikser</t>
        </is>
      </c>
      <c r="F65" s="2" t="inlineStr">
        <is>
          <t>Su Arıtma, Kimya</t>
        </is>
      </c>
      <c r="G65" s="2" t="inlineStr">
        <is>
          <t>Adet</t>
        </is>
      </c>
      <c r="H65" s="3" t="n">
        <v>7519.05</v>
      </c>
      <c r="I65" s="3" t="n">
        <v>9847.34</v>
      </c>
      <c r="J65" s="4" t="n">
        <v>0.2251</v>
      </c>
      <c r="K65" s="5" t="n">
        <v>44</v>
      </c>
      <c r="L65" s="5" t="n">
        <v>4</v>
      </c>
      <c r="M65" s="2" t="inlineStr">
        <is>
          <t>847982</t>
        </is>
      </c>
      <c r="N65" s="2" t="inlineStr">
        <is>
          <t>Aktif</t>
        </is>
      </c>
      <c r="O65" s="5" t="n">
        <v>389.44</v>
      </c>
    </row>
    <row r="66">
      <c r="A66" s="2" t="inlineStr">
        <is>
          <t>KAR/-002</t>
        </is>
      </c>
      <c r="B66" s="2" t="inlineStr">
        <is>
          <t>Manyetik Mikser Hijyenik</t>
        </is>
      </c>
      <c r="C66" s="2" t="inlineStr">
        <is>
          <t>Karistirici / Mikser</t>
        </is>
      </c>
      <c r="D66" s="2" t="inlineStr">
        <is>
          <t>Proses Karistirma Sistemleri</t>
        </is>
      </c>
      <c r="E66" s="2" t="inlineStr">
        <is>
          <t>Manyetik Mikser</t>
        </is>
      </c>
      <c r="F66" s="2" t="inlineStr">
        <is>
          <t>Petrokimya, Kimya</t>
        </is>
      </c>
      <c r="G66" s="2" t="inlineStr">
        <is>
          <t>Adet</t>
        </is>
      </c>
      <c r="H66" s="3" t="n">
        <v>9102.83</v>
      </c>
      <c r="I66" s="3" t="n">
        <v>11804.49</v>
      </c>
      <c r="J66" s="4" t="n">
        <v>0.2557</v>
      </c>
      <c r="K66" s="5" t="n">
        <v>35</v>
      </c>
      <c r="L66" s="5" t="n">
        <v>3</v>
      </c>
      <c r="M66" s="2" t="inlineStr">
        <is>
          <t>847982</t>
        </is>
      </c>
      <c r="N66" s="2" t="inlineStr">
        <is>
          <t>Aktif</t>
        </is>
      </c>
      <c r="O66" s="5" t="n">
        <v>211.02</v>
      </c>
    </row>
    <row r="67">
      <c r="A67" s="2" t="inlineStr">
        <is>
          <t>KAR/-003</t>
        </is>
      </c>
      <c r="B67" s="2" t="inlineStr">
        <is>
          <t>Manyetik Mikser Hijyenik</t>
        </is>
      </c>
      <c r="C67" s="2" t="inlineStr">
        <is>
          <t>Karistirici / Mikser</t>
        </is>
      </c>
      <c r="D67" s="2" t="inlineStr">
        <is>
          <t>Proses Karistirma Sistemleri</t>
        </is>
      </c>
      <c r="E67" s="2" t="inlineStr">
        <is>
          <t>Manyetik Mikser</t>
        </is>
      </c>
      <c r="F67" s="2" t="inlineStr">
        <is>
          <t>Su Arıtma, Petrokimya, Kimya</t>
        </is>
      </c>
      <c r="G67" s="2" t="inlineStr">
        <is>
          <t>Adet</t>
        </is>
      </c>
      <c r="H67" s="3" t="n">
        <v>3349.2</v>
      </c>
      <c r="I67" s="3" t="n">
        <v>4453.28</v>
      </c>
      <c r="J67" s="4" t="n">
        <v>0.27</v>
      </c>
      <c r="K67" s="5" t="n">
        <v>40</v>
      </c>
      <c r="L67" s="5" t="n">
        <v>3</v>
      </c>
      <c r="M67" s="2" t="inlineStr">
        <is>
          <t>847982</t>
        </is>
      </c>
      <c r="N67" s="2" t="inlineStr">
        <is>
          <t>Aktif</t>
        </is>
      </c>
      <c r="O67" s="5" t="n">
        <v>370.01</v>
      </c>
    </row>
    <row r="68">
      <c r="A68" s="2" t="inlineStr">
        <is>
          <t>KAR/-004</t>
        </is>
      </c>
      <c r="B68" s="2" t="inlineStr">
        <is>
          <t>Ustten Girisli Hijyenik</t>
        </is>
      </c>
      <c r="C68" s="2" t="inlineStr">
        <is>
          <t>Karistirici / Mikser</t>
        </is>
      </c>
      <c r="D68" s="2" t="inlineStr">
        <is>
          <t>Proses Karistirma Sistemleri</t>
        </is>
      </c>
      <c r="E68" s="2" t="inlineStr">
        <is>
          <t>Ustten Girisli</t>
        </is>
      </c>
      <c r="F68" s="2" t="inlineStr">
        <is>
          <t>Gida, Su Arıtma, Kimya</t>
        </is>
      </c>
      <c r="G68" s="2" t="inlineStr">
        <is>
          <t>Adet</t>
        </is>
      </c>
      <c r="H68" s="3" t="n">
        <v>3492.79</v>
      </c>
      <c r="I68" s="3" t="n">
        <v>4467.43</v>
      </c>
      <c r="J68" s="4" t="n">
        <v>0.2521</v>
      </c>
      <c r="K68" s="5" t="n">
        <v>58</v>
      </c>
      <c r="L68" s="5" t="n">
        <v>2</v>
      </c>
      <c r="M68" s="2" t="inlineStr">
        <is>
          <t>847982</t>
        </is>
      </c>
      <c r="N68" s="2" t="inlineStr">
        <is>
          <t>Aktif</t>
        </is>
      </c>
      <c r="O68" s="5" t="n">
        <v>272.23</v>
      </c>
    </row>
    <row r="69">
      <c r="A69" s="2" t="inlineStr">
        <is>
          <t>KAR/-005</t>
        </is>
      </c>
      <c r="B69" s="2" t="inlineStr">
        <is>
          <t>Yandan Girisli ANSI 150</t>
        </is>
      </c>
      <c r="C69" s="2" t="inlineStr">
        <is>
          <t>Karistirici / Mikser</t>
        </is>
      </c>
      <c r="D69" s="2" t="inlineStr">
        <is>
          <t>Proses Karistirma Sistemleri</t>
        </is>
      </c>
      <c r="E69" s="2" t="inlineStr">
        <is>
          <t>Yandan Girisli</t>
        </is>
      </c>
      <c r="F69" s="2" t="inlineStr">
        <is>
          <t>Gida, Su Arıtma, Petrokimya, Kimya</t>
        </is>
      </c>
      <c r="G69" s="2" t="inlineStr">
        <is>
          <t>Adet</t>
        </is>
      </c>
      <c r="H69" s="3" t="n">
        <v>3490.84</v>
      </c>
      <c r="I69" s="3" t="n">
        <v>4756.82</v>
      </c>
      <c r="J69" s="4" t="n">
        <v>0.1896</v>
      </c>
      <c r="K69" s="5" t="n">
        <v>43</v>
      </c>
      <c r="L69" s="5" t="n">
        <v>3</v>
      </c>
      <c r="M69" s="2" t="inlineStr">
        <is>
          <t>847982</t>
        </is>
      </c>
      <c r="N69" s="2" t="inlineStr">
        <is>
          <t>Aktif</t>
        </is>
      </c>
      <c r="O69" s="5" t="n">
        <v>159.5</v>
      </c>
    </row>
    <row r="70">
      <c r="A70" s="2" t="inlineStr">
        <is>
          <t>KAR/-006</t>
        </is>
      </c>
      <c r="B70" s="2" t="inlineStr">
        <is>
          <t>Ustten Girisli Hijyenik</t>
        </is>
      </c>
      <c r="C70" s="2" t="inlineStr">
        <is>
          <t>Karistirici / Mikser</t>
        </is>
      </c>
      <c r="D70" s="2" t="inlineStr">
        <is>
          <t>Proses Karistirma Sistemleri</t>
        </is>
      </c>
      <c r="E70" s="2" t="inlineStr">
        <is>
          <t>Ustten Girisli</t>
        </is>
      </c>
      <c r="F70" s="2" t="inlineStr">
        <is>
          <t>Petrokimya, Su Arıtma</t>
        </is>
      </c>
      <c r="G70" s="2" t="inlineStr">
        <is>
          <t>Adet</t>
        </is>
      </c>
      <c r="H70" s="3" t="n">
        <v>3681.11</v>
      </c>
      <c r="I70" s="3" t="n">
        <v>4812.32</v>
      </c>
      <c r="J70" s="4" t="n">
        <v>0.2377</v>
      </c>
      <c r="K70" s="5" t="n">
        <v>53</v>
      </c>
      <c r="L70" s="5" t="n">
        <v>3</v>
      </c>
      <c r="M70" s="2" t="inlineStr">
        <is>
          <t>847982</t>
        </is>
      </c>
      <c r="N70" s="2" t="inlineStr">
        <is>
          <t>Aktif</t>
        </is>
      </c>
      <c r="O70" s="5" t="n">
        <v>378.5</v>
      </c>
    </row>
    <row r="71">
      <c r="A71" s="2" t="inlineStr">
        <is>
          <t>KAR/-007</t>
        </is>
      </c>
      <c r="B71" s="2" t="inlineStr">
        <is>
          <t>Yandan Girisli ANSI 150</t>
        </is>
      </c>
      <c r="C71" s="2" t="inlineStr">
        <is>
          <t>Karistirici / Mikser</t>
        </is>
      </c>
      <c r="D71" s="2" t="inlineStr">
        <is>
          <t>Proses Karistirma Sistemleri</t>
        </is>
      </c>
      <c r="E71" s="2" t="inlineStr">
        <is>
          <t>Yandan Girisli</t>
        </is>
      </c>
      <c r="F71" s="2" t="inlineStr">
        <is>
          <t>Petrokimya, Gida</t>
        </is>
      </c>
      <c r="G71" s="2" t="inlineStr">
        <is>
          <t>Adet</t>
        </is>
      </c>
      <c r="H71" s="3" t="n">
        <v>9087.459999999999</v>
      </c>
      <c r="I71" s="3" t="n">
        <v>12876.15</v>
      </c>
      <c r="J71" s="4" t="n">
        <v>0.2588</v>
      </c>
      <c r="K71" s="5" t="n">
        <v>33</v>
      </c>
      <c r="L71" s="5" t="n">
        <v>1</v>
      </c>
      <c r="M71" s="2" t="inlineStr">
        <is>
          <t>847982</t>
        </is>
      </c>
      <c r="N71" s="2" t="inlineStr">
        <is>
          <t>Aktif</t>
        </is>
      </c>
      <c r="O71" s="5" t="n">
        <v>223.45</v>
      </c>
    </row>
    <row r="72">
      <c r="A72" s="2" t="inlineStr">
        <is>
          <t>KAR/-008</t>
        </is>
      </c>
      <c r="B72" s="2" t="inlineStr">
        <is>
          <t>Manyetik Mikser Paslanmaz</t>
        </is>
      </c>
      <c r="C72" s="2" t="inlineStr">
        <is>
          <t>Karistirici / Mikser</t>
        </is>
      </c>
      <c r="D72" s="2" t="inlineStr">
        <is>
          <t>Proses Karistirma Sistemleri</t>
        </is>
      </c>
      <c r="E72" s="2" t="inlineStr">
        <is>
          <t>Manyetik Mikser</t>
        </is>
      </c>
      <c r="F72" s="2" t="inlineStr">
        <is>
          <t>Kimya, Gida</t>
        </is>
      </c>
      <c r="G72" s="2" t="inlineStr">
        <is>
          <t>Adet</t>
        </is>
      </c>
      <c r="H72" s="3" t="n">
        <v>3361.51</v>
      </c>
      <c r="I72" s="3" t="n">
        <v>4484.89</v>
      </c>
      <c r="J72" s="4" t="n">
        <v>0.2618</v>
      </c>
      <c r="K72" s="5" t="n">
        <v>47</v>
      </c>
      <c r="L72" s="5" t="n">
        <v>1</v>
      </c>
      <c r="M72" s="2" t="inlineStr">
        <is>
          <t>847982</t>
        </is>
      </c>
      <c r="N72" s="2" t="inlineStr">
        <is>
          <t>Aktif</t>
        </is>
      </c>
      <c r="O72" s="5" t="n">
        <v>227.75</v>
      </c>
    </row>
    <row r="73">
      <c r="A73" s="2" t="inlineStr">
        <is>
          <t>KAR/-009</t>
        </is>
      </c>
      <c r="B73" s="2" t="inlineStr">
        <is>
          <t>Manyetik Mikser ATEX</t>
        </is>
      </c>
      <c r="C73" s="2" t="inlineStr">
        <is>
          <t>Karistirici / Mikser</t>
        </is>
      </c>
      <c r="D73" s="2" t="inlineStr">
        <is>
          <t>Proses Karistirma Sistemleri</t>
        </is>
      </c>
      <c r="E73" s="2" t="inlineStr">
        <is>
          <t>Manyetik Mikser</t>
        </is>
      </c>
      <c r="F73" s="2" t="inlineStr">
        <is>
          <t>Su Arıtma, Petrokimya</t>
        </is>
      </c>
      <c r="G73" s="2" t="inlineStr">
        <is>
          <t>Adet</t>
        </is>
      </c>
      <c r="H73" s="3" t="n">
        <v>5529.91</v>
      </c>
      <c r="I73" s="3" t="n">
        <v>7449.97</v>
      </c>
      <c r="J73" s="4" t="n">
        <v>0.2289</v>
      </c>
      <c r="K73" s="5" t="n">
        <v>28</v>
      </c>
      <c r="L73" s="5" t="n">
        <v>3</v>
      </c>
      <c r="M73" s="2" t="inlineStr">
        <is>
          <t>847982</t>
        </is>
      </c>
      <c r="N73" s="2" t="inlineStr">
        <is>
          <t>Aktif</t>
        </is>
      </c>
      <c r="O73" s="5" t="n">
        <v>222.76</v>
      </c>
    </row>
    <row r="74">
      <c r="A74" s="2" t="inlineStr">
        <is>
          <t>KAR/-010</t>
        </is>
      </c>
      <c r="B74" s="2" t="inlineStr">
        <is>
          <t>Manyetik Mikser PN16</t>
        </is>
      </c>
      <c r="C74" s="2" t="inlineStr">
        <is>
          <t>Karistirici / Mikser</t>
        </is>
      </c>
      <c r="D74" s="2" t="inlineStr">
        <is>
          <t>Proses Karistirma Sistemleri</t>
        </is>
      </c>
      <c r="E74" s="2" t="inlineStr">
        <is>
          <t>Manyetik Mikser</t>
        </is>
      </c>
      <c r="F74" s="2" t="inlineStr">
        <is>
          <t>Su Arıtma, Petrokimya</t>
        </is>
      </c>
      <c r="G74" s="2" t="inlineStr">
        <is>
          <t>Adet</t>
        </is>
      </c>
      <c r="H74" s="3" t="n">
        <v>6787.7</v>
      </c>
      <c r="I74" s="3" t="n">
        <v>8741.639999999999</v>
      </c>
      <c r="J74" s="4" t="n">
        <v>0.2125</v>
      </c>
      <c r="K74" s="5" t="n">
        <v>36</v>
      </c>
      <c r="L74" s="5" t="n">
        <v>3</v>
      </c>
      <c r="M74" s="2" t="inlineStr">
        <is>
          <t>847982</t>
        </is>
      </c>
      <c r="N74" s="2" t="inlineStr">
        <is>
          <t>Aktif</t>
        </is>
      </c>
      <c r="O74" s="5" t="n">
        <v>168.41</v>
      </c>
    </row>
    <row r="75">
      <c r="A75" s="2" t="inlineStr">
        <is>
          <t>KAR/-011</t>
        </is>
      </c>
      <c r="B75" s="2" t="inlineStr">
        <is>
          <t>Ustten Girisli ANSI 150</t>
        </is>
      </c>
      <c r="C75" s="2" t="inlineStr">
        <is>
          <t>Karistirici / Mikser</t>
        </is>
      </c>
      <c r="D75" s="2" t="inlineStr">
        <is>
          <t>Proses Karistirma Sistemleri</t>
        </is>
      </c>
      <c r="E75" s="2" t="inlineStr">
        <is>
          <t>Ustten Girisli</t>
        </is>
      </c>
      <c r="F75" s="2" t="inlineStr">
        <is>
          <t>Petrokimya, Gida, Kimya, Su Arıtma</t>
        </is>
      </c>
      <c r="G75" s="2" t="inlineStr">
        <is>
          <t>Adet</t>
        </is>
      </c>
      <c r="H75" s="3" t="n">
        <v>6335.26</v>
      </c>
      <c r="I75" s="3" t="n">
        <v>8977.66</v>
      </c>
      <c r="J75" s="4" t="n">
        <v>0.1998</v>
      </c>
      <c r="K75" s="5" t="n">
        <v>51</v>
      </c>
      <c r="L75" s="5" t="n">
        <v>4</v>
      </c>
      <c r="M75" s="2" t="inlineStr">
        <is>
          <t>847982</t>
        </is>
      </c>
      <c r="N75" s="2" t="inlineStr">
        <is>
          <t>Aktif</t>
        </is>
      </c>
      <c r="O75" s="5" t="n">
        <v>226.92</v>
      </c>
    </row>
    <row r="76">
      <c r="A76" s="2" t="inlineStr">
        <is>
          <t>KAR/-012</t>
        </is>
      </c>
      <c r="B76" s="2" t="inlineStr">
        <is>
          <t>Yandan Girisli ANSI 150</t>
        </is>
      </c>
      <c r="C76" s="2" t="inlineStr">
        <is>
          <t>Karistirici / Mikser</t>
        </is>
      </c>
      <c r="D76" s="2" t="inlineStr">
        <is>
          <t>Proses Karistirma Sistemleri</t>
        </is>
      </c>
      <c r="E76" s="2" t="inlineStr">
        <is>
          <t>Yandan Girisli</t>
        </is>
      </c>
      <c r="F76" s="2" t="inlineStr">
        <is>
          <t>Kimya, Petrokimya, Su Arıtma, Gida</t>
        </is>
      </c>
      <c r="G76" s="2" t="inlineStr">
        <is>
          <t>Adet</t>
        </is>
      </c>
      <c r="H76" s="3" t="n">
        <v>5176.41</v>
      </c>
      <c r="I76" s="3" t="n">
        <v>7176.06</v>
      </c>
      <c r="J76" s="4" t="n">
        <v>0.2213</v>
      </c>
      <c r="K76" s="5" t="n">
        <v>26</v>
      </c>
      <c r="L76" s="5" t="n">
        <v>2</v>
      </c>
      <c r="M76" s="2" t="inlineStr">
        <is>
          <t>847982</t>
        </is>
      </c>
      <c r="N76" s="2" t="inlineStr">
        <is>
          <t>Aktif</t>
        </is>
      </c>
      <c r="O76" s="5" t="n">
        <v>358.11</v>
      </c>
    </row>
    <row r="77">
      <c r="A77" s="2" t="inlineStr">
        <is>
          <t>PROTAN-001</t>
        </is>
      </c>
      <c r="B77" s="2" t="inlineStr">
        <is>
          <t>Paslanmaz Proses Tanki ATEX</t>
        </is>
      </c>
      <c r="C77" s="2" t="inlineStr">
        <is>
          <t>Proses Tanki</t>
        </is>
      </c>
      <c r="D77" s="2" t="inlineStr">
        <is>
          <t>Tank ve Basincsiz Kaplar</t>
        </is>
      </c>
      <c r="E77" s="2" t="inlineStr">
        <is>
          <t>Paslanmaz Proses Tanki</t>
        </is>
      </c>
      <c r="F77" s="2" t="inlineStr">
        <is>
          <t>Kimya, Gida, Enerji</t>
        </is>
      </c>
      <c r="G77" s="2" t="inlineStr">
        <is>
          <t>Adet</t>
        </is>
      </c>
      <c r="H77" s="3" t="n">
        <v>16498.05</v>
      </c>
      <c r="I77" s="3" t="n">
        <v>21339.23</v>
      </c>
      <c r="J77" s="4" t="n">
        <v>0.1996</v>
      </c>
      <c r="K77" s="5" t="n">
        <v>67</v>
      </c>
      <c r="L77" s="5" t="n">
        <v>2</v>
      </c>
      <c r="M77" s="2" t="inlineStr">
        <is>
          <t>730900</t>
        </is>
      </c>
      <c r="N77" s="2" t="inlineStr">
        <is>
          <t>Aktif</t>
        </is>
      </c>
      <c r="O77" s="5" t="n">
        <v>2187.58</v>
      </c>
    </row>
    <row r="78">
      <c r="A78" s="2" t="inlineStr">
        <is>
          <t>PROTAN-002</t>
        </is>
      </c>
      <c r="B78" s="2" t="inlineStr">
        <is>
          <t>Karistiricili Tank PN16</t>
        </is>
      </c>
      <c r="C78" s="2" t="inlineStr">
        <is>
          <t>Proses Tanki</t>
        </is>
      </c>
      <c r="D78" s="2" t="inlineStr">
        <is>
          <t>Tank ve Basincsiz Kaplar</t>
        </is>
      </c>
      <c r="E78" s="2" t="inlineStr">
        <is>
          <t>Karistiricili Tank</t>
        </is>
      </c>
      <c r="F78" s="2" t="inlineStr">
        <is>
          <t>Kimya, Su Arıtma, Gida</t>
        </is>
      </c>
      <c r="G78" s="2" t="inlineStr">
        <is>
          <t>Adet</t>
        </is>
      </c>
      <c r="H78" s="3" t="n">
        <v>6532.53</v>
      </c>
      <c r="I78" s="3" t="n">
        <v>8263.290000000001</v>
      </c>
      <c r="J78" s="4" t="n">
        <v>0.2155</v>
      </c>
      <c r="K78" s="5" t="n">
        <v>42</v>
      </c>
      <c r="L78" s="5" t="n">
        <v>2</v>
      </c>
      <c r="M78" s="2" t="inlineStr">
        <is>
          <t>730900</t>
        </is>
      </c>
      <c r="N78" s="2" t="inlineStr">
        <is>
          <t>Aktif</t>
        </is>
      </c>
      <c r="O78" s="5" t="n">
        <v>1690.92</v>
      </c>
    </row>
    <row r="79">
      <c r="A79" s="2" t="inlineStr">
        <is>
          <t>PROTAN-003</t>
        </is>
      </c>
      <c r="B79" s="2" t="inlineStr">
        <is>
          <t>Karistiricili Tank Hijyenik</t>
        </is>
      </c>
      <c r="C79" s="2" t="inlineStr">
        <is>
          <t>Proses Tanki</t>
        </is>
      </c>
      <c r="D79" s="2" t="inlineStr">
        <is>
          <t>Tank ve Basincsiz Kaplar</t>
        </is>
      </c>
      <c r="E79" s="2" t="inlineStr">
        <is>
          <t>Karistiricili Tank</t>
        </is>
      </c>
      <c r="F79" s="2" t="inlineStr">
        <is>
          <t>Gida, Kimya, Enerji, Su Arıtma</t>
        </is>
      </c>
      <c r="G79" s="2" t="inlineStr">
        <is>
          <t>Adet</t>
        </is>
      </c>
      <c r="H79" s="3" t="n">
        <v>5114.72</v>
      </c>
      <c r="I79" s="3" t="n">
        <v>6681.84</v>
      </c>
      <c r="J79" s="4" t="n">
        <v>0.1569</v>
      </c>
      <c r="K79" s="5" t="n">
        <v>67</v>
      </c>
      <c r="L79" s="5" t="n">
        <v>2</v>
      </c>
      <c r="M79" s="2" t="inlineStr">
        <is>
          <t>730900</t>
        </is>
      </c>
      <c r="N79" s="2" t="inlineStr">
        <is>
          <t>Aktif</t>
        </is>
      </c>
      <c r="O79" s="5" t="n">
        <v>658.8200000000001</v>
      </c>
    </row>
    <row r="80">
      <c r="A80" s="2" t="inlineStr">
        <is>
          <t>PROTAN-004</t>
        </is>
      </c>
      <c r="B80" s="2" t="inlineStr">
        <is>
          <t>Paslanmaz Proses Tanki ANSI 150</t>
        </is>
      </c>
      <c r="C80" s="2" t="inlineStr">
        <is>
          <t>Proses Tanki</t>
        </is>
      </c>
      <c r="D80" s="2" t="inlineStr">
        <is>
          <t>Tank ve Basincsiz Kaplar</t>
        </is>
      </c>
      <c r="E80" s="2" t="inlineStr">
        <is>
          <t>Paslanmaz Proses Tanki</t>
        </is>
      </c>
      <c r="F80" s="2" t="inlineStr">
        <is>
          <t>Su Arıtma, Gida, Kimya, Enerji</t>
        </is>
      </c>
      <c r="G80" s="2" t="inlineStr">
        <is>
          <t>Adet</t>
        </is>
      </c>
      <c r="H80" s="3" t="n">
        <v>12847.72</v>
      </c>
      <c r="I80" s="3" t="n">
        <v>17146.18</v>
      </c>
      <c r="J80" s="4" t="n">
        <v>0.2057</v>
      </c>
      <c r="K80" s="5" t="n">
        <v>62</v>
      </c>
      <c r="L80" s="5" t="n">
        <v>2</v>
      </c>
      <c r="M80" s="2" t="inlineStr">
        <is>
          <t>730900</t>
        </is>
      </c>
      <c r="N80" s="2" t="inlineStr">
        <is>
          <t>Pasif</t>
        </is>
      </c>
      <c r="O80" s="5" t="n">
        <v>1083.46</v>
      </c>
    </row>
    <row r="81">
      <c r="A81" s="2" t="inlineStr">
        <is>
          <t>PROTAN-005</t>
        </is>
      </c>
      <c r="B81" s="2" t="inlineStr">
        <is>
          <t>Depolama Tanki Hijyenik</t>
        </is>
      </c>
      <c r="C81" s="2" t="inlineStr">
        <is>
          <t>Proses Tanki</t>
        </is>
      </c>
      <c r="D81" s="2" t="inlineStr">
        <is>
          <t>Tank ve Basincsiz Kaplar</t>
        </is>
      </c>
      <c r="E81" s="2" t="inlineStr">
        <is>
          <t>Depolama Tanki</t>
        </is>
      </c>
      <c r="F81" s="2" t="inlineStr">
        <is>
          <t>Enerji, Kimya, Gida</t>
        </is>
      </c>
      <c r="G81" s="2" t="inlineStr">
        <is>
          <t>Adet</t>
        </is>
      </c>
      <c r="H81" s="3" t="n">
        <v>14932.43</v>
      </c>
      <c r="I81" s="3" t="n">
        <v>18917.44</v>
      </c>
      <c r="J81" s="4" t="n">
        <v>0.1783</v>
      </c>
      <c r="K81" s="5" t="n">
        <v>48</v>
      </c>
      <c r="L81" s="5" t="n">
        <v>1</v>
      </c>
      <c r="M81" s="2" t="inlineStr">
        <is>
          <t>730900</t>
        </is>
      </c>
      <c r="N81" s="2" t="inlineStr">
        <is>
          <t>Aktif</t>
        </is>
      </c>
      <c r="O81" s="5" t="n">
        <v>1125.26</v>
      </c>
    </row>
    <row r="82">
      <c r="A82" s="2" t="inlineStr">
        <is>
          <t>PROTAN-006</t>
        </is>
      </c>
      <c r="B82" s="2" t="inlineStr">
        <is>
          <t>Depolama Tanki Paslanmaz</t>
        </is>
      </c>
      <c r="C82" s="2" t="inlineStr">
        <is>
          <t>Proses Tanki</t>
        </is>
      </c>
      <c r="D82" s="2" t="inlineStr">
        <is>
          <t>Tank ve Basincsiz Kaplar</t>
        </is>
      </c>
      <c r="E82" s="2" t="inlineStr">
        <is>
          <t>Depolama Tanki</t>
        </is>
      </c>
      <c r="F82" s="2" t="inlineStr">
        <is>
          <t>Gida, Su Arıtma, Kimya, Enerji</t>
        </is>
      </c>
      <c r="G82" s="2" t="inlineStr">
        <is>
          <t>Adet</t>
        </is>
      </c>
      <c r="H82" s="3" t="n">
        <v>9915.59</v>
      </c>
      <c r="I82" s="3" t="n">
        <v>13051.46</v>
      </c>
      <c r="J82" s="4" t="n">
        <v>0.158</v>
      </c>
      <c r="K82" s="5" t="n">
        <v>70</v>
      </c>
      <c r="L82" s="5" t="n">
        <v>2</v>
      </c>
      <c r="M82" s="2" t="inlineStr">
        <is>
          <t>730900</t>
        </is>
      </c>
      <c r="N82" s="2" t="inlineStr">
        <is>
          <t>Aktif</t>
        </is>
      </c>
      <c r="O82" s="5" t="n">
        <v>1988.18</v>
      </c>
    </row>
    <row r="83">
      <c r="A83" s="2" t="inlineStr">
        <is>
          <t>PROTAN-007</t>
        </is>
      </c>
      <c r="B83" s="2" t="inlineStr">
        <is>
          <t>Karistiricili Tank ANSI 150</t>
        </is>
      </c>
      <c r="C83" s="2" t="inlineStr">
        <is>
          <t>Proses Tanki</t>
        </is>
      </c>
      <c r="D83" s="2" t="inlineStr">
        <is>
          <t>Tank ve Basincsiz Kaplar</t>
        </is>
      </c>
      <c r="E83" s="2" t="inlineStr">
        <is>
          <t>Karistiricili Tank</t>
        </is>
      </c>
      <c r="F83" s="2" t="inlineStr">
        <is>
          <t>Enerji, Gida, Kimya, Su Arıtma</t>
        </is>
      </c>
      <c r="G83" s="2" t="inlineStr">
        <is>
          <t>Adet</t>
        </is>
      </c>
      <c r="H83" s="3" t="n">
        <v>12517.98</v>
      </c>
      <c r="I83" s="3" t="n">
        <v>15897.85</v>
      </c>
      <c r="J83" s="4" t="n">
        <v>0.1496</v>
      </c>
      <c r="K83" s="5" t="n">
        <v>63</v>
      </c>
      <c r="L83" s="5" t="n">
        <v>2</v>
      </c>
      <c r="M83" s="2" t="inlineStr">
        <is>
          <t>730900</t>
        </is>
      </c>
      <c r="N83" s="2" t="inlineStr">
        <is>
          <t>Aktif</t>
        </is>
      </c>
      <c r="O83" s="5" t="n">
        <v>956.17</v>
      </c>
    </row>
    <row r="84">
      <c r="A84" s="2" t="inlineStr">
        <is>
          <t>PROTAN-008</t>
        </is>
      </c>
      <c r="B84" s="2" t="inlineStr">
        <is>
          <t>Depolama Tanki Paslanmaz</t>
        </is>
      </c>
      <c r="C84" s="2" t="inlineStr">
        <is>
          <t>Proses Tanki</t>
        </is>
      </c>
      <c r="D84" s="2" t="inlineStr">
        <is>
          <t>Tank ve Basincsiz Kaplar</t>
        </is>
      </c>
      <c r="E84" s="2" t="inlineStr">
        <is>
          <t>Depolama Tanki</t>
        </is>
      </c>
      <c r="F84" s="2" t="inlineStr">
        <is>
          <t>Enerji, Kimya</t>
        </is>
      </c>
      <c r="G84" s="2" t="inlineStr">
        <is>
          <t>Adet</t>
        </is>
      </c>
      <c r="H84" s="3" t="n">
        <v>17073.45</v>
      </c>
      <c r="I84" s="3" t="n">
        <v>21278.65</v>
      </c>
      <c r="J84" s="4" t="n">
        <v>0.2242</v>
      </c>
      <c r="K84" s="5" t="n">
        <v>68</v>
      </c>
      <c r="L84" s="5" t="n">
        <v>2</v>
      </c>
      <c r="M84" s="2" t="inlineStr">
        <is>
          <t>730900</t>
        </is>
      </c>
      <c r="N84" s="2" t="inlineStr">
        <is>
          <t>Aktif</t>
        </is>
      </c>
      <c r="O84" s="5" t="n">
        <v>1644.01</v>
      </c>
    </row>
    <row r="85">
      <c r="A85" s="2" t="inlineStr">
        <is>
          <t>PROTAN-009</t>
        </is>
      </c>
      <c r="B85" s="2" t="inlineStr">
        <is>
          <t>Karistiricili Tank Paslanmaz</t>
        </is>
      </c>
      <c r="C85" s="2" t="inlineStr">
        <is>
          <t>Proses Tanki</t>
        </is>
      </c>
      <c r="D85" s="2" t="inlineStr">
        <is>
          <t>Tank ve Basincsiz Kaplar</t>
        </is>
      </c>
      <c r="E85" s="2" t="inlineStr">
        <is>
          <t>Karistiricili Tank</t>
        </is>
      </c>
      <c r="F85" s="2" t="inlineStr">
        <is>
          <t>Gida, Enerji</t>
        </is>
      </c>
      <c r="G85" s="2" t="inlineStr">
        <is>
          <t>Adet</t>
        </is>
      </c>
      <c r="H85" s="3" t="n">
        <v>12443.59</v>
      </c>
      <c r="I85" s="3" t="n">
        <v>14922.1</v>
      </c>
      <c r="J85" s="4" t="n">
        <v>0.2076</v>
      </c>
      <c r="K85" s="5" t="n">
        <v>61</v>
      </c>
      <c r="L85" s="5" t="n">
        <v>1</v>
      </c>
      <c r="M85" s="2" t="inlineStr">
        <is>
          <t>730900</t>
        </is>
      </c>
      <c r="N85" s="2" t="inlineStr">
        <is>
          <t>Pasif</t>
        </is>
      </c>
      <c r="O85" s="5" t="n">
        <v>831.5700000000001</v>
      </c>
    </row>
    <row r="86">
      <c r="A86" s="2" t="inlineStr">
        <is>
          <t>PROTAN-010</t>
        </is>
      </c>
      <c r="B86" s="2" t="inlineStr">
        <is>
          <t>Paslanmaz Proses Tanki Hijyenik</t>
        </is>
      </c>
      <c r="C86" s="2" t="inlineStr">
        <is>
          <t>Proses Tanki</t>
        </is>
      </c>
      <c r="D86" s="2" t="inlineStr">
        <is>
          <t>Tank ve Basincsiz Kaplar</t>
        </is>
      </c>
      <c r="E86" s="2" t="inlineStr">
        <is>
          <t>Paslanmaz Proses Tanki</t>
        </is>
      </c>
      <c r="F86" s="2" t="inlineStr">
        <is>
          <t>Enerji, Su Arıtma</t>
        </is>
      </c>
      <c r="G86" s="2" t="inlineStr">
        <is>
          <t>Adet</t>
        </is>
      </c>
      <c r="H86" s="3" t="n">
        <v>8539.790000000001</v>
      </c>
      <c r="I86" s="3" t="n">
        <v>10118.79</v>
      </c>
      <c r="J86" s="4" t="n">
        <v>0.1457</v>
      </c>
      <c r="K86" s="5" t="n">
        <v>66</v>
      </c>
      <c r="L86" s="5" t="n">
        <v>1</v>
      </c>
      <c r="M86" s="2" t="inlineStr">
        <is>
          <t>730900</t>
        </is>
      </c>
      <c r="N86" s="2" t="inlineStr">
        <is>
          <t>Aktif</t>
        </is>
      </c>
      <c r="O86" s="5" t="n">
        <v>2183.71</v>
      </c>
    </row>
    <row r="87">
      <c r="A87" s="2" t="inlineStr">
        <is>
          <t>YAREND-001</t>
        </is>
      </c>
      <c r="B87" s="2" t="inlineStr">
        <is>
          <t>Pozisyoner Paslanmaz</t>
        </is>
      </c>
      <c r="C87" s="2" t="inlineStr">
        <is>
          <t>Yardimci Endustriyel Ekipman</t>
        </is>
      </c>
      <c r="D87" s="2" t="inlineStr">
        <is>
          <t>Aksesuar ve Hat Bilesenleri</t>
        </is>
      </c>
      <c r="E87" s="2" t="inlineStr">
        <is>
          <t>Pozisyoner</t>
        </is>
      </c>
      <c r="F87" s="2" t="inlineStr">
        <is>
          <t>Petrokimya, Kimya, Gida</t>
        </is>
      </c>
      <c r="G87" s="2" t="inlineStr">
        <is>
          <t>Adet</t>
        </is>
      </c>
      <c r="H87" s="3" t="n">
        <v>945.3099999999999</v>
      </c>
      <c r="I87" s="3" t="n">
        <v>1487.99</v>
      </c>
      <c r="J87" s="4" t="n">
        <v>0.3299</v>
      </c>
      <c r="K87" s="5" t="n">
        <v>15</v>
      </c>
      <c r="L87" s="5" t="n">
        <v>10</v>
      </c>
      <c r="M87" s="2" t="inlineStr">
        <is>
          <t>848190</t>
        </is>
      </c>
      <c r="N87" s="2" t="inlineStr">
        <is>
          <t>Aktif</t>
        </is>
      </c>
      <c r="O87" s="5" t="n">
        <v>27.3</v>
      </c>
    </row>
    <row r="88">
      <c r="A88" s="2" t="inlineStr">
        <is>
          <t>YAREND-002</t>
        </is>
      </c>
      <c r="B88" s="2" t="inlineStr">
        <is>
          <t>Filtre Hijyenik</t>
        </is>
      </c>
      <c r="C88" s="2" t="inlineStr">
        <is>
          <t>Yardimci Endustriyel Ekipman</t>
        </is>
      </c>
      <c r="D88" s="2" t="inlineStr">
        <is>
          <t>Aksesuar ve Hat Bilesenleri</t>
        </is>
      </c>
      <c r="E88" s="2" t="inlineStr">
        <is>
          <t>Filtre</t>
        </is>
      </c>
      <c r="F88" s="2" t="inlineStr">
        <is>
          <t>Kimya, Gida</t>
        </is>
      </c>
      <c r="G88" s="2" t="inlineStr">
        <is>
          <t>Adet</t>
        </is>
      </c>
      <c r="H88" s="3" t="n">
        <v>839.65</v>
      </c>
      <c r="I88" s="3" t="n">
        <v>1255.95</v>
      </c>
      <c r="J88" s="4" t="n">
        <v>0.2508</v>
      </c>
      <c r="K88" s="5" t="n">
        <v>25</v>
      </c>
      <c r="L88" s="5" t="n">
        <v>2</v>
      </c>
      <c r="M88" s="2" t="inlineStr">
        <is>
          <t>848190</t>
        </is>
      </c>
      <c r="N88" s="2" t="inlineStr">
        <is>
          <t>Aktif</t>
        </is>
      </c>
      <c r="O88" s="5" t="n">
        <v>33.32</v>
      </c>
    </row>
    <row r="89">
      <c r="A89" s="2" t="inlineStr">
        <is>
          <t>YAREND-003</t>
        </is>
      </c>
      <c r="B89" s="2" t="inlineStr">
        <is>
          <t>Filtre PN16</t>
        </is>
      </c>
      <c r="C89" s="2" t="inlineStr">
        <is>
          <t>Yardimci Endustriyel Ekipman</t>
        </is>
      </c>
      <c r="D89" s="2" t="inlineStr">
        <is>
          <t>Aksesuar ve Hat Bilesenleri</t>
        </is>
      </c>
      <c r="E89" s="2" t="inlineStr">
        <is>
          <t>Filtre</t>
        </is>
      </c>
      <c r="F89" s="2" t="inlineStr">
        <is>
          <t>Petrokimya, Enerji</t>
        </is>
      </c>
      <c r="G89" s="2" t="inlineStr">
        <is>
          <t>Adet</t>
        </is>
      </c>
      <c r="H89" s="3" t="n">
        <v>159.13</v>
      </c>
      <c r="I89" s="3" t="n">
        <v>217.64</v>
      </c>
      <c r="J89" s="4" t="n">
        <v>0.2434</v>
      </c>
      <c r="K89" s="5" t="n">
        <v>14</v>
      </c>
      <c r="L89" s="5" t="n">
        <v>4</v>
      </c>
      <c r="M89" s="2" t="inlineStr">
        <is>
          <t>848190</t>
        </is>
      </c>
      <c r="N89" s="2" t="inlineStr">
        <is>
          <t>Aktif</t>
        </is>
      </c>
      <c r="O89" s="5" t="n">
        <v>30.85</v>
      </c>
    </row>
    <row r="90">
      <c r="A90" s="2" t="inlineStr">
        <is>
          <t>YAREND-004</t>
        </is>
      </c>
      <c r="B90" s="2" t="inlineStr">
        <is>
          <t>Kompansator PN16</t>
        </is>
      </c>
      <c r="C90" s="2" t="inlineStr">
        <is>
          <t>Yardimci Endustriyel Ekipman</t>
        </is>
      </c>
      <c r="D90" s="2" t="inlineStr">
        <is>
          <t>Aksesuar ve Hat Bilesenleri</t>
        </is>
      </c>
      <c r="E90" s="2" t="inlineStr">
        <is>
          <t>Kompansator</t>
        </is>
      </c>
      <c r="F90" s="2" t="inlineStr">
        <is>
          <t>Gida, Dogal Gaz</t>
        </is>
      </c>
      <c r="G90" s="2" t="inlineStr">
        <is>
          <t>Adet</t>
        </is>
      </c>
      <c r="H90" s="3" t="n">
        <v>774.26</v>
      </c>
      <c r="I90" s="3" t="n">
        <v>1086.37</v>
      </c>
      <c r="J90" s="4" t="n">
        <v>0.3004</v>
      </c>
      <c r="K90" s="5" t="n">
        <v>15</v>
      </c>
      <c r="L90" s="5" t="n">
        <v>10</v>
      </c>
      <c r="M90" s="2" t="inlineStr">
        <is>
          <t>848190</t>
        </is>
      </c>
      <c r="N90" s="2" t="inlineStr">
        <is>
          <t>Aktif</t>
        </is>
      </c>
      <c r="O90" s="5" t="n">
        <v>22.38</v>
      </c>
    </row>
    <row r="91">
      <c r="A91" s="2" t="inlineStr">
        <is>
          <t>YAREND-005</t>
        </is>
      </c>
      <c r="B91" s="2" t="inlineStr">
        <is>
          <t>Pozisyoner Hijyenik</t>
        </is>
      </c>
      <c r="C91" s="2" t="inlineStr">
        <is>
          <t>Yardimci Endustriyel Ekipman</t>
        </is>
      </c>
      <c r="D91" s="2" t="inlineStr">
        <is>
          <t>Aksesuar ve Hat Bilesenleri</t>
        </is>
      </c>
      <c r="E91" s="2" t="inlineStr">
        <is>
          <t>Pozisyoner</t>
        </is>
      </c>
      <c r="F91" s="2" t="inlineStr">
        <is>
          <t>Gida, Petrokimya</t>
        </is>
      </c>
      <c r="G91" s="2" t="inlineStr">
        <is>
          <t>Adet</t>
        </is>
      </c>
      <c r="H91" s="3" t="n">
        <v>729.01</v>
      </c>
      <c r="I91" s="3" t="n">
        <v>928.83</v>
      </c>
      <c r="J91" s="4" t="n">
        <v>0.2108</v>
      </c>
      <c r="K91" s="5" t="n">
        <v>27</v>
      </c>
      <c r="L91" s="5" t="n">
        <v>4</v>
      </c>
      <c r="M91" s="2" t="inlineStr">
        <is>
          <t>848190</t>
        </is>
      </c>
      <c r="N91" s="2" t="inlineStr">
        <is>
          <t>Aktif</t>
        </is>
      </c>
      <c r="O91" s="5" t="n">
        <v>33.46</v>
      </c>
    </row>
    <row r="92">
      <c r="A92" s="2" t="inlineStr">
        <is>
          <t>YAREND-006</t>
        </is>
      </c>
      <c r="B92" s="2" t="inlineStr">
        <is>
          <t>Pozisyoner Hijyenik</t>
        </is>
      </c>
      <c r="C92" s="2" t="inlineStr">
        <is>
          <t>Yardimci Endustriyel Ekipman</t>
        </is>
      </c>
      <c r="D92" s="2" t="inlineStr">
        <is>
          <t>Aksesuar ve Hat Bilesenleri</t>
        </is>
      </c>
      <c r="E92" s="2" t="inlineStr">
        <is>
          <t>Pozisyoner</t>
        </is>
      </c>
      <c r="F92" s="2" t="inlineStr">
        <is>
          <t>Kimya, Dogal Gaz, Gida, Petrokimya</t>
        </is>
      </c>
      <c r="G92" s="2" t="inlineStr">
        <is>
          <t>Adet</t>
        </is>
      </c>
      <c r="H92" s="3" t="n">
        <v>363.57</v>
      </c>
      <c r="I92" s="3" t="n">
        <v>510.48</v>
      </c>
      <c r="J92" s="4" t="n">
        <v>0.2652</v>
      </c>
      <c r="K92" s="5" t="n">
        <v>26</v>
      </c>
      <c r="L92" s="5" t="n">
        <v>3</v>
      </c>
      <c r="M92" s="2" t="inlineStr">
        <is>
          <t>848190</t>
        </is>
      </c>
      <c r="N92" s="2" t="inlineStr">
        <is>
          <t>Aktif</t>
        </is>
      </c>
      <c r="O92" s="5" t="n">
        <v>27.01</v>
      </c>
    </row>
    <row r="93">
      <c r="A93" s="2" t="inlineStr">
        <is>
          <t>YAREND-007</t>
        </is>
      </c>
      <c r="B93" s="2" t="inlineStr">
        <is>
          <t>Kompansator Hijyenik</t>
        </is>
      </c>
      <c r="C93" s="2" t="inlineStr">
        <is>
          <t>Yardimci Endustriyel Ekipman</t>
        </is>
      </c>
      <c r="D93" s="2" t="inlineStr">
        <is>
          <t>Aksesuar ve Hat Bilesenleri</t>
        </is>
      </c>
      <c r="E93" s="2" t="inlineStr">
        <is>
          <t>Kompansator</t>
        </is>
      </c>
      <c r="F93" s="2" t="inlineStr">
        <is>
          <t>Gida, Dogal Gaz, Kimya, Enerji</t>
        </is>
      </c>
      <c r="G93" s="2" t="inlineStr">
        <is>
          <t>Adet</t>
        </is>
      </c>
      <c r="H93" s="3" t="n">
        <v>459.17</v>
      </c>
      <c r="I93" s="3" t="n">
        <v>644.2</v>
      </c>
      <c r="J93" s="4" t="n">
        <v>0.2616</v>
      </c>
      <c r="K93" s="5" t="n">
        <v>20</v>
      </c>
      <c r="L93" s="5" t="n">
        <v>7</v>
      </c>
      <c r="M93" s="2" t="inlineStr">
        <is>
          <t>848190</t>
        </is>
      </c>
      <c r="N93" s="2" t="inlineStr">
        <is>
          <t>Aktif</t>
        </is>
      </c>
      <c r="O93" s="5" t="n">
        <v>6.29</v>
      </c>
    </row>
    <row r="94">
      <c r="A94" s="2" t="inlineStr">
        <is>
          <t>YAREND-008</t>
        </is>
      </c>
      <c r="B94" s="2" t="inlineStr">
        <is>
          <t>Aktuator Hijyenik</t>
        </is>
      </c>
      <c r="C94" s="2" t="inlineStr">
        <is>
          <t>Yardimci Endustriyel Ekipman</t>
        </is>
      </c>
      <c r="D94" s="2" t="inlineStr">
        <is>
          <t>Aksesuar ve Hat Bilesenleri</t>
        </is>
      </c>
      <c r="E94" s="2" t="inlineStr">
        <is>
          <t>Aktuator</t>
        </is>
      </c>
      <c r="F94" s="2" t="inlineStr">
        <is>
          <t>Gida, Petrokimya</t>
        </is>
      </c>
      <c r="G94" s="2" t="inlineStr">
        <is>
          <t>Adet</t>
        </is>
      </c>
      <c r="H94" s="3" t="n">
        <v>582.91</v>
      </c>
      <c r="I94" s="3" t="n">
        <v>929.3200000000001</v>
      </c>
      <c r="J94" s="4" t="n">
        <v>0.253</v>
      </c>
      <c r="K94" s="5" t="n">
        <v>18</v>
      </c>
      <c r="L94" s="5" t="n">
        <v>10</v>
      </c>
      <c r="M94" s="2" t="inlineStr">
        <is>
          <t>848190</t>
        </is>
      </c>
      <c r="N94" s="2" t="inlineStr">
        <is>
          <t>Aktif</t>
        </is>
      </c>
      <c r="O94" s="5" t="n">
        <v>32.09</v>
      </c>
    </row>
    <row r="95">
      <c r="A95" s="2" t="inlineStr">
        <is>
          <t>YAREND-009</t>
        </is>
      </c>
      <c r="B95" s="2" t="inlineStr">
        <is>
          <t>Aktuator Hijyenik</t>
        </is>
      </c>
      <c r="C95" s="2" t="inlineStr">
        <is>
          <t>Yardimci Endustriyel Ekipman</t>
        </is>
      </c>
      <c r="D95" s="2" t="inlineStr">
        <is>
          <t>Aksesuar ve Hat Bilesenleri</t>
        </is>
      </c>
      <c r="E95" s="2" t="inlineStr">
        <is>
          <t>Aktuator</t>
        </is>
      </c>
      <c r="F95" s="2" t="inlineStr">
        <is>
          <t>Enerji, Petrokimya, Kimya</t>
        </is>
      </c>
      <c r="G95" s="2" t="inlineStr">
        <is>
          <t>Adet</t>
        </is>
      </c>
      <c r="H95" s="3" t="n">
        <v>873.73</v>
      </c>
      <c r="I95" s="3" t="n">
        <v>1240.59</v>
      </c>
      <c r="J95" s="4" t="n">
        <v>0.2514</v>
      </c>
      <c r="K95" s="5" t="n">
        <v>30</v>
      </c>
      <c r="L95" s="5" t="n">
        <v>2</v>
      </c>
      <c r="M95" s="2" t="inlineStr">
        <is>
          <t>848190</t>
        </is>
      </c>
      <c r="N95" s="2" t="inlineStr">
        <is>
          <t>Aktif</t>
        </is>
      </c>
      <c r="O95" s="5" t="n">
        <v>19.63</v>
      </c>
    </row>
    <row r="96">
      <c r="A96" s="2" t="inlineStr">
        <is>
          <t>YAREND-010</t>
        </is>
      </c>
      <c r="B96" s="2" t="inlineStr">
        <is>
          <t>Filtre Paslanmaz</t>
        </is>
      </c>
      <c r="C96" s="2" t="inlineStr">
        <is>
          <t>Yardimci Endustriyel Ekipman</t>
        </is>
      </c>
      <c r="D96" s="2" t="inlineStr">
        <is>
          <t>Aksesuar ve Hat Bilesenleri</t>
        </is>
      </c>
      <c r="E96" s="2" t="inlineStr">
        <is>
          <t>Filtre</t>
        </is>
      </c>
      <c r="F96" s="2" t="inlineStr">
        <is>
          <t>Dogal Gaz, Gida, Enerji, Petrokimya</t>
        </is>
      </c>
      <c r="G96" s="2" t="inlineStr">
        <is>
          <t>Adet</t>
        </is>
      </c>
      <c r="H96" s="3" t="n">
        <v>593.24</v>
      </c>
      <c r="I96" s="3" t="n">
        <v>943.51</v>
      </c>
      <c r="J96" s="4" t="n">
        <v>0.2306</v>
      </c>
      <c r="K96" s="5" t="n">
        <v>20</v>
      </c>
      <c r="L96" s="5" t="n">
        <v>6</v>
      </c>
      <c r="M96" s="2" t="inlineStr">
        <is>
          <t>848190</t>
        </is>
      </c>
      <c r="N96" s="2" t="inlineStr">
        <is>
          <t>Aktif</t>
        </is>
      </c>
      <c r="O96" s="5" t="n">
        <v>41.08</v>
      </c>
    </row>
    <row r="97">
      <c r="A97" s="2" t="inlineStr">
        <is>
          <t>YAREND-011</t>
        </is>
      </c>
      <c r="B97" s="2" t="inlineStr">
        <is>
          <t>Kompansator ANSI 150</t>
        </is>
      </c>
      <c r="C97" s="2" t="inlineStr">
        <is>
          <t>Yardimci Endustriyel Ekipman</t>
        </is>
      </c>
      <c r="D97" s="2" t="inlineStr">
        <is>
          <t>Aksesuar ve Hat Bilesenleri</t>
        </is>
      </c>
      <c r="E97" s="2" t="inlineStr">
        <is>
          <t>Kompansator</t>
        </is>
      </c>
      <c r="F97" s="2" t="inlineStr">
        <is>
          <t>Kimya, Enerji, Petrokimya</t>
        </is>
      </c>
      <c r="G97" s="2" t="inlineStr">
        <is>
          <t>Adet</t>
        </is>
      </c>
      <c r="H97" s="3" t="n">
        <v>777.02</v>
      </c>
      <c r="I97" s="3" t="n">
        <v>1080.2</v>
      </c>
      <c r="J97" s="4" t="n">
        <v>0.328</v>
      </c>
      <c r="K97" s="5" t="n">
        <v>12</v>
      </c>
      <c r="L97" s="5" t="n">
        <v>10</v>
      </c>
      <c r="M97" s="2" t="inlineStr">
        <is>
          <t>848190</t>
        </is>
      </c>
      <c r="N97" s="2" t="inlineStr">
        <is>
          <t>Aktif</t>
        </is>
      </c>
      <c r="O97" s="5" t="n">
        <v>6.4</v>
      </c>
    </row>
    <row r="98">
      <c r="A98" s="2" t="inlineStr">
        <is>
          <t>YAREND-012</t>
        </is>
      </c>
      <c r="B98" s="2" t="inlineStr">
        <is>
          <t>Filtre PN16</t>
        </is>
      </c>
      <c r="C98" s="2" t="inlineStr">
        <is>
          <t>Yardimci Endustriyel Ekipman</t>
        </is>
      </c>
      <c r="D98" s="2" t="inlineStr">
        <is>
          <t>Aksesuar ve Hat Bilesenleri</t>
        </is>
      </c>
      <c r="E98" s="2" t="inlineStr">
        <is>
          <t>Filtre</t>
        </is>
      </c>
      <c r="F98" s="2" t="inlineStr">
        <is>
          <t>Enerji, Dogal Gaz, Kimya, Gida</t>
        </is>
      </c>
      <c r="G98" s="2" t="inlineStr">
        <is>
          <t>Adet</t>
        </is>
      </c>
      <c r="H98" s="3" t="n">
        <v>528.15</v>
      </c>
      <c r="I98" s="3" t="n">
        <v>726.75</v>
      </c>
      <c r="J98" s="4" t="n">
        <v>0.2442</v>
      </c>
      <c r="K98" s="5" t="n">
        <v>20</v>
      </c>
      <c r="L98" s="5" t="n">
        <v>1</v>
      </c>
      <c r="M98" s="2" t="inlineStr">
        <is>
          <t>848190</t>
        </is>
      </c>
      <c r="N98" s="2" t="inlineStr">
        <is>
          <t>Aktif</t>
        </is>
      </c>
      <c r="O98" s="5" t="n">
        <v>13.77</v>
      </c>
    </row>
    <row r="99">
      <c r="A99" s="2" t="inlineStr">
        <is>
          <t>YAREND-013</t>
        </is>
      </c>
      <c r="B99" s="2" t="inlineStr">
        <is>
          <t>Pozisyoner ANSI 150</t>
        </is>
      </c>
      <c r="C99" s="2" t="inlineStr">
        <is>
          <t>Yardimci Endustriyel Ekipman</t>
        </is>
      </c>
      <c r="D99" s="2" t="inlineStr">
        <is>
          <t>Aksesuar ve Hat Bilesenleri</t>
        </is>
      </c>
      <c r="E99" s="2" t="inlineStr">
        <is>
          <t>Pozisyoner</t>
        </is>
      </c>
      <c r="F99" s="2" t="inlineStr">
        <is>
          <t>Enerji, Kimya, Dogal Gaz, Petrokimya</t>
        </is>
      </c>
      <c r="G99" s="2" t="inlineStr">
        <is>
          <t>Adet</t>
        </is>
      </c>
      <c r="H99" s="3" t="n">
        <v>387.77</v>
      </c>
      <c r="I99" s="3" t="n">
        <v>548.3099999999999</v>
      </c>
      <c r="J99" s="4" t="n">
        <v>0.2554</v>
      </c>
      <c r="K99" s="5" t="n">
        <v>17</v>
      </c>
      <c r="L99" s="5" t="n">
        <v>4</v>
      </c>
      <c r="M99" s="2" t="inlineStr">
        <is>
          <t>848190</t>
        </is>
      </c>
      <c r="N99" s="2" t="inlineStr">
        <is>
          <t>Aktif</t>
        </is>
      </c>
      <c r="O99" s="5" t="n">
        <v>29.88</v>
      </c>
    </row>
    <row r="100">
      <c r="A100" s="2" t="inlineStr">
        <is>
          <t>YAREND-014</t>
        </is>
      </c>
      <c r="B100" s="2" t="inlineStr">
        <is>
          <t>Filtre ATEX</t>
        </is>
      </c>
      <c r="C100" s="2" t="inlineStr">
        <is>
          <t>Yardimci Endustriyel Ekipman</t>
        </is>
      </c>
      <c r="D100" s="2" t="inlineStr">
        <is>
          <t>Aksesuar ve Hat Bilesenleri</t>
        </is>
      </c>
      <c r="E100" s="2" t="inlineStr">
        <is>
          <t>Filtre</t>
        </is>
      </c>
      <c r="F100" s="2" t="inlineStr">
        <is>
          <t>Petrokimya, Gida, Dogal Gaz, Kimya</t>
        </is>
      </c>
      <c r="G100" s="2" t="inlineStr">
        <is>
          <t>Adet</t>
        </is>
      </c>
      <c r="H100" s="3" t="n">
        <v>823.65</v>
      </c>
      <c r="I100" s="3" t="n">
        <v>1262.58</v>
      </c>
      <c r="J100" s="4" t="n">
        <v>0.2278</v>
      </c>
      <c r="K100" s="5" t="n">
        <v>22</v>
      </c>
      <c r="L100" s="5" t="n">
        <v>4</v>
      </c>
      <c r="M100" s="2" t="inlineStr">
        <is>
          <t>848190</t>
        </is>
      </c>
      <c r="N100" s="2" t="inlineStr">
        <is>
          <t>Aktif</t>
        </is>
      </c>
      <c r="O100" s="5" t="n">
        <v>41.76</v>
      </c>
    </row>
    <row r="101">
      <c r="A101" s="2" t="inlineStr">
        <is>
          <t>YAREND-015</t>
        </is>
      </c>
      <c r="B101" s="2" t="inlineStr">
        <is>
          <t>Aktuator Paslanmaz</t>
        </is>
      </c>
      <c r="C101" s="2" t="inlineStr">
        <is>
          <t>Yardimci Endustriyel Ekipman</t>
        </is>
      </c>
      <c r="D101" s="2" t="inlineStr">
        <is>
          <t>Aksesuar ve Hat Bilesenleri</t>
        </is>
      </c>
      <c r="E101" s="2" t="inlineStr">
        <is>
          <t>Aktuator</t>
        </is>
      </c>
      <c r="F101" s="2" t="inlineStr">
        <is>
          <t>Dogal Gaz, Kimya</t>
        </is>
      </c>
      <c r="G101" s="2" t="inlineStr">
        <is>
          <t>Adet</t>
        </is>
      </c>
      <c r="H101" s="3" t="n">
        <v>114.22</v>
      </c>
      <c r="I101" s="3" t="n">
        <v>151.58</v>
      </c>
      <c r="J101" s="4" t="n">
        <v>0.2669</v>
      </c>
      <c r="K101" s="5" t="n">
        <v>21</v>
      </c>
      <c r="L101" s="5" t="n">
        <v>6</v>
      </c>
      <c r="M101" s="2" t="inlineStr">
        <is>
          <t>848190</t>
        </is>
      </c>
      <c r="N101" s="2" t="inlineStr">
        <is>
          <t>Aktif</t>
        </is>
      </c>
      <c r="O101" s="5" t="n">
        <v>35.18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7" customWidth="1" min="3" max="3"/>
    <col width="13" customWidth="1" min="4" max="4"/>
    <col width="14" customWidth="1" min="5" max="5"/>
    <col width="12" customWidth="1" min="6" max="6"/>
    <col width="15" customWidth="1" min="7" max="7"/>
    <col width="15" customWidth="1" min="8" max="8"/>
    <col width="18" customWidth="1" min="9" max="9"/>
    <col width="21" customWidth="1" min="10" max="10"/>
    <col width="18" customWidth="1" min="11" max="11"/>
    <col width="20" customWidth="1" min="12" max="12"/>
    <col width="23" customWidth="1" min="13" max="13"/>
    <col width="13" customWidth="1" min="14" max="14"/>
  </cols>
  <sheetData>
    <row r="1">
      <c r="A1" s="1" t="inlineStr">
        <is>
          <t>Musteri_Kodu</t>
        </is>
      </c>
      <c r="B1" s="1" t="inlineStr">
        <is>
          <t>Firma_Adi</t>
        </is>
      </c>
      <c r="C1" s="1" t="inlineStr">
        <is>
          <t>Ulke</t>
        </is>
      </c>
      <c r="D1" s="1" t="inlineStr">
        <is>
          <t>Sehir</t>
        </is>
      </c>
      <c r="E1" s="1" t="inlineStr">
        <is>
          <t>Bolge</t>
        </is>
      </c>
      <c r="F1" s="1" t="inlineStr">
        <is>
          <t>Sektor</t>
        </is>
      </c>
      <c r="G1" s="1" t="inlineStr">
        <is>
          <t>Musteri_Tipi</t>
        </is>
      </c>
      <c r="H1" s="1" t="inlineStr">
        <is>
          <t>Risk_Segmenti</t>
        </is>
      </c>
      <c r="I1" s="1" t="inlineStr">
        <is>
          <t>Odeme_Vadesi_Gun</t>
        </is>
      </c>
      <c r="J1" s="1" t="inlineStr">
        <is>
          <t>Para_Birimi_Tercihi</t>
        </is>
      </c>
      <c r="K1" s="1" t="inlineStr">
        <is>
          <t>Incoterm_Tercihi</t>
        </is>
      </c>
      <c r="L1" s="1" t="inlineStr">
        <is>
          <t>Ilk_Calisma_Tarihi</t>
        </is>
      </c>
      <c r="M1" s="1" t="inlineStr">
        <is>
          <t>Yillik_Hedef_Ciro_USD</t>
        </is>
      </c>
      <c r="N1" s="1" t="inlineStr">
        <is>
          <t>Aktif_Pasif</t>
        </is>
      </c>
    </row>
    <row r="2">
      <c r="A2" s="2" t="inlineStr">
        <is>
          <t>MUS-001</t>
        </is>
      </c>
      <c r="B2" s="2" t="inlineStr">
        <is>
          <t>Nord Technik BV</t>
        </is>
      </c>
      <c r="C2" s="2" t="inlineStr">
        <is>
          <t>Misir</t>
        </is>
      </c>
      <c r="D2" s="2" t="inlineStr">
        <is>
          <t>İskenderiye</t>
        </is>
      </c>
      <c r="E2" s="2" t="inlineStr">
        <is>
          <t>Kuzey Afrika</t>
        </is>
      </c>
      <c r="F2" s="2" t="inlineStr">
        <is>
          <t>Enerji</t>
        </is>
      </c>
      <c r="G2" s="2" t="inlineStr">
        <is>
          <t>Müteahhit EPC</t>
        </is>
      </c>
      <c r="H2" s="2" t="inlineStr">
        <is>
          <t>Orta</t>
        </is>
      </c>
      <c r="I2" s="5" t="n">
        <v>60</v>
      </c>
      <c r="J2" s="2" t="inlineStr">
        <is>
          <t>USD</t>
        </is>
      </c>
      <c r="K2" s="2" t="inlineStr">
        <is>
          <t>CFR</t>
        </is>
      </c>
      <c r="L2" s="6" t="n">
        <v>45129</v>
      </c>
      <c r="M2" s="3" t="n">
        <v>250000</v>
      </c>
      <c r="N2" s="2" t="inlineStr">
        <is>
          <t>Aktif</t>
        </is>
      </c>
    </row>
    <row r="3">
      <c r="A3" s="2" t="inlineStr">
        <is>
          <t>MUS-002</t>
        </is>
      </c>
      <c r="B3" s="2" t="inlineStr">
        <is>
          <t>Global Industrial FZC</t>
        </is>
      </c>
      <c r="C3" s="2" t="inlineStr">
        <is>
          <t>Almanya</t>
        </is>
      </c>
      <c r="D3" s="2" t="inlineStr">
        <is>
          <t>Hamburg</t>
        </is>
      </c>
      <c r="E3" s="2" t="inlineStr">
        <is>
          <t>Avrupa</t>
        </is>
      </c>
      <c r="F3" s="2" t="inlineStr">
        <is>
          <t>Dogal Gaz</t>
        </is>
      </c>
      <c r="G3" s="2" t="inlineStr">
        <is>
          <t>Distribütor</t>
        </is>
      </c>
      <c r="H3" s="2" t="inlineStr">
        <is>
          <t>Yuksek</t>
        </is>
      </c>
      <c r="I3" s="5" t="n">
        <v>30</v>
      </c>
      <c r="J3" s="2" t="inlineStr">
        <is>
          <t>EUR</t>
        </is>
      </c>
      <c r="K3" s="2" t="inlineStr">
        <is>
          <t>DAP</t>
        </is>
      </c>
      <c r="L3" s="6" t="n">
        <v>45357</v>
      </c>
      <c r="M3" s="3" t="n">
        <v>180000</v>
      </c>
      <c r="N3" s="2" t="inlineStr">
        <is>
          <t>Pasif</t>
        </is>
      </c>
    </row>
    <row r="4">
      <c r="A4" s="2" t="inlineStr">
        <is>
          <t>MUS-003</t>
        </is>
      </c>
      <c r="B4" s="2" t="inlineStr">
        <is>
          <t>Atlas Engineering LLC</t>
        </is>
      </c>
      <c r="C4" s="2" t="inlineStr">
        <is>
          <t>BAE</t>
        </is>
      </c>
      <c r="D4" s="2" t="inlineStr">
        <is>
          <t>Sharjah</t>
        </is>
      </c>
      <c r="E4" s="2" t="inlineStr">
        <is>
          <t>Orta Doğu</t>
        </is>
      </c>
      <c r="F4" s="2" t="inlineStr">
        <is>
          <t>Dogal Gaz</t>
        </is>
      </c>
      <c r="G4" s="2" t="inlineStr">
        <is>
          <t>Distribütor</t>
        </is>
      </c>
      <c r="H4" s="2" t="inlineStr">
        <is>
          <t>Orta</t>
        </is>
      </c>
      <c r="I4" s="5" t="n">
        <v>90</v>
      </c>
      <c r="J4" s="2" t="inlineStr">
        <is>
          <t>USD</t>
        </is>
      </c>
      <c r="K4" s="2" t="inlineStr">
        <is>
          <t>CIF</t>
        </is>
      </c>
      <c r="L4" s="6" t="n">
        <v>44828</v>
      </c>
      <c r="M4" s="3" t="n">
        <v>250000</v>
      </c>
      <c r="N4" s="2" t="inlineStr">
        <is>
          <t>Aktif</t>
        </is>
      </c>
    </row>
    <row r="5">
      <c r="A5" s="2" t="inlineStr">
        <is>
          <t>MUS-004</t>
        </is>
      </c>
      <c r="B5" s="2" t="inlineStr">
        <is>
          <t>Omega Solutions SPA</t>
        </is>
      </c>
      <c r="C5" s="2" t="inlineStr">
        <is>
          <t>Misir</t>
        </is>
      </c>
      <c r="D5" s="2" t="inlineStr">
        <is>
          <t>Kahire</t>
        </is>
      </c>
      <c r="E5" s="2" t="inlineStr">
        <is>
          <t>Kuzey Afrika</t>
        </is>
      </c>
      <c r="F5" s="2" t="inlineStr">
        <is>
          <t>Kimya</t>
        </is>
      </c>
      <c r="G5" s="2" t="inlineStr">
        <is>
          <t>OEM</t>
        </is>
      </c>
      <c r="H5" s="2" t="inlineStr">
        <is>
          <t>Dusuk</t>
        </is>
      </c>
      <c r="I5" s="5" t="n">
        <v>90</v>
      </c>
      <c r="J5" s="2" t="inlineStr">
        <is>
          <t>USD</t>
        </is>
      </c>
      <c r="K5" s="2" t="inlineStr">
        <is>
          <t>CFR</t>
        </is>
      </c>
      <c r="L5" s="6" t="n">
        <v>45602</v>
      </c>
      <c r="M5" s="3" t="n">
        <v>650000</v>
      </c>
      <c r="N5" s="2" t="inlineStr">
        <is>
          <t>Pasif</t>
        </is>
      </c>
    </row>
    <row r="6">
      <c r="A6" s="2" t="inlineStr">
        <is>
          <t>MUS-005</t>
        </is>
      </c>
      <c r="B6" s="2" t="inlineStr">
        <is>
          <t>Nord Energy SARL</t>
        </is>
      </c>
      <c r="C6" s="2" t="inlineStr">
        <is>
          <t>Italya</t>
        </is>
      </c>
      <c r="D6" s="2" t="inlineStr">
        <is>
          <t>Bologna</t>
        </is>
      </c>
      <c r="E6" s="2" t="inlineStr">
        <is>
          <t>Avrupa</t>
        </is>
      </c>
      <c r="F6" s="2" t="inlineStr">
        <is>
          <t>Enerji</t>
        </is>
      </c>
      <c r="G6" s="2" t="inlineStr">
        <is>
          <t>Distribütor</t>
        </is>
      </c>
      <c r="H6" s="2" t="inlineStr">
        <is>
          <t>Orta</t>
        </is>
      </c>
      <c r="I6" s="5" t="n">
        <v>45</v>
      </c>
      <c r="J6" s="2" t="inlineStr">
        <is>
          <t>EUR</t>
        </is>
      </c>
      <c r="K6" s="2" t="inlineStr">
        <is>
          <t>DAP</t>
        </is>
      </c>
      <c r="L6" s="6" t="n">
        <v>43733</v>
      </c>
      <c r="M6" s="3" t="n">
        <v>250000</v>
      </c>
      <c r="N6" s="2" t="inlineStr">
        <is>
          <t>Aktif</t>
        </is>
      </c>
    </row>
    <row r="7">
      <c r="A7" s="2" t="inlineStr">
        <is>
          <t>MUS-006</t>
        </is>
      </c>
      <c r="B7" s="2" t="inlineStr">
        <is>
          <t>Petro Engineering BV</t>
        </is>
      </c>
      <c r="C7" s="2" t="inlineStr">
        <is>
          <t>Azerbaycan</t>
        </is>
      </c>
      <c r="D7" s="2" t="inlineStr">
        <is>
          <t>Sumgayıt</t>
        </is>
      </c>
      <c r="E7" s="2" t="inlineStr">
        <is>
          <t>Orta Asya</t>
        </is>
      </c>
      <c r="F7" s="2" t="inlineStr">
        <is>
          <t>Enerji</t>
        </is>
      </c>
      <c r="G7" s="2" t="inlineStr">
        <is>
          <t>OEM</t>
        </is>
      </c>
      <c r="H7" s="2" t="inlineStr">
        <is>
          <t>Dusuk</t>
        </is>
      </c>
      <c r="I7" s="5" t="n">
        <v>15</v>
      </c>
      <c r="J7" s="2" t="inlineStr">
        <is>
          <t>USD</t>
        </is>
      </c>
      <c r="K7" s="2" t="inlineStr">
        <is>
          <t>FCA</t>
        </is>
      </c>
      <c r="L7" s="6" t="n">
        <v>43664</v>
      </c>
      <c r="M7" s="3" t="n">
        <v>400000</v>
      </c>
      <c r="N7" s="2" t="inlineStr">
        <is>
          <t>Aktif</t>
        </is>
      </c>
    </row>
    <row r="8">
      <c r="A8" s="2" t="inlineStr">
        <is>
          <t>MUS-007</t>
        </is>
      </c>
      <c r="B8" s="2" t="inlineStr">
        <is>
          <t>Apex Flow GmbH</t>
        </is>
      </c>
      <c r="C8" s="2" t="inlineStr">
        <is>
          <t>BAE</t>
        </is>
      </c>
      <c r="D8" s="2" t="inlineStr">
        <is>
          <t>Abu Dhabi</t>
        </is>
      </c>
      <c r="E8" s="2" t="inlineStr">
        <is>
          <t>Orta Doğu</t>
        </is>
      </c>
      <c r="F8" s="2" t="inlineStr">
        <is>
          <t>Enerji</t>
        </is>
      </c>
      <c r="G8" s="2" t="inlineStr">
        <is>
          <t>Distribütor</t>
        </is>
      </c>
      <c r="H8" s="2" t="inlineStr">
        <is>
          <t>Orta</t>
        </is>
      </c>
      <c r="I8" s="5" t="n">
        <v>60</v>
      </c>
      <c r="J8" s="2" t="inlineStr">
        <is>
          <t>USD</t>
        </is>
      </c>
      <c r="K8" s="2" t="inlineStr">
        <is>
          <t>CIF</t>
        </is>
      </c>
      <c r="L8" s="6" t="n">
        <v>45513</v>
      </c>
      <c r="M8" s="3" t="n">
        <v>250000</v>
      </c>
      <c r="N8" s="2" t="inlineStr">
        <is>
          <t>Aktif</t>
        </is>
      </c>
    </row>
    <row r="9">
      <c r="A9" s="2" t="inlineStr">
        <is>
          <t>MUS-008</t>
        </is>
      </c>
      <c r="B9" s="2" t="inlineStr">
        <is>
          <t>Apex Pipeline Ltd</t>
        </is>
      </c>
      <c r="C9" s="2" t="inlineStr">
        <is>
          <t>Azerbaycan</t>
        </is>
      </c>
      <c r="D9" s="2" t="inlineStr">
        <is>
          <t>Gence</t>
        </is>
      </c>
      <c r="E9" s="2" t="inlineStr">
        <is>
          <t>Orta Asya</t>
        </is>
      </c>
      <c r="F9" s="2" t="inlineStr">
        <is>
          <t>Enerji</t>
        </is>
      </c>
      <c r="G9" s="2" t="inlineStr">
        <is>
          <t>Son Kullanici</t>
        </is>
      </c>
      <c r="H9" s="2" t="inlineStr">
        <is>
          <t>Dusuk</t>
        </is>
      </c>
      <c r="I9" s="5" t="n">
        <v>60</v>
      </c>
      <c r="J9" s="2" t="inlineStr">
        <is>
          <t>USD</t>
        </is>
      </c>
      <c r="K9" s="2" t="inlineStr">
        <is>
          <t>FCA</t>
        </is>
      </c>
      <c r="L9" s="6" t="n">
        <v>44911</v>
      </c>
      <c r="M9" s="3" t="n">
        <v>120000</v>
      </c>
      <c r="N9" s="2" t="inlineStr">
        <is>
          <t>Aktif</t>
        </is>
      </c>
    </row>
    <row r="10">
      <c r="A10" s="2" t="inlineStr">
        <is>
          <t>MUS-009</t>
        </is>
      </c>
      <c r="B10" s="2" t="inlineStr">
        <is>
          <t>Omega Systems LLC</t>
        </is>
      </c>
      <c r="C10" s="2" t="inlineStr">
        <is>
          <t>Almanya</t>
        </is>
      </c>
      <c r="D10" s="2" t="inlineStr">
        <is>
          <t>Hamburg</t>
        </is>
      </c>
      <c r="E10" s="2" t="inlineStr">
        <is>
          <t>Avrupa</t>
        </is>
      </c>
      <c r="F10" s="2" t="inlineStr">
        <is>
          <t>Kimya</t>
        </is>
      </c>
      <c r="G10" s="2" t="inlineStr">
        <is>
          <t>Müteahhit EPC</t>
        </is>
      </c>
      <c r="H10" s="2" t="inlineStr">
        <is>
          <t>Yuksek</t>
        </is>
      </c>
      <c r="I10" s="5" t="n">
        <v>30</v>
      </c>
      <c r="J10" s="2" t="inlineStr">
        <is>
          <t>EUR</t>
        </is>
      </c>
      <c r="K10" s="2" t="inlineStr">
        <is>
          <t>DAP</t>
        </is>
      </c>
      <c r="L10" s="6" t="n">
        <v>44191</v>
      </c>
      <c r="M10" s="3" t="n">
        <v>120000</v>
      </c>
      <c r="N10" s="2" t="inlineStr">
        <is>
          <t>Aktif</t>
        </is>
      </c>
    </row>
    <row r="11">
      <c r="A11" s="2" t="inlineStr">
        <is>
          <t>MUS-010</t>
        </is>
      </c>
      <c r="B11" s="2" t="inlineStr">
        <is>
          <t>Atlas Energy SPA</t>
        </is>
      </c>
      <c r="C11" s="2" t="inlineStr">
        <is>
          <t>Suudi Arabistan</t>
        </is>
      </c>
      <c r="D11" s="2" t="inlineStr">
        <is>
          <t>Riyad</t>
        </is>
      </c>
      <c r="E11" s="2" t="inlineStr">
        <is>
          <t>Orta Doğu</t>
        </is>
      </c>
      <c r="F11" s="2" t="inlineStr">
        <is>
          <t>Petrokimya</t>
        </is>
      </c>
      <c r="G11" s="2" t="inlineStr">
        <is>
          <t>Distribütor</t>
        </is>
      </c>
      <c r="H11" s="2" t="inlineStr">
        <is>
          <t>Dusuk</t>
        </is>
      </c>
      <c r="I11" s="5" t="n">
        <v>15</v>
      </c>
      <c r="J11" s="2" t="inlineStr">
        <is>
          <t>USD</t>
        </is>
      </c>
      <c r="K11" s="2" t="inlineStr">
        <is>
          <t>CIF</t>
        </is>
      </c>
      <c r="L11" s="6" t="n">
        <v>45292</v>
      </c>
      <c r="M11" s="3" t="n">
        <v>120000</v>
      </c>
      <c r="N11" s="2" t="inlineStr">
        <is>
          <t>Aktif</t>
        </is>
      </c>
    </row>
    <row r="12">
      <c r="A12" s="2" t="inlineStr">
        <is>
          <t>MUS-011</t>
        </is>
      </c>
      <c r="B12" s="2" t="inlineStr">
        <is>
          <t>Nova Industries GmbH</t>
        </is>
      </c>
      <c r="C12" s="2" t="inlineStr">
        <is>
          <t>Suudi Arabistan</t>
        </is>
      </c>
      <c r="D12" s="2" t="inlineStr">
        <is>
          <t>Cidde</t>
        </is>
      </c>
      <c r="E12" s="2" t="inlineStr">
        <is>
          <t>Orta Doğu</t>
        </is>
      </c>
      <c r="F12" s="2" t="inlineStr">
        <is>
          <t>Petrokimya</t>
        </is>
      </c>
      <c r="G12" s="2" t="inlineStr">
        <is>
          <t>Müteahhit EPC</t>
        </is>
      </c>
      <c r="H12" s="2" t="inlineStr">
        <is>
          <t>Orta</t>
        </is>
      </c>
      <c r="I12" s="5" t="n">
        <v>60</v>
      </c>
      <c r="J12" s="2" t="inlineStr">
        <is>
          <t>USD</t>
        </is>
      </c>
      <c r="K12" s="2" t="inlineStr">
        <is>
          <t>CIF</t>
        </is>
      </c>
      <c r="L12" s="6" t="n">
        <v>43915</v>
      </c>
      <c r="M12" s="3" t="n">
        <v>180000</v>
      </c>
      <c r="N12" s="2" t="inlineStr">
        <is>
          <t>Aktif</t>
        </is>
      </c>
    </row>
    <row r="13">
      <c r="A13" s="2" t="inlineStr">
        <is>
          <t>MUS-012</t>
        </is>
      </c>
      <c r="B13" s="2" t="inlineStr">
        <is>
          <t>Quantum Systems Ltd</t>
        </is>
      </c>
      <c r="C13" s="2" t="inlineStr">
        <is>
          <t>Hollanda</t>
        </is>
      </c>
      <c r="D13" s="2" t="inlineStr">
        <is>
          <t>Eindhoven</t>
        </is>
      </c>
      <c r="E13" s="2" t="inlineStr">
        <is>
          <t>Avrupa</t>
        </is>
      </c>
      <c r="F13" s="2" t="inlineStr">
        <is>
          <t>Su Arıtma</t>
        </is>
      </c>
      <c r="G13" s="2" t="inlineStr">
        <is>
          <t>Müteahhit EPC</t>
        </is>
      </c>
      <c r="H13" s="2" t="inlineStr">
        <is>
          <t>Orta</t>
        </is>
      </c>
      <c r="I13" s="5" t="n">
        <v>45</v>
      </c>
      <c r="J13" s="2" t="inlineStr">
        <is>
          <t>EUR</t>
        </is>
      </c>
      <c r="K13" s="2" t="inlineStr">
        <is>
          <t>DAP</t>
        </is>
      </c>
      <c r="L13" s="6" t="n">
        <v>43525</v>
      </c>
      <c r="M13" s="3" t="n">
        <v>250000</v>
      </c>
      <c r="N13" s="2" t="inlineStr">
        <is>
          <t>Aktif</t>
        </is>
      </c>
    </row>
    <row r="14">
      <c r="A14" s="2" t="inlineStr">
        <is>
          <t>MUS-013</t>
        </is>
      </c>
      <c r="B14" s="2" t="inlineStr">
        <is>
          <t>Orion Process SPA</t>
        </is>
      </c>
      <c r="C14" s="2" t="inlineStr">
        <is>
          <t>Romanya</t>
        </is>
      </c>
      <c r="D14" s="2" t="inlineStr">
        <is>
          <t>Bükreş</t>
        </is>
      </c>
      <c r="E14" s="2" t="inlineStr">
        <is>
          <t>Avrupa</t>
        </is>
      </c>
      <c r="F14" s="2" t="inlineStr">
        <is>
          <t>Petrokimya</t>
        </is>
      </c>
      <c r="G14" s="2" t="inlineStr">
        <is>
          <t>Son Kullanici</t>
        </is>
      </c>
      <c r="H14" s="2" t="inlineStr">
        <is>
          <t>Dusuk</t>
        </is>
      </c>
      <c r="I14" s="5" t="n">
        <v>45</v>
      </c>
      <c r="J14" s="2" t="inlineStr">
        <is>
          <t>EUR</t>
        </is>
      </c>
      <c r="K14" s="2" t="inlineStr">
        <is>
          <t>FCA</t>
        </is>
      </c>
      <c r="L14" s="6" t="n">
        <v>44089</v>
      </c>
      <c r="M14" s="3" t="n">
        <v>650000</v>
      </c>
      <c r="N14" s="2" t="inlineStr">
        <is>
          <t>Aktif</t>
        </is>
      </c>
    </row>
    <row r="15">
      <c r="A15" s="2" t="inlineStr">
        <is>
          <t>MUS-014</t>
        </is>
      </c>
      <c r="B15" s="2" t="inlineStr">
        <is>
          <t>Atlas Industrial BV</t>
        </is>
      </c>
      <c r="C15" s="2" t="inlineStr">
        <is>
          <t>Azerbaycan</t>
        </is>
      </c>
      <c r="D15" s="2" t="inlineStr">
        <is>
          <t>Bakü</t>
        </is>
      </c>
      <c r="E15" s="2" t="inlineStr">
        <is>
          <t>Orta Asya</t>
        </is>
      </c>
      <c r="F15" s="2" t="inlineStr">
        <is>
          <t>Enerji</t>
        </is>
      </c>
      <c r="G15" s="2" t="inlineStr">
        <is>
          <t>OEM</t>
        </is>
      </c>
      <c r="H15" s="2" t="inlineStr">
        <is>
          <t>Dusuk</t>
        </is>
      </c>
      <c r="I15" s="5" t="n">
        <v>60</v>
      </c>
      <c r="J15" s="2" t="inlineStr">
        <is>
          <t>USD</t>
        </is>
      </c>
      <c r="K15" s="2" t="inlineStr">
        <is>
          <t>FCA</t>
        </is>
      </c>
      <c r="L15" s="6" t="n">
        <v>44782</v>
      </c>
      <c r="M15" s="3" t="n">
        <v>180000</v>
      </c>
      <c r="N15" s="2" t="inlineStr">
        <is>
          <t>Aktif</t>
        </is>
      </c>
    </row>
    <row r="16">
      <c r="A16" s="2" t="inlineStr">
        <is>
          <t>MUS-015</t>
        </is>
      </c>
      <c r="B16" s="2" t="inlineStr">
        <is>
          <t>Petro Energy SPA</t>
        </is>
      </c>
      <c r="C16" s="2" t="inlineStr">
        <is>
          <t>Polonya</t>
        </is>
      </c>
      <c r="D16" s="2" t="inlineStr">
        <is>
          <t>Gdansk</t>
        </is>
      </c>
      <c r="E16" s="2" t="inlineStr">
        <is>
          <t>Avrupa</t>
        </is>
      </c>
      <c r="F16" s="2" t="inlineStr">
        <is>
          <t>Enerji</t>
        </is>
      </c>
      <c r="G16" s="2" t="inlineStr">
        <is>
          <t>Distribütor</t>
        </is>
      </c>
      <c r="H16" s="2" t="inlineStr">
        <is>
          <t>Yuksek</t>
        </is>
      </c>
      <c r="I16" s="5" t="n">
        <v>45</v>
      </c>
      <c r="J16" s="2" t="inlineStr">
        <is>
          <t>EUR</t>
        </is>
      </c>
      <c r="K16" s="2" t="inlineStr">
        <is>
          <t>DAP</t>
        </is>
      </c>
      <c r="L16" s="6" t="n">
        <v>43578</v>
      </c>
      <c r="M16" s="3" t="n">
        <v>650000</v>
      </c>
      <c r="N16" s="2" t="inlineStr">
        <is>
          <t>Aktif</t>
        </is>
      </c>
    </row>
    <row r="17">
      <c r="A17" s="2" t="inlineStr">
        <is>
          <t>MUS-016</t>
        </is>
      </c>
      <c r="B17" s="2" t="inlineStr">
        <is>
          <t>Quantum Flow BV</t>
        </is>
      </c>
      <c r="C17" s="2" t="inlineStr">
        <is>
          <t>Italya</t>
        </is>
      </c>
      <c r="D17" s="2" t="inlineStr">
        <is>
          <t>Bologna</t>
        </is>
      </c>
      <c r="E17" s="2" t="inlineStr">
        <is>
          <t>Avrupa</t>
        </is>
      </c>
      <c r="F17" s="2" t="inlineStr">
        <is>
          <t>Kimya</t>
        </is>
      </c>
      <c r="G17" s="2" t="inlineStr">
        <is>
          <t>Son Kullanici</t>
        </is>
      </c>
      <c r="H17" s="2" t="inlineStr">
        <is>
          <t>Dusuk</t>
        </is>
      </c>
      <c r="I17" s="5" t="n">
        <v>45</v>
      </c>
      <c r="J17" s="2" t="inlineStr">
        <is>
          <t>EUR</t>
        </is>
      </c>
      <c r="K17" s="2" t="inlineStr">
        <is>
          <t>DAP</t>
        </is>
      </c>
      <c r="L17" s="6" t="n">
        <v>45603</v>
      </c>
      <c r="M17" s="3" t="n">
        <v>120000</v>
      </c>
      <c r="N17" s="2" t="inlineStr">
        <is>
          <t>Aktif</t>
        </is>
      </c>
    </row>
    <row r="18">
      <c r="A18" s="2" t="inlineStr">
        <is>
          <t>MUS-017</t>
        </is>
      </c>
      <c r="B18" s="2" t="inlineStr">
        <is>
          <t>Quantum Solutions Ltd</t>
        </is>
      </c>
      <c r="C18" s="2" t="inlineStr">
        <is>
          <t>Polonya</t>
        </is>
      </c>
      <c r="D18" s="2" t="inlineStr">
        <is>
          <t>Gdansk</t>
        </is>
      </c>
      <c r="E18" s="2" t="inlineStr">
        <is>
          <t>Avrupa</t>
        </is>
      </c>
      <c r="F18" s="2" t="inlineStr">
        <is>
          <t>Petrokimya</t>
        </is>
      </c>
      <c r="G18" s="2" t="inlineStr">
        <is>
          <t>Distribütor</t>
        </is>
      </c>
      <c r="H18" s="2" t="inlineStr">
        <is>
          <t>Orta</t>
        </is>
      </c>
      <c r="I18" s="5" t="n">
        <v>45</v>
      </c>
      <c r="J18" s="2" t="inlineStr">
        <is>
          <t>EUR</t>
        </is>
      </c>
      <c r="K18" s="2" t="inlineStr">
        <is>
          <t>DAP</t>
        </is>
      </c>
      <c r="L18" s="6" t="n">
        <v>45422</v>
      </c>
      <c r="M18" s="3" t="n">
        <v>250000</v>
      </c>
      <c r="N18" s="2" t="inlineStr">
        <is>
          <t>Aktif</t>
        </is>
      </c>
    </row>
    <row r="19">
      <c r="A19" s="2" t="inlineStr">
        <is>
          <t>MUS-018</t>
        </is>
      </c>
      <c r="B19" s="2" t="inlineStr">
        <is>
          <t>Nord Technik FZC</t>
        </is>
      </c>
      <c r="C19" s="2" t="inlineStr">
        <is>
          <t>BAE</t>
        </is>
      </c>
      <c r="D19" s="2" t="inlineStr">
        <is>
          <t>Dubai</t>
        </is>
      </c>
      <c r="E19" s="2" t="inlineStr">
        <is>
          <t>Orta Doğu</t>
        </is>
      </c>
      <c r="F19" s="2" t="inlineStr">
        <is>
          <t>Su Arıtma</t>
        </is>
      </c>
      <c r="G19" s="2" t="inlineStr">
        <is>
          <t>Distribütor</t>
        </is>
      </c>
      <c r="H19" s="2" t="inlineStr">
        <is>
          <t>Orta</t>
        </is>
      </c>
      <c r="I19" s="5" t="n">
        <v>60</v>
      </c>
      <c r="J19" s="2" t="inlineStr">
        <is>
          <t>USD</t>
        </is>
      </c>
      <c r="K19" s="2" t="inlineStr">
        <is>
          <t>CIF</t>
        </is>
      </c>
      <c r="L19" s="6" t="n">
        <v>43722</v>
      </c>
      <c r="M19" s="3" t="n">
        <v>180000</v>
      </c>
      <c r="N19" s="2" t="inlineStr">
        <is>
          <t>Aktif</t>
        </is>
      </c>
    </row>
    <row r="20">
      <c r="A20" s="2" t="inlineStr">
        <is>
          <t>MUS-019</t>
        </is>
      </c>
      <c r="B20" s="2" t="inlineStr">
        <is>
          <t>Nova Pipeline FZC</t>
        </is>
      </c>
      <c r="C20" s="2" t="inlineStr">
        <is>
          <t>Suudi Arabistan</t>
        </is>
      </c>
      <c r="D20" s="2" t="inlineStr">
        <is>
          <t>Dammam</t>
        </is>
      </c>
      <c r="E20" s="2" t="inlineStr">
        <is>
          <t>Orta Doğu</t>
        </is>
      </c>
      <c r="F20" s="2" t="inlineStr">
        <is>
          <t>Kimya</t>
        </is>
      </c>
      <c r="G20" s="2" t="inlineStr">
        <is>
          <t>Distribütor</t>
        </is>
      </c>
      <c r="H20" s="2" t="inlineStr">
        <is>
          <t>Dusuk</t>
        </is>
      </c>
      <c r="I20" s="5" t="n">
        <v>45</v>
      </c>
      <c r="J20" s="2" t="inlineStr">
        <is>
          <t>USD</t>
        </is>
      </c>
      <c r="K20" s="2" t="inlineStr">
        <is>
          <t>CIF</t>
        </is>
      </c>
      <c r="L20" s="6" t="n">
        <v>43709</v>
      </c>
      <c r="M20" s="3" t="n">
        <v>250000</v>
      </c>
      <c r="N20" s="2" t="inlineStr">
        <is>
          <t>Aktif</t>
        </is>
      </c>
    </row>
    <row r="21">
      <c r="A21" s="2" t="inlineStr">
        <is>
          <t>MUS-020</t>
        </is>
      </c>
      <c r="B21" s="2" t="inlineStr">
        <is>
          <t>Apex Solutions Ltd</t>
        </is>
      </c>
      <c r="C21" s="2" t="inlineStr">
        <is>
          <t>Cezayir</t>
        </is>
      </c>
      <c r="D21" s="2" t="inlineStr">
        <is>
          <t>Cezayir</t>
        </is>
      </c>
      <c r="E21" s="2" t="inlineStr">
        <is>
          <t>Kuzey Afrika</t>
        </is>
      </c>
      <c r="F21" s="2" t="inlineStr">
        <is>
          <t>Gida</t>
        </is>
      </c>
      <c r="G21" s="2" t="inlineStr">
        <is>
          <t>OEM</t>
        </is>
      </c>
      <c r="H21" s="2" t="inlineStr">
        <is>
          <t>Dusuk</t>
        </is>
      </c>
      <c r="I21" s="5" t="n">
        <v>30</v>
      </c>
      <c r="J21" s="2" t="inlineStr">
        <is>
          <t>USD</t>
        </is>
      </c>
      <c r="K21" s="2" t="inlineStr">
        <is>
          <t>CFR</t>
        </is>
      </c>
      <c r="L21" s="6" t="n">
        <v>44960</v>
      </c>
      <c r="M21" s="3" t="n">
        <v>400000</v>
      </c>
      <c r="N21" s="2" t="inlineStr">
        <is>
          <t>Aktif</t>
        </is>
      </c>
    </row>
    <row r="22">
      <c r="A22" s="2" t="inlineStr">
        <is>
          <t>MUS-021</t>
        </is>
      </c>
      <c r="B22" s="2" t="inlineStr">
        <is>
          <t>Nova Energy Ltd</t>
        </is>
      </c>
      <c r="C22" s="2" t="inlineStr">
        <is>
          <t>Hollanda</t>
        </is>
      </c>
      <c r="D22" s="2" t="inlineStr">
        <is>
          <t>Eindhoven</t>
        </is>
      </c>
      <c r="E22" s="2" t="inlineStr">
        <is>
          <t>Avrupa</t>
        </is>
      </c>
      <c r="F22" s="2" t="inlineStr">
        <is>
          <t>Enerji</t>
        </is>
      </c>
      <c r="G22" s="2" t="inlineStr">
        <is>
          <t>Son Kullanici</t>
        </is>
      </c>
      <c r="H22" s="2" t="inlineStr">
        <is>
          <t>Dusuk</t>
        </is>
      </c>
      <c r="I22" s="5" t="n">
        <v>60</v>
      </c>
      <c r="J22" s="2" t="inlineStr">
        <is>
          <t>EUR</t>
        </is>
      </c>
      <c r="K22" s="2" t="inlineStr">
        <is>
          <t>DAP</t>
        </is>
      </c>
      <c r="L22" s="6" t="n">
        <v>44425</v>
      </c>
      <c r="M22" s="3" t="n">
        <v>180000</v>
      </c>
      <c r="N22" s="2" t="inlineStr">
        <is>
          <t>Aktif</t>
        </is>
      </c>
    </row>
    <row r="23">
      <c r="A23" s="2" t="inlineStr">
        <is>
          <t>MUS-022</t>
        </is>
      </c>
      <c r="B23" s="2" t="inlineStr">
        <is>
          <t>Omega Technik FZC</t>
        </is>
      </c>
      <c r="C23" s="2" t="inlineStr">
        <is>
          <t>Hollanda</t>
        </is>
      </c>
      <c r="D23" s="2" t="inlineStr">
        <is>
          <t>Eindhoven</t>
        </is>
      </c>
      <c r="E23" s="2" t="inlineStr">
        <is>
          <t>Avrupa</t>
        </is>
      </c>
      <c r="F23" s="2" t="inlineStr">
        <is>
          <t>Petrokimya</t>
        </is>
      </c>
      <c r="G23" s="2" t="inlineStr">
        <is>
          <t>Distribütor</t>
        </is>
      </c>
      <c r="H23" s="2" t="inlineStr">
        <is>
          <t>Dusuk</t>
        </is>
      </c>
      <c r="I23" s="5" t="n">
        <v>90</v>
      </c>
      <c r="J23" s="2" t="inlineStr">
        <is>
          <t>EUR</t>
        </is>
      </c>
      <c r="K23" s="2" t="inlineStr">
        <is>
          <t>DAP</t>
        </is>
      </c>
      <c r="L23" s="6" t="n">
        <v>44830</v>
      </c>
      <c r="M23" s="3" t="n">
        <v>400000</v>
      </c>
      <c r="N23" s="2" t="inlineStr">
        <is>
          <t>Aktif</t>
        </is>
      </c>
    </row>
    <row r="24">
      <c r="A24" s="2" t="inlineStr">
        <is>
          <t>MUS-023</t>
        </is>
      </c>
      <c r="B24" s="2" t="inlineStr">
        <is>
          <t>Delta Systems SPA</t>
        </is>
      </c>
      <c r="C24" s="2" t="inlineStr">
        <is>
          <t>Katar</t>
        </is>
      </c>
      <c r="D24" s="2" t="inlineStr">
        <is>
          <t>Al Rayyan</t>
        </is>
      </c>
      <c r="E24" s="2" t="inlineStr">
        <is>
          <t>Orta Doğu</t>
        </is>
      </c>
      <c r="F24" s="2" t="inlineStr">
        <is>
          <t>Kimya</t>
        </is>
      </c>
      <c r="G24" s="2" t="inlineStr">
        <is>
          <t>Müteahhit EPC</t>
        </is>
      </c>
      <c r="H24" s="2" t="inlineStr">
        <is>
          <t>Dusuk</t>
        </is>
      </c>
      <c r="I24" s="5" t="n">
        <v>30</v>
      </c>
      <c r="J24" s="2" t="inlineStr">
        <is>
          <t>USD</t>
        </is>
      </c>
      <c r="K24" s="2" t="inlineStr">
        <is>
          <t>CIF</t>
        </is>
      </c>
      <c r="L24" s="6" t="n">
        <v>44278</v>
      </c>
      <c r="M24" s="3" t="n">
        <v>400000</v>
      </c>
      <c r="N24" s="2" t="inlineStr">
        <is>
          <t>Aktif</t>
        </is>
      </c>
    </row>
    <row r="25">
      <c r="A25" s="2" t="inlineStr">
        <is>
          <t>MUS-024</t>
        </is>
      </c>
      <c r="B25" s="2" t="inlineStr">
        <is>
          <t>Nord Industries GmbH</t>
        </is>
      </c>
      <c r="C25" s="2" t="inlineStr">
        <is>
          <t>Katar</t>
        </is>
      </c>
      <c r="D25" s="2" t="inlineStr">
        <is>
          <t>Al Rayyan</t>
        </is>
      </c>
      <c r="E25" s="2" t="inlineStr">
        <is>
          <t>Orta Doğu</t>
        </is>
      </c>
      <c r="F25" s="2" t="inlineStr">
        <is>
          <t>Enerji</t>
        </is>
      </c>
      <c r="G25" s="2" t="inlineStr">
        <is>
          <t>Distribütor</t>
        </is>
      </c>
      <c r="H25" s="2" t="inlineStr">
        <is>
          <t>Orta</t>
        </is>
      </c>
      <c r="I25" s="5" t="n">
        <v>30</v>
      </c>
      <c r="J25" s="2" t="inlineStr">
        <is>
          <t>USD</t>
        </is>
      </c>
      <c r="K25" s="2" t="inlineStr">
        <is>
          <t>CIF</t>
        </is>
      </c>
      <c r="L25" s="6" t="n">
        <v>45279</v>
      </c>
      <c r="M25" s="3" t="n">
        <v>650000</v>
      </c>
      <c r="N25" s="2" t="inlineStr">
        <is>
          <t>Aktif</t>
        </is>
      </c>
    </row>
    <row r="26">
      <c r="A26" s="2" t="inlineStr">
        <is>
          <t>MUS-025</t>
        </is>
      </c>
      <c r="B26" s="2" t="inlineStr">
        <is>
          <t>Prime Chem Ltd</t>
        </is>
      </c>
      <c r="C26" s="2" t="inlineStr">
        <is>
          <t>Almanya</t>
        </is>
      </c>
      <c r="D26" s="2" t="inlineStr">
        <is>
          <t>Hamburg</t>
        </is>
      </c>
      <c r="E26" s="2" t="inlineStr">
        <is>
          <t>Avrupa</t>
        </is>
      </c>
      <c r="F26" s="2" t="inlineStr">
        <is>
          <t>Enerji</t>
        </is>
      </c>
      <c r="G26" s="2" t="inlineStr">
        <is>
          <t>OEM</t>
        </is>
      </c>
      <c r="H26" s="2" t="inlineStr">
        <is>
          <t>Dusuk</t>
        </is>
      </c>
      <c r="I26" s="5" t="n">
        <v>45</v>
      </c>
      <c r="J26" s="2" t="inlineStr">
        <is>
          <t>EUR</t>
        </is>
      </c>
      <c r="K26" s="2" t="inlineStr">
        <is>
          <t>DAP</t>
        </is>
      </c>
      <c r="L26" s="6" t="n">
        <v>44095</v>
      </c>
      <c r="M26" s="3" t="n">
        <v>650000</v>
      </c>
      <c r="N26" s="2" t="inlineStr">
        <is>
          <t>Aktif</t>
        </is>
      </c>
    </row>
    <row r="27">
      <c r="A27" s="2" t="inlineStr">
        <is>
          <t>MUS-026</t>
        </is>
      </c>
      <c r="B27" s="2" t="inlineStr">
        <is>
          <t>Omega Flow FZC</t>
        </is>
      </c>
      <c r="C27" s="2" t="inlineStr">
        <is>
          <t>Romanya</t>
        </is>
      </c>
      <c r="D27" s="2" t="inlineStr">
        <is>
          <t>Cluj</t>
        </is>
      </c>
      <c r="E27" s="2" t="inlineStr">
        <is>
          <t>Avrupa</t>
        </is>
      </c>
      <c r="F27" s="2" t="inlineStr">
        <is>
          <t>Kimya</t>
        </is>
      </c>
      <c r="G27" s="2" t="inlineStr">
        <is>
          <t>Son Kullanici</t>
        </is>
      </c>
      <c r="H27" s="2" t="inlineStr">
        <is>
          <t>Yuksek</t>
        </is>
      </c>
      <c r="I27" s="5" t="n">
        <v>15</v>
      </c>
      <c r="J27" s="2" t="inlineStr">
        <is>
          <t>EUR</t>
        </is>
      </c>
      <c r="K27" s="2" t="inlineStr">
        <is>
          <t>FCA</t>
        </is>
      </c>
      <c r="L27" s="6" t="n">
        <v>44214</v>
      </c>
      <c r="M27" s="3" t="n">
        <v>250000</v>
      </c>
      <c r="N27" s="2" t="inlineStr">
        <is>
          <t>Aktif</t>
        </is>
      </c>
    </row>
    <row r="28">
      <c r="A28" s="2" t="inlineStr">
        <is>
          <t>MUS-027</t>
        </is>
      </c>
      <c r="B28" s="2" t="inlineStr">
        <is>
          <t>Nord Process LLC</t>
        </is>
      </c>
      <c r="C28" s="2" t="inlineStr">
        <is>
          <t>BAE</t>
        </is>
      </c>
      <c r="D28" s="2" t="inlineStr">
        <is>
          <t>Abu Dhabi</t>
        </is>
      </c>
      <c r="E28" s="2" t="inlineStr">
        <is>
          <t>Orta Doğu</t>
        </is>
      </c>
      <c r="F28" s="2" t="inlineStr">
        <is>
          <t>Kimya</t>
        </is>
      </c>
      <c r="G28" s="2" t="inlineStr">
        <is>
          <t>Müteahhit EPC</t>
        </is>
      </c>
      <c r="H28" s="2" t="inlineStr">
        <is>
          <t>Yuksek</t>
        </is>
      </c>
      <c r="I28" s="5" t="n">
        <v>45</v>
      </c>
      <c r="J28" s="2" t="inlineStr">
        <is>
          <t>USD</t>
        </is>
      </c>
      <c r="K28" s="2" t="inlineStr">
        <is>
          <t>CIF</t>
        </is>
      </c>
      <c r="L28" s="6" t="n">
        <v>45095</v>
      </c>
      <c r="M28" s="3" t="n">
        <v>180000</v>
      </c>
      <c r="N28" s="2" t="inlineStr">
        <is>
          <t>Aktif</t>
        </is>
      </c>
    </row>
    <row r="29">
      <c r="A29" s="2" t="inlineStr">
        <is>
          <t>MUS-028</t>
        </is>
      </c>
      <c r="B29" s="2" t="inlineStr">
        <is>
          <t>Nord Flow Ltd</t>
        </is>
      </c>
      <c r="C29" s="2" t="inlineStr">
        <is>
          <t>Italya</t>
        </is>
      </c>
      <c r="D29" s="2" t="inlineStr">
        <is>
          <t>Bologna</t>
        </is>
      </c>
      <c r="E29" s="2" t="inlineStr">
        <is>
          <t>Avrupa</t>
        </is>
      </c>
      <c r="F29" s="2" t="inlineStr">
        <is>
          <t>Enerji</t>
        </is>
      </c>
      <c r="G29" s="2" t="inlineStr">
        <is>
          <t>OEM</t>
        </is>
      </c>
      <c r="H29" s="2" t="inlineStr">
        <is>
          <t>Yuksek</t>
        </is>
      </c>
      <c r="I29" s="5" t="n">
        <v>30</v>
      </c>
      <c r="J29" s="2" t="inlineStr">
        <is>
          <t>EUR</t>
        </is>
      </c>
      <c r="K29" s="2" t="inlineStr">
        <is>
          <t>DAP</t>
        </is>
      </c>
      <c r="L29" s="6" t="n">
        <v>44085</v>
      </c>
      <c r="M29" s="3" t="n">
        <v>650000</v>
      </c>
      <c r="N29" s="2" t="inlineStr">
        <is>
          <t>Aktif</t>
        </is>
      </c>
    </row>
    <row r="30">
      <c r="A30" s="2" t="inlineStr">
        <is>
          <t>MUS-029</t>
        </is>
      </c>
      <c r="B30" s="2" t="inlineStr">
        <is>
          <t>Nord Gulf LLC</t>
        </is>
      </c>
      <c r="C30" s="2" t="inlineStr">
        <is>
          <t>Cezayir</t>
        </is>
      </c>
      <c r="D30" s="2" t="inlineStr">
        <is>
          <t>Oran</t>
        </is>
      </c>
      <c r="E30" s="2" t="inlineStr">
        <is>
          <t>Kuzey Afrika</t>
        </is>
      </c>
      <c r="F30" s="2" t="inlineStr">
        <is>
          <t>Su Arıtma</t>
        </is>
      </c>
      <c r="G30" s="2" t="inlineStr">
        <is>
          <t>Son Kullanici</t>
        </is>
      </c>
      <c r="H30" s="2" t="inlineStr">
        <is>
          <t>Dusuk</t>
        </is>
      </c>
      <c r="I30" s="5" t="n">
        <v>15</v>
      </c>
      <c r="J30" s="2" t="inlineStr">
        <is>
          <t>USD</t>
        </is>
      </c>
      <c r="K30" s="2" t="inlineStr">
        <is>
          <t>CFR</t>
        </is>
      </c>
      <c r="L30" s="6" t="n">
        <v>43755</v>
      </c>
      <c r="M30" s="3" t="n">
        <v>80000</v>
      </c>
      <c r="N30" s="2" t="inlineStr">
        <is>
          <t>Aktif</t>
        </is>
      </c>
    </row>
    <row r="31">
      <c r="A31" s="2" t="inlineStr">
        <is>
          <t>MUS-030</t>
        </is>
      </c>
      <c r="B31" s="2" t="inlineStr">
        <is>
          <t>Petro Systems GmbH</t>
        </is>
      </c>
      <c r="C31" s="2" t="inlineStr">
        <is>
          <t>Polonya</t>
        </is>
      </c>
      <c r="D31" s="2" t="inlineStr">
        <is>
          <t>Gdansk</t>
        </is>
      </c>
      <c r="E31" s="2" t="inlineStr">
        <is>
          <t>Avrupa</t>
        </is>
      </c>
      <c r="F31" s="2" t="inlineStr">
        <is>
          <t>Enerji</t>
        </is>
      </c>
      <c r="G31" s="2" t="inlineStr">
        <is>
          <t>OEM</t>
        </is>
      </c>
      <c r="H31" s="2" t="inlineStr">
        <is>
          <t>Dusuk</t>
        </is>
      </c>
      <c r="I31" s="5" t="n">
        <v>15</v>
      </c>
      <c r="J31" s="2" t="inlineStr">
        <is>
          <t>EUR</t>
        </is>
      </c>
      <c r="K31" s="2" t="inlineStr">
        <is>
          <t>DAP</t>
        </is>
      </c>
      <c r="L31" s="6" t="n">
        <v>44620</v>
      </c>
      <c r="M31" s="3" t="n">
        <v>650000</v>
      </c>
      <c r="N31" s="2" t="inlineStr">
        <is>
          <t>Aktif</t>
        </is>
      </c>
    </row>
    <row r="32">
      <c r="A32" s="2" t="inlineStr">
        <is>
          <t>MUS-031</t>
        </is>
      </c>
      <c r="B32" s="2" t="inlineStr">
        <is>
          <t>Quantum Systems BV</t>
        </is>
      </c>
      <c r="C32" s="2" t="inlineStr">
        <is>
          <t>Polonya</t>
        </is>
      </c>
      <c r="D32" s="2" t="inlineStr">
        <is>
          <t>Gdansk</t>
        </is>
      </c>
      <c r="E32" s="2" t="inlineStr">
        <is>
          <t>Avrupa</t>
        </is>
      </c>
      <c r="F32" s="2" t="inlineStr">
        <is>
          <t>Enerji</t>
        </is>
      </c>
      <c r="G32" s="2" t="inlineStr">
        <is>
          <t>Müteahhit EPC</t>
        </is>
      </c>
      <c r="H32" s="2" t="inlineStr">
        <is>
          <t>Orta</t>
        </is>
      </c>
      <c r="I32" s="5" t="n">
        <v>15</v>
      </c>
      <c r="J32" s="2" t="inlineStr">
        <is>
          <t>EUR</t>
        </is>
      </c>
      <c r="K32" s="2" t="inlineStr">
        <is>
          <t>DAP</t>
        </is>
      </c>
      <c r="L32" s="6" t="n">
        <v>43499</v>
      </c>
      <c r="M32" s="3" t="n">
        <v>650000</v>
      </c>
      <c r="N32" s="2" t="inlineStr">
        <is>
          <t>Aktif</t>
        </is>
      </c>
    </row>
    <row r="33">
      <c r="A33" s="2" t="inlineStr">
        <is>
          <t>MUS-032</t>
        </is>
      </c>
      <c r="B33" s="2" t="inlineStr">
        <is>
          <t>Apex Engineering GmbH</t>
        </is>
      </c>
      <c r="C33" s="2" t="inlineStr">
        <is>
          <t>BAE</t>
        </is>
      </c>
      <c r="D33" s="2" t="inlineStr">
        <is>
          <t>Abu Dhabi</t>
        </is>
      </c>
      <c r="E33" s="2" t="inlineStr">
        <is>
          <t>Orta Doğu</t>
        </is>
      </c>
      <c r="F33" s="2" t="inlineStr">
        <is>
          <t>Petrokimya</t>
        </is>
      </c>
      <c r="G33" s="2" t="inlineStr">
        <is>
          <t>OEM</t>
        </is>
      </c>
      <c r="H33" s="2" t="inlineStr">
        <is>
          <t>Dusuk</t>
        </is>
      </c>
      <c r="I33" s="5" t="n">
        <v>45</v>
      </c>
      <c r="J33" s="2" t="inlineStr">
        <is>
          <t>USD</t>
        </is>
      </c>
      <c r="K33" s="2" t="inlineStr">
        <is>
          <t>CIF</t>
        </is>
      </c>
      <c r="L33" s="6" t="n">
        <v>43930</v>
      </c>
      <c r="M33" s="3" t="n">
        <v>400000</v>
      </c>
      <c r="N33" s="2" t="inlineStr">
        <is>
          <t>Aktif</t>
        </is>
      </c>
    </row>
    <row r="34">
      <c r="A34" s="2" t="inlineStr">
        <is>
          <t>MUS-033</t>
        </is>
      </c>
      <c r="B34" s="2" t="inlineStr">
        <is>
          <t>Blue Chem LLC</t>
        </is>
      </c>
      <c r="C34" s="2" t="inlineStr">
        <is>
          <t>Cezayir</t>
        </is>
      </c>
      <c r="D34" s="2" t="inlineStr">
        <is>
          <t>Cezayir</t>
        </is>
      </c>
      <c r="E34" s="2" t="inlineStr">
        <is>
          <t>Kuzey Afrika</t>
        </is>
      </c>
      <c r="F34" s="2" t="inlineStr">
        <is>
          <t>Enerji</t>
        </is>
      </c>
      <c r="G34" s="2" t="inlineStr">
        <is>
          <t>Son Kullanici</t>
        </is>
      </c>
      <c r="H34" s="2" t="inlineStr">
        <is>
          <t>Dusuk</t>
        </is>
      </c>
      <c r="I34" s="5" t="n">
        <v>30</v>
      </c>
      <c r="J34" s="2" t="inlineStr">
        <is>
          <t>USD</t>
        </is>
      </c>
      <c r="K34" s="2" t="inlineStr">
        <is>
          <t>CFR</t>
        </is>
      </c>
      <c r="L34" s="6" t="n">
        <v>45082</v>
      </c>
      <c r="M34" s="3" t="n">
        <v>250000</v>
      </c>
      <c r="N34" s="2" t="inlineStr">
        <is>
          <t>Aktif</t>
        </is>
      </c>
    </row>
    <row r="35">
      <c r="A35" s="2" t="inlineStr">
        <is>
          <t>MUS-034</t>
        </is>
      </c>
      <c r="B35" s="2" t="inlineStr">
        <is>
          <t>Nord Industrial LLC</t>
        </is>
      </c>
      <c r="C35" s="2" t="inlineStr">
        <is>
          <t>Italya</t>
        </is>
      </c>
      <c r="D35" s="2" t="inlineStr">
        <is>
          <t>Bologna</t>
        </is>
      </c>
      <c r="E35" s="2" t="inlineStr">
        <is>
          <t>Avrupa</t>
        </is>
      </c>
      <c r="F35" s="2" t="inlineStr">
        <is>
          <t>Enerji</t>
        </is>
      </c>
      <c r="G35" s="2" t="inlineStr">
        <is>
          <t>Müteahhit EPC</t>
        </is>
      </c>
      <c r="H35" s="2" t="inlineStr">
        <is>
          <t>Orta</t>
        </is>
      </c>
      <c r="I35" s="5" t="n">
        <v>60</v>
      </c>
      <c r="J35" s="2" t="inlineStr">
        <is>
          <t>EUR</t>
        </is>
      </c>
      <c r="K35" s="2" t="inlineStr">
        <is>
          <t>DAP</t>
        </is>
      </c>
      <c r="L35" s="6" t="n">
        <v>44682</v>
      </c>
      <c r="M35" s="3" t="n">
        <v>650000</v>
      </c>
      <c r="N35" s="2" t="inlineStr">
        <is>
          <t>Aktif</t>
        </is>
      </c>
    </row>
    <row r="36">
      <c r="A36" s="2" t="inlineStr">
        <is>
          <t>MUS-035</t>
        </is>
      </c>
      <c r="B36" s="2" t="inlineStr">
        <is>
          <t>Global Technik SPA</t>
        </is>
      </c>
      <c r="C36" s="2" t="inlineStr">
        <is>
          <t>Romanya</t>
        </is>
      </c>
      <c r="D36" s="2" t="inlineStr">
        <is>
          <t>Constanta</t>
        </is>
      </c>
      <c r="E36" s="2" t="inlineStr">
        <is>
          <t>Avrupa</t>
        </is>
      </c>
      <c r="F36" s="2" t="inlineStr">
        <is>
          <t>Gida</t>
        </is>
      </c>
      <c r="G36" s="2" t="inlineStr">
        <is>
          <t>Distribütor</t>
        </is>
      </c>
      <c r="H36" s="2" t="inlineStr">
        <is>
          <t>Dusuk</t>
        </is>
      </c>
      <c r="I36" s="5" t="n">
        <v>45</v>
      </c>
      <c r="J36" s="2" t="inlineStr">
        <is>
          <t>EUR</t>
        </is>
      </c>
      <c r="K36" s="2" t="inlineStr">
        <is>
          <t>FCA</t>
        </is>
      </c>
      <c r="L36" s="6" t="n">
        <v>43556</v>
      </c>
      <c r="M36" s="3" t="n">
        <v>250000</v>
      </c>
      <c r="N36" s="2" t="inlineStr">
        <is>
          <t>Aktif</t>
        </is>
      </c>
    </row>
    <row r="37">
      <c r="A37" s="2" t="inlineStr">
        <is>
          <t>MUS-036</t>
        </is>
      </c>
      <c r="B37" s="2" t="inlineStr">
        <is>
          <t>Omega Energy SARL</t>
        </is>
      </c>
      <c r="C37" s="2" t="inlineStr">
        <is>
          <t>Cezayir</t>
        </is>
      </c>
      <c r="D37" s="2" t="inlineStr">
        <is>
          <t>Annaba</t>
        </is>
      </c>
      <c r="E37" s="2" t="inlineStr">
        <is>
          <t>Kuzey Afrika</t>
        </is>
      </c>
      <c r="F37" s="2" t="inlineStr">
        <is>
          <t>Gida</t>
        </is>
      </c>
      <c r="G37" s="2" t="inlineStr">
        <is>
          <t>Son Kullanici</t>
        </is>
      </c>
      <c r="H37" s="2" t="inlineStr">
        <is>
          <t>Dusuk</t>
        </is>
      </c>
      <c r="I37" s="5" t="n">
        <v>30</v>
      </c>
      <c r="J37" s="2" t="inlineStr">
        <is>
          <t>USD</t>
        </is>
      </c>
      <c r="K37" s="2" t="inlineStr">
        <is>
          <t>CFR</t>
        </is>
      </c>
      <c r="L37" s="6" t="n">
        <v>44083</v>
      </c>
      <c r="M37" s="3" t="n">
        <v>180000</v>
      </c>
      <c r="N37" s="2" t="inlineStr">
        <is>
          <t>Aktif</t>
        </is>
      </c>
    </row>
    <row r="38">
      <c r="A38" s="2" t="inlineStr">
        <is>
          <t>MUS-037</t>
        </is>
      </c>
      <c r="B38" s="2" t="inlineStr">
        <is>
          <t>Orion Energy LLC</t>
        </is>
      </c>
      <c r="C38" s="2" t="inlineStr">
        <is>
          <t>Italya</t>
        </is>
      </c>
      <c r="D38" s="2" t="inlineStr">
        <is>
          <t>Genova</t>
        </is>
      </c>
      <c r="E38" s="2" t="inlineStr">
        <is>
          <t>Avrupa</t>
        </is>
      </c>
      <c r="F38" s="2" t="inlineStr">
        <is>
          <t>Gida</t>
        </is>
      </c>
      <c r="G38" s="2" t="inlineStr">
        <is>
          <t>Son Kullanici</t>
        </is>
      </c>
      <c r="H38" s="2" t="inlineStr">
        <is>
          <t>Dusuk</t>
        </is>
      </c>
      <c r="I38" s="5" t="n">
        <v>90</v>
      </c>
      <c r="J38" s="2" t="inlineStr">
        <is>
          <t>EUR</t>
        </is>
      </c>
      <c r="K38" s="2" t="inlineStr">
        <is>
          <t>DAP</t>
        </is>
      </c>
      <c r="L38" s="6" t="n">
        <v>44303</v>
      </c>
      <c r="M38" s="3" t="n">
        <v>120000</v>
      </c>
      <c r="N38" s="2" t="inlineStr">
        <is>
          <t>Aktif</t>
        </is>
      </c>
    </row>
    <row r="39">
      <c r="A39" s="2" t="inlineStr">
        <is>
          <t>MUS-038</t>
        </is>
      </c>
      <c r="B39" s="2" t="inlineStr">
        <is>
          <t>Atlas Process FZC</t>
        </is>
      </c>
      <c r="C39" s="2" t="inlineStr">
        <is>
          <t>Suudi Arabistan</t>
        </is>
      </c>
      <c r="D39" s="2" t="inlineStr">
        <is>
          <t>Dammam</t>
        </is>
      </c>
      <c r="E39" s="2" t="inlineStr">
        <is>
          <t>Orta Doğu</t>
        </is>
      </c>
      <c r="F39" s="2" t="inlineStr">
        <is>
          <t>Enerji</t>
        </is>
      </c>
      <c r="G39" s="2" t="inlineStr">
        <is>
          <t>Müteahhit EPC</t>
        </is>
      </c>
      <c r="H39" s="2" t="inlineStr">
        <is>
          <t>Dusuk</t>
        </is>
      </c>
      <c r="I39" s="5" t="n">
        <v>90</v>
      </c>
      <c r="J39" s="2" t="inlineStr">
        <is>
          <t>USD</t>
        </is>
      </c>
      <c r="K39" s="2" t="inlineStr">
        <is>
          <t>CIF</t>
        </is>
      </c>
      <c r="L39" s="6" t="n">
        <v>43969</v>
      </c>
      <c r="M39" s="3" t="n">
        <v>650000</v>
      </c>
      <c r="N39" s="2" t="inlineStr">
        <is>
          <t>Aktif</t>
        </is>
      </c>
    </row>
    <row r="40">
      <c r="A40" s="2" t="inlineStr">
        <is>
          <t>MUS-039</t>
        </is>
      </c>
      <c r="B40" s="2" t="inlineStr">
        <is>
          <t>Quantum Engineering FZC</t>
        </is>
      </c>
      <c r="C40" s="2" t="inlineStr">
        <is>
          <t>BAE</t>
        </is>
      </c>
      <c r="D40" s="2" t="inlineStr">
        <is>
          <t>Sharjah</t>
        </is>
      </c>
      <c r="E40" s="2" t="inlineStr">
        <is>
          <t>Orta Doğu</t>
        </is>
      </c>
      <c r="F40" s="2" t="inlineStr">
        <is>
          <t>Kimya</t>
        </is>
      </c>
      <c r="G40" s="2" t="inlineStr">
        <is>
          <t>OEM</t>
        </is>
      </c>
      <c r="H40" s="2" t="inlineStr">
        <is>
          <t>Dusuk</t>
        </is>
      </c>
      <c r="I40" s="5" t="n">
        <v>30</v>
      </c>
      <c r="J40" s="2" t="inlineStr">
        <is>
          <t>USD</t>
        </is>
      </c>
      <c r="K40" s="2" t="inlineStr">
        <is>
          <t>CIF</t>
        </is>
      </c>
      <c r="L40" s="6" t="n">
        <v>43854</v>
      </c>
      <c r="M40" s="3" t="n">
        <v>120000</v>
      </c>
      <c r="N40" s="2" t="inlineStr">
        <is>
          <t>Aktif</t>
        </is>
      </c>
    </row>
    <row r="41">
      <c r="A41" s="2" t="inlineStr">
        <is>
          <t>MUS-040</t>
        </is>
      </c>
      <c r="B41" s="2" t="inlineStr">
        <is>
          <t>Quantum Chem SARL</t>
        </is>
      </c>
      <c r="C41" s="2" t="inlineStr">
        <is>
          <t>Suudi Arabistan</t>
        </is>
      </c>
      <c r="D41" s="2" t="inlineStr">
        <is>
          <t>Riyad</t>
        </is>
      </c>
      <c r="E41" s="2" t="inlineStr">
        <is>
          <t>Orta Doğu</t>
        </is>
      </c>
      <c r="F41" s="2" t="inlineStr">
        <is>
          <t>Dogal Gaz</t>
        </is>
      </c>
      <c r="G41" s="2" t="inlineStr">
        <is>
          <t>OEM</t>
        </is>
      </c>
      <c r="H41" s="2" t="inlineStr">
        <is>
          <t>Orta</t>
        </is>
      </c>
      <c r="I41" s="5" t="n">
        <v>45</v>
      </c>
      <c r="J41" s="2" t="inlineStr">
        <is>
          <t>USD</t>
        </is>
      </c>
      <c r="K41" s="2" t="inlineStr">
        <is>
          <t>CIF</t>
        </is>
      </c>
      <c r="L41" s="6" t="n">
        <v>44846</v>
      </c>
      <c r="M41" s="3" t="n">
        <v>400000</v>
      </c>
      <c r="N41" s="2" t="inlineStr">
        <is>
          <t>Aktif</t>
        </is>
      </c>
    </row>
    <row r="42">
      <c r="A42" s="2" t="inlineStr">
        <is>
          <t>MUS-041</t>
        </is>
      </c>
      <c r="B42" s="2" t="inlineStr">
        <is>
          <t>Blue Solutions Ltd</t>
        </is>
      </c>
      <c r="C42" s="2" t="inlineStr">
        <is>
          <t>Hollanda</t>
        </is>
      </c>
      <c r="D42" s="2" t="inlineStr">
        <is>
          <t>Rotterdam</t>
        </is>
      </c>
      <c r="E42" s="2" t="inlineStr">
        <is>
          <t>Avrupa</t>
        </is>
      </c>
      <c r="F42" s="2" t="inlineStr">
        <is>
          <t>Su Arıtma</t>
        </is>
      </c>
      <c r="G42" s="2" t="inlineStr">
        <is>
          <t>Distribütor</t>
        </is>
      </c>
      <c r="H42" s="2" t="inlineStr">
        <is>
          <t>Orta</t>
        </is>
      </c>
      <c r="I42" s="5" t="n">
        <v>15</v>
      </c>
      <c r="J42" s="2" t="inlineStr">
        <is>
          <t>EUR</t>
        </is>
      </c>
      <c r="K42" s="2" t="inlineStr">
        <is>
          <t>DAP</t>
        </is>
      </c>
      <c r="L42" s="6" t="n">
        <v>45370</v>
      </c>
      <c r="M42" s="3" t="n">
        <v>180000</v>
      </c>
      <c r="N42" s="2" t="inlineStr">
        <is>
          <t>Aktif</t>
        </is>
      </c>
    </row>
    <row r="43">
      <c r="A43" s="2" t="inlineStr">
        <is>
          <t>MUS-042</t>
        </is>
      </c>
      <c r="B43" s="2" t="inlineStr">
        <is>
          <t>Orion Solutions SPA</t>
        </is>
      </c>
      <c r="C43" s="2" t="inlineStr">
        <is>
          <t>Cezayir</t>
        </is>
      </c>
      <c r="D43" s="2" t="inlineStr">
        <is>
          <t>Oran</t>
        </is>
      </c>
      <c r="E43" s="2" t="inlineStr">
        <is>
          <t>Kuzey Afrika</t>
        </is>
      </c>
      <c r="F43" s="2" t="inlineStr">
        <is>
          <t>Enerji</t>
        </is>
      </c>
      <c r="G43" s="2" t="inlineStr">
        <is>
          <t>Müteahhit EPC</t>
        </is>
      </c>
      <c r="H43" s="2" t="inlineStr">
        <is>
          <t>Dusuk</t>
        </is>
      </c>
      <c r="I43" s="5" t="n">
        <v>60</v>
      </c>
      <c r="J43" s="2" t="inlineStr">
        <is>
          <t>USD</t>
        </is>
      </c>
      <c r="K43" s="2" t="inlineStr">
        <is>
          <t>CFR</t>
        </is>
      </c>
      <c r="L43" s="6" t="n">
        <v>44902</v>
      </c>
      <c r="M43" s="3" t="n">
        <v>80000</v>
      </c>
      <c r="N43" s="2" t="inlineStr">
        <is>
          <t>Aktif</t>
        </is>
      </c>
    </row>
    <row r="44">
      <c r="A44" s="2" t="inlineStr">
        <is>
          <t>MUS-043</t>
        </is>
      </c>
      <c r="B44" s="2" t="inlineStr">
        <is>
          <t>Petro Industrial GmbH</t>
        </is>
      </c>
      <c r="C44" s="2" t="inlineStr">
        <is>
          <t>Polonya</t>
        </is>
      </c>
      <c r="D44" s="2" t="inlineStr">
        <is>
          <t>Varşova</t>
        </is>
      </c>
      <c r="E44" s="2" t="inlineStr">
        <is>
          <t>Avrupa</t>
        </is>
      </c>
      <c r="F44" s="2" t="inlineStr">
        <is>
          <t>Enerji</t>
        </is>
      </c>
      <c r="G44" s="2" t="inlineStr">
        <is>
          <t>Distribütor</t>
        </is>
      </c>
      <c r="H44" s="2" t="inlineStr">
        <is>
          <t>Orta</t>
        </is>
      </c>
      <c r="I44" s="5" t="n">
        <v>90</v>
      </c>
      <c r="J44" s="2" t="inlineStr">
        <is>
          <t>EUR</t>
        </is>
      </c>
      <c r="K44" s="2" t="inlineStr">
        <is>
          <t>DAP</t>
        </is>
      </c>
      <c r="L44" s="6" t="n">
        <v>43889</v>
      </c>
      <c r="M44" s="3" t="n">
        <v>400000</v>
      </c>
      <c r="N44" s="2" t="inlineStr">
        <is>
          <t>Aktif</t>
        </is>
      </c>
    </row>
    <row r="45">
      <c r="A45" s="2" t="inlineStr">
        <is>
          <t>MUS-044</t>
        </is>
      </c>
      <c r="B45" s="2" t="inlineStr">
        <is>
          <t>Petro Process GmbH</t>
        </is>
      </c>
      <c r="C45" s="2" t="inlineStr">
        <is>
          <t>Hollanda</t>
        </is>
      </c>
      <c r="D45" s="2" t="inlineStr">
        <is>
          <t>Eindhoven</t>
        </is>
      </c>
      <c r="E45" s="2" t="inlineStr">
        <is>
          <t>Avrupa</t>
        </is>
      </c>
      <c r="F45" s="2" t="inlineStr">
        <is>
          <t>Kimya</t>
        </is>
      </c>
      <c r="G45" s="2" t="inlineStr">
        <is>
          <t>Müteahhit EPC</t>
        </is>
      </c>
      <c r="H45" s="2" t="inlineStr">
        <is>
          <t>Orta</t>
        </is>
      </c>
      <c r="I45" s="5" t="n">
        <v>60</v>
      </c>
      <c r="J45" s="2" t="inlineStr">
        <is>
          <t>EUR</t>
        </is>
      </c>
      <c r="K45" s="2" t="inlineStr">
        <is>
          <t>DAP</t>
        </is>
      </c>
      <c r="L45" s="6" t="n">
        <v>44480</v>
      </c>
      <c r="M45" s="3" t="n">
        <v>400000</v>
      </c>
      <c r="N45" s="2" t="inlineStr">
        <is>
          <t>Aktif</t>
        </is>
      </c>
    </row>
    <row r="46">
      <c r="A46" s="2" t="inlineStr">
        <is>
          <t>MUS-045</t>
        </is>
      </c>
      <c r="B46" s="2" t="inlineStr">
        <is>
          <t>Nord Industries SPA</t>
        </is>
      </c>
      <c r="C46" s="2" t="inlineStr">
        <is>
          <t>Kazakistan</t>
        </is>
      </c>
      <c r="D46" s="2" t="inlineStr">
        <is>
          <t>Almatı</t>
        </is>
      </c>
      <c r="E46" s="2" t="inlineStr">
        <is>
          <t>Orta Asya</t>
        </is>
      </c>
      <c r="F46" s="2" t="inlineStr">
        <is>
          <t>Dogal Gaz</t>
        </is>
      </c>
      <c r="G46" s="2" t="inlineStr">
        <is>
          <t>Müteahhit EPC</t>
        </is>
      </c>
      <c r="H46" s="2" t="inlineStr">
        <is>
          <t>Dusuk</t>
        </is>
      </c>
      <c r="I46" s="5" t="n">
        <v>30</v>
      </c>
      <c r="J46" s="2" t="inlineStr">
        <is>
          <t>USD</t>
        </is>
      </c>
      <c r="K46" s="2" t="inlineStr">
        <is>
          <t>FCA</t>
        </is>
      </c>
      <c r="L46" s="6" t="n">
        <v>44412</v>
      </c>
      <c r="M46" s="3" t="n">
        <v>650000</v>
      </c>
      <c r="N46" s="2" t="inlineStr">
        <is>
          <t>Aktif</t>
        </is>
      </c>
    </row>
    <row r="47">
      <c r="A47" s="2" t="inlineStr">
        <is>
          <t>MUS-046</t>
        </is>
      </c>
      <c r="B47" s="2" t="inlineStr">
        <is>
          <t>Global Industries SARL</t>
        </is>
      </c>
      <c r="C47" s="2" t="inlineStr">
        <is>
          <t>Romanya</t>
        </is>
      </c>
      <c r="D47" s="2" t="inlineStr">
        <is>
          <t>Bükreş</t>
        </is>
      </c>
      <c r="E47" s="2" t="inlineStr">
        <is>
          <t>Avrupa</t>
        </is>
      </c>
      <c r="F47" s="2" t="inlineStr">
        <is>
          <t>Enerji</t>
        </is>
      </c>
      <c r="G47" s="2" t="inlineStr">
        <is>
          <t>Distribütor</t>
        </is>
      </c>
      <c r="H47" s="2" t="inlineStr">
        <is>
          <t>Orta</t>
        </is>
      </c>
      <c r="I47" s="5" t="n">
        <v>45</v>
      </c>
      <c r="J47" s="2" t="inlineStr">
        <is>
          <t>EUR</t>
        </is>
      </c>
      <c r="K47" s="2" t="inlineStr">
        <is>
          <t>FCA</t>
        </is>
      </c>
      <c r="L47" s="6" t="n">
        <v>45247</v>
      </c>
      <c r="M47" s="3" t="n">
        <v>180000</v>
      </c>
      <c r="N47" s="2" t="inlineStr">
        <is>
          <t>Aktif</t>
        </is>
      </c>
    </row>
    <row r="48">
      <c r="A48" s="2" t="inlineStr">
        <is>
          <t>MUS-047</t>
        </is>
      </c>
      <c r="B48" s="2" t="inlineStr">
        <is>
          <t>Apex Gulf Ltd</t>
        </is>
      </c>
      <c r="C48" s="2" t="inlineStr">
        <is>
          <t>Misir</t>
        </is>
      </c>
      <c r="D48" s="2" t="inlineStr">
        <is>
          <t>İskenderiye</t>
        </is>
      </c>
      <c r="E48" s="2" t="inlineStr">
        <is>
          <t>Kuzey Afrika</t>
        </is>
      </c>
      <c r="F48" s="2" t="inlineStr">
        <is>
          <t>Gida</t>
        </is>
      </c>
      <c r="G48" s="2" t="inlineStr">
        <is>
          <t>Son Kullanici</t>
        </is>
      </c>
      <c r="H48" s="2" t="inlineStr">
        <is>
          <t>Dusuk</t>
        </is>
      </c>
      <c r="I48" s="5" t="n">
        <v>60</v>
      </c>
      <c r="J48" s="2" t="inlineStr">
        <is>
          <t>USD</t>
        </is>
      </c>
      <c r="K48" s="2" t="inlineStr">
        <is>
          <t>CFR</t>
        </is>
      </c>
      <c r="L48" s="6" t="n">
        <v>45581</v>
      </c>
      <c r="M48" s="3" t="n">
        <v>400000</v>
      </c>
      <c r="N48" s="2" t="inlineStr">
        <is>
          <t>Aktif</t>
        </is>
      </c>
    </row>
    <row r="49">
      <c r="A49" s="2" t="inlineStr">
        <is>
          <t>MUS-048</t>
        </is>
      </c>
      <c r="B49" s="2" t="inlineStr">
        <is>
          <t>Delta Chem FZC</t>
        </is>
      </c>
      <c r="C49" s="2" t="inlineStr">
        <is>
          <t>Hollanda</t>
        </is>
      </c>
      <c r="D49" s="2" t="inlineStr">
        <is>
          <t>Rotterdam</t>
        </is>
      </c>
      <c r="E49" s="2" t="inlineStr">
        <is>
          <t>Avrupa</t>
        </is>
      </c>
      <c r="F49" s="2" t="inlineStr">
        <is>
          <t>Kimya</t>
        </is>
      </c>
      <c r="G49" s="2" t="inlineStr">
        <is>
          <t>Müteahhit EPC</t>
        </is>
      </c>
      <c r="H49" s="2" t="inlineStr">
        <is>
          <t>Dusuk</t>
        </is>
      </c>
      <c r="I49" s="5" t="n">
        <v>45</v>
      </c>
      <c r="J49" s="2" t="inlineStr">
        <is>
          <t>EUR</t>
        </is>
      </c>
      <c r="K49" s="2" t="inlineStr">
        <is>
          <t>DAP</t>
        </is>
      </c>
      <c r="L49" s="6" t="n">
        <v>43586</v>
      </c>
      <c r="M49" s="3" t="n">
        <v>180000</v>
      </c>
      <c r="N49" s="2" t="inlineStr">
        <is>
          <t>Aktif</t>
        </is>
      </c>
    </row>
    <row r="50">
      <c r="A50" s="2" t="inlineStr">
        <is>
          <t>MUS-049</t>
        </is>
      </c>
      <c r="B50" s="2" t="inlineStr">
        <is>
          <t>Omega Process LLC</t>
        </is>
      </c>
      <c r="C50" s="2" t="inlineStr">
        <is>
          <t>Suudi Arabistan</t>
        </is>
      </c>
      <c r="D50" s="2" t="inlineStr">
        <is>
          <t>Riyad</t>
        </is>
      </c>
      <c r="E50" s="2" t="inlineStr">
        <is>
          <t>Orta Doğu</t>
        </is>
      </c>
      <c r="F50" s="2" t="inlineStr">
        <is>
          <t>Su Arıtma</t>
        </is>
      </c>
      <c r="G50" s="2" t="inlineStr">
        <is>
          <t>Son Kullanici</t>
        </is>
      </c>
      <c r="H50" s="2" t="inlineStr">
        <is>
          <t>Dusuk</t>
        </is>
      </c>
      <c r="I50" s="5" t="n">
        <v>45</v>
      </c>
      <c r="J50" s="2" t="inlineStr">
        <is>
          <t>USD</t>
        </is>
      </c>
      <c r="K50" s="2" t="inlineStr">
        <is>
          <t>CIF</t>
        </is>
      </c>
      <c r="L50" s="6" t="n">
        <v>44753</v>
      </c>
      <c r="M50" s="3" t="n">
        <v>180000</v>
      </c>
      <c r="N50" s="2" t="inlineStr">
        <is>
          <t>Aktif</t>
        </is>
      </c>
    </row>
    <row r="51">
      <c r="A51" s="2" t="inlineStr">
        <is>
          <t>MUS-050</t>
        </is>
      </c>
      <c r="B51" s="2" t="inlineStr">
        <is>
          <t>Atlas Engineering GmbH</t>
        </is>
      </c>
      <c r="C51" s="2" t="inlineStr">
        <is>
          <t>Suudi Arabistan</t>
        </is>
      </c>
      <c r="D51" s="2" t="inlineStr">
        <is>
          <t>Cidde</t>
        </is>
      </c>
      <c r="E51" s="2" t="inlineStr">
        <is>
          <t>Orta Doğu</t>
        </is>
      </c>
      <c r="F51" s="2" t="inlineStr">
        <is>
          <t>Petrokimya</t>
        </is>
      </c>
      <c r="G51" s="2" t="inlineStr">
        <is>
          <t>Distribütor</t>
        </is>
      </c>
      <c r="H51" s="2" t="inlineStr">
        <is>
          <t>Orta</t>
        </is>
      </c>
      <c r="I51" s="5" t="n">
        <v>30</v>
      </c>
      <c r="J51" s="2" t="inlineStr">
        <is>
          <t>USD</t>
        </is>
      </c>
      <c r="K51" s="2" t="inlineStr">
        <is>
          <t>CIF</t>
        </is>
      </c>
      <c r="L51" s="6" t="n">
        <v>43758</v>
      </c>
      <c r="M51" s="3" t="n">
        <v>650000</v>
      </c>
      <c r="N51" s="2" t="inlineStr">
        <is>
          <t>Pasif</t>
        </is>
      </c>
    </row>
    <row r="52">
      <c r="A52" s="2" t="inlineStr">
        <is>
          <t>MUS-051</t>
        </is>
      </c>
      <c r="B52" s="2" t="inlineStr">
        <is>
          <t>Orion Flow SPA</t>
        </is>
      </c>
      <c r="C52" s="2" t="inlineStr">
        <is>
          <t>Hollanda</t>
        </is>
      </c>
      <c r="D52" s="2" t="inlineStr">
        <is>
          <t>Amsterdam</t>
        </is>
      </c>
      <c r="E52" s="2" t="inlineStr">
        <is>
          <t>Avrupa</t>
        </is>
      </c>
      <c r="F52" s="2" t="inlineStr">
        <is>
          <t>Petrokimya</t>
        </is>
      </c>
      <c r="G52" s="2" t="inlineStr">
        <is>
          <t>Müteahhit EPC</t>
        </is>
      </c>
      <c r="H52" s="2" t="inlineStr">
        <is>
          <t>Orta</t>
        </is>
      </c>
      <c r="I52" s="5" t="n">
        <v>60</v>
      </c>
      <c r="J52" s="2" t="inlineStr">
        <is>
          <t>EUR</t>
        </is>
      </c>
      <c r="K52" s="2" t="inlineStr">
        <is>
          <t>DAP</t>
        </is>
      </c>
      <c r="L52" s="6" t="n">
        <v>44000</v>
      </c>
      <c r="M52" s="3" t="n">
        <v>120000</v>
      </c>
      <c r="N52" s="2" t="inlineStr">
        <is>
          <t>Aktif</t>
        </is>
      </c>
    </row>
    <row r="53">
      <c r="A53" s="2" t="inlineStr">
        <is>
          <t>MUS-052</t>
        </is>
      </c>
      <c r="B53" s="2" t="inlineStr">
        <is>
          <t>Nova Gulf Ltd</t>
        </is>
      </c>
      <c r="C53" s="2" t="inlineStr">
        <is>
          <t>Kazakistan</t>
        </is>
      </c>
      <c r="D53" s="2" t="inlineStr">
        <is>
          <t>Astana</t>
        </is>
      </c>
      <c r="E53" s="2" t="inlineStr">
        <is>
          <t>Orta Asya</t>
        </is>
      </c>
      <c r="F53" s="2" t="inlineStr">
        <is>
          <t>Su Arıtma</t>
        </is>
      </c>
      <c r="G53" s="2" t="inlineStr">
        <is>
          <t>Müteahhit EPC</t>
        </is>
      </c>
      <c r="H53" s="2" t="inlineStr">
        <is>
          <t>Dusuk</t>
        </is>
      </c>
      <c r="I53" s="5" t="n">
        <v>45</v>
      </c>
      <c r="J53" s="2" t="inlineStr">
        <is>
          <t>USD</t>
        </is>
      </c>
      <c r="K53" s="2" t="inlineStr">
        <is>
          <t>FCA</t>
        </is>
      </c>
      <c r="L53" s="6" t="n">
        <v>45429</v>
      </c>
      <c r="M53" s="3" t="n">
        <v>80000</v>
      </c>
      <c r="N53" s="2" t="inlineStr">
        <is>
          <t>Aktif</t>
        </is>
      </c>
    </row>
    <row r="54">
      <c r="A54" s="2" t="inlineStr">
        <is>
          <t>MUS-053</t>
        </is>
      </c>
      <c r="B54" s="2" t="inlineStr">
        <is>
          <t>Nord Chem SARL</t>
        </is>
      </c>
      <c r="C54" s="2" t="inlineStr">
        <is>
          <t>Hollanda</t>
        </is>
      </c>
      <c r="D54" s="2" t="inlineStr">
        <is>
          <t>Rotterdam</t>
        </is>
      </c>
      <c r="E54" s="2" t="inlineStr">
        <is>
          <t>Avrupa</t>
        </is>
      </c>
      <c r="F54" s="2" t="inlineStr">
        <is>
          <t>Dogal Gaz</t>
        </is>
      </c>
      <c r="G54" s="2" t="inlineStr">
        <is>
          <t>Son Kullanici</t>
        </is>
      </c>
      <c r="H54" s="2" t="inlineStr">
        <is>
          <t>Yuksek</t>
        </is>
      </c>
      <c r="I54" s="5" t="n">
        <v>60</v>
      </c>
      <c r="J54" s="2" t="inlineStr">
        <is>
          <t>EUR</t>
        </is>
      </c>
      <c r="K54" s="2" t="inlineStr">
        <is>
          <t>DAP</t>
        </is>
      </c>
      <c r="L54" s="6" t="n">
        <v>45065</v>
      </c>
      <c r="M54" s="3" t="n">
        <v>400000</v>
      </c>
      <c r="N54" s="2" t="inlineStr">
        <is>
          <t>Aktif</t>
        </is>
      </c>
    </row>
    <row r="55">
      <c r="A55" s="2" t="inlineStr">
        <is>
          <t>MUS-054</t>
        </is>
      </c>
      <c r="B55" s="2" t="inlineStr">
        <is>
          <t>Nova Industrial SPA</t>
        </is>
      </c>
      <c r="C55" s="2" t="inlineStr">
        <is>
          <t>Katar</t>
        </is>
      </c>
      <c r="D55" s="2" t="inlineStr">
        <is>
          <t>Al Rayyan</t>
        </is>
      </c>
      <c r="E55" s="2" t="inlineStr">
        <is>
          <t>Orta Doğu</t>
        </is>
      </c>
      <c r="F55" s="2" t="inlineStr">
        <is>
          <t>Petrokimya</t>
        </is>
      </c>
      <c r="G55" s="2" t="inlineStr">
        <is>
          <t>Son Kullanici</t>
        </is>
      </c>
      <c r="H55" s="2" t="inlineStr">
        <is>
          <t>Dusuk</t>
        </is>
      </c>
      <c r="I55" s="5" t="n">
        <v>90</v>
      </c>
      <c r="J55" s="2" t="inlineStr">
        <is>
          <t>USD</t>
        </is>
      </c>
      <c r="K55" s="2" t="inlineStr">
        <is>
          <t>CIF</t>
        </is>
      </c>
      <c r="L55" s="6" t="n">
        <v>45465</v>
      </c>
      <c r="M55" s="3" t="n">
        <v>400000</v>
      </c>
      <c r="N55" s="2" t="inlineStr">
        <is>
          <t>Aktif</t>
        </is>
      </c>
    </row>
    <row r="56">
      <c r="A56" s="2" t="inlineStr">
        <is>
          <t>MUS-055</t>
        </is>
      </c>
      <c r="B56" s="2" t="inlineStr">
        <is>
          <t>Delta Solutions GmbH</t>
        </is>
      </c>
      <c r="C56" s="2" t="inlineStr">
        <is>
          <t>Misir</t>
        </is>
      </c>
      <c r="D56" s="2" t="inlineStr">
        <is>
          <t>Süveyş</t>
        </is>
      </c>
      <c r="E56" s="2" t="inlineStr">
        <is>
          <t>Kuzey Afrika</t>
        </is>
      </c>
      <c r="F56" s="2" t="inlineStr">
        <is>
          <t>Kimya</t>
        </is>
      </c>
      <c r="G56" s="2" t="inlineStr">
        <is>
          <t>Son Kullanici</t>
        </is>
      </c>
      <c r="H56" s="2" t="inlineStr">
        <is>
          <t>Orta</t>
        </is>
      </c>
      <c r="I56" s="5" t="n">
        <v>15</v>
      </c>
      <c r="J56" s="2" t="inlineStr">
        <is>
          <t>USD</t>
        </is>
      </c>
      <c r="K56" s="2" t="inlineStr">
        <is>
          <t>CFR</t>
        </is>
      </c>
      <c r="L56" s="6" t="n">
        <v>44928</v>
      </c>
      <c r="M56" s="3" t="n">
        <v>650000</v>
      </c>
      <c r="N56" s="2" t="inlineStr">
        <is>
          <t>Pasif</t>
        </is>
      </c>
    </row>
    <row r="57">
      <c r="A57" s="2" t="inlineStr">
        <is>
          <t>MUS-056</t>
        </is>
      </c>
      <c r="B57" s="2" t="inlineStr">
        <is>
          <t>Prime Engineering BV</t>
        </is>
      </c>
      <c r="C57" s="2" t="inlineStr">
        <is>
          <t>Italya</t>
        </is>
      </c>
      <c r="D57" s="2" t="inlineStr">
        <is>
          <t>Genova</t>
        </is>
      </c>
      <c r="E57" s="2" t="inlineStr">
        <is>
          <t>Avrupa</t>
        </is>
      </c>
      <c r="F57" s="2" t="inlineStr">
        <is>
          <t>Su Arıtma</t>
        </is>
      </c>
      <c r="G57" s="2" t="inlineStr">
        <is>
          <t>Distribütor</t>
        </is>
      </c>
      <c r="H57" s="2" t="inlineStr">
        <is>
          <t>Dusuk</t>
        </is>
      </c>
      <c r="I57" s="5" t="n">
        <v>15</v>
      </c>
      <c r="J57" s="2" t="inlineStr">
        <is>
          <t>EUR</t>
        </is>
      </c>
      <c r="K57" s="2" t="inlineStr">
        <is>
          <t>DAP</t>
        </is>
      </c>
      <c r="L57" s="6" t="n">
        <v>44903</v>
      </c>
      <c r="M57" s="3" t="n">
        <v>250000</v>
      </c>
      <c r="N57" s="2" t="inlineStr">
        <is>
          <t>Aktif</t>
        </is>
      </c>
    </row>
    <row r="58">
      <c r="A58" s="2" t="inlineStr">
        <is>
          <t>MUS-057</t>
        </is>
      </c>
      <c r="B58" s="2" t="inlineStr">
        <is>
          <t>Apex Systems GmbH</t>
        </is>
      </c>
      <c r="C58" s="2" t="inlineStr">
        <is>
          <t>Polonya</t>
        </is>
      </c>
      <c r="D58" s="2" t="inlineStr">
        <is>
          <t>Varşova</t>
        </is>
      </c>
      <c r="E58" s="2" t="inlineStr">
        <is>
          <t>Avrupa</t>
        </is>
      </c>
      <c r="F58" s="2" t="inlineStr">
        <is>
          <t>Gida</t>
        </is>
      </c>
      <c r="G58" s="2" t="inlineStr">
        <is>
          <t>Distribütor</t>
        </is>
      </c>
      <c r="H58" s="2" t="inlineStr">
        <is>
          <t>Orta</t>
        </is>
      </c>
      <c r="I58" s="5" t="n">
        <v>60</v>
      </c>
      <c r="J58" s="2" t="inlineStr">
        <is>
          <t>EUR</t>
        </is>
      </c>
      <c r="K58" s="2" t="inlineStr">
        <is>
          <t>DAP</t>
        </is>
      </c>
      <c r="L58" s="6" t="n">
        <v>44489</v>
      </c>
      <c r="M58" s="3" t="n">
        <v>80000</v>
      </c>
      <c r="N58" s="2" t="inlineStr">
        <is>
          <t>Pasif</t>
        </is>
      </c>
    </row>
    <row r="59">
      <c r="A59" s="2" t="inlineStr">
        <is>
          <t>MUS-058</t>
        </is>
      </c>
      <c r="B59" s="2" t="inlineStr">
        <is>
          <t>Orion Industries FZC</t>
        </is>
      </c>
      <c r="C59" s="2" t="inlineStr">
        <is>
          <t>Polonya</t>
        </is>
      </c>
      <c r="D59" s="2" t="inlineStr">
        <is>
          <t>Varşova</t>
        </is>
      </c>
      <c r="E59" s="2" t="inlineStr">
        <is>
          <t>Avrupa</t>
        </is>
      </c>
      <c r="F59" s="2" t="inlineStr">
        <is>
          <t>Dogal Gaz</t>
        </is>
      </c>
      <c r="G59" s="2" t="inlineStr">
        <is>
          <t>Son Kullanici</t>
        </is>
      </c>
      <c r="H59" s="2" t="inlineStr">
        <is>
          <t>Orta</t>
        </is>
      </c>
      <c r="I59" s="5" t="n">
        <v>30</v>
      </c>
      <c r="J59" s="2" t="inlineStr">
        <is>
          <t>EUR</t>
        </is>
      </c>
      <c r="K59" s="2" t="inlineStr">
        <is>
          <t>DAP</t>
        </is>
      </c>
      <c r="L59" s="6" t="n">
        <v>43892</v>
      </c>
      <c r="M59" s="3" t="n">
        <v>400000</v>
      </c>
      <c r="N59" s="2" t="inlineStr">
        <is>
          <t>Aktif</t>
        </is>
      </c>
    </row>
    <row r="60">
      <c r="A60" s="2" t="inlineStr">
        <is>
          <t>MUS-059</t>
        </is>
      </c>
      <c r="B60" s="2" t="inlineStr">
        <is>
          <t>Nord Systems GmbH</t>
        </is>
      </c>
      <c r="C60" s="2" t="inlineStr">
        <is>
          <t>Suudi Arabistan</t>
        </is>
      </c>
      <c r="D60" s="2" t="inlineStr">
        <is>
          <t>Dammam</t>
        </is>
      </c>
      <c r="E60" s="2" t="inlineStr">
        <is>
          <t>Orta Doğu</t>
        </is>
      </c>
      <c r="F60" s="2" t="inlineStr">
        <is>
          <t>Enerji</t>
        </is>
      </c>
      <c r="G60" s="2" t="inlineStr">
        <is>
          <t>Son Kullanici</t>
        </is>
      </c>
      <c r="H60" s="2" t="inlineStr">
        <is>
          <t>Yuksek</t>
        </is>
      </c>
      <c r="I60" s="5" t="n">
        <v>60</v>
      </c>
      <c r="J60" s="2" t="inlineStr">
        <is>
          <t>USD</t>
        </is>
      </c>
      <c r="K60" s="2" t="inlineStr">
        <is>
          <t>CIF</t>
        </is>
      </c>
      <c r="L60" s="6" t="n">
        <v>43791</v>
      </c>
      <c r="M60" s="3" t="n">
        <v>80000</v>
      </c>
      <c r="N60" s="2" t="inlineStr">
        <is>
          <t>Aktif</t>
        </is>
      </c>
    </row>
    <row r="61">
      <c r="A61" s="2" t="inlineStr">
        <is>
          <t>MUS-060</t>
        </is>
      </c>
      <c r="B61" s="2" t="inlineStr">
        <is>
          <t>Delta Industries SPA</t>
        </is>
      </c>
      <c r="C61" s="2" t="inlineStr">
        <is>
          <t>Italya</t>
        </is>
      </c>
      <c r="D61" s="2" t="inlineStr">
        <is>
          <t>Milano</t>
        </is>
      </c>
      <c r="E61" s="2" t="inlineStr">
        <is>
          <t>Avrupa</t>
        </is>
      </c>
      <c r="F61" s="2" t="inlineStr">
        <is>
          <t>Su Arıtma</t>
        </is>
      </c>
      <c r="G61" s="2" t="inlineStr">
        <is>
          <t>Distribütor</t>
        </is>
      </c>
      <c r="H61" s="2" t="inlineStr">
        <is>
          <t>Orta</t>
        </is>
      </c>
      <c r="I61" s="5" t="n">
        <v>30</v>
      </c>
      <c r="J61" s="2" t="inlineStr">
        <is>
          <t>EUR</t>
        </is>
      </c>
      <c r="K61" s="2" t="inlineStr">
        <is>
          <t>DAP</t>
        </is>
      </c>
      <c r="L61" s="6" t="n">
        <v>44586</v>
      </c>
      <c r="M61" s="3" t="n">
        <v>80000</v>
      </c>
      <c r="N61" s="2" t="inlineStr">
        <is>
          <t>Pasif</t>
        </is>
      </c>
    </row>
    <row r="62">
      <c r="A62" s="2" t="inlineStr">
        <is>
          <t>MUS-061</t>
        </is>
      </c>
      <c r="B62" s="2" t="inlineStr">
        <is>
          <t>Nova Technik BV</t>
        </is>
      </c>
      <c r="C62" s="2" t="inlineStr">
        <is>
          <t>Kazakistan</t>
        </is>
      </c>
      <c r="D62" s="2" t="inlineStr">
        <is>
          <t>Atyrau</t>
        </is>
      </c>
      <c r="E62" s="2" t="inlineStr">
        <is>
          <t>Orta Asya</t>
        </is>
      </c>
      <c r="F62" s="2" t="inlineStr">
        <is>
          <t>Gida</t>
        </is>
      </c>
      <c r="G62" s="2" t="inlineStr">
        <is>
          <t>Distribütor</t>
        </is>
      </c>
      <c r="H62" s="2" t="inlineStr">
        <is>
          <t>Orta</t>
        </is>
      </c>
      <c r="I62" s="5" t="n">
        <v>60</v>
      </c>
      <c r="J62" s="2" t="inlineStr">
        <is>
          <t>USD</t>
        </is>
      </c>
      <c r="K62" s="2" t="inlineStr">
        <is>
          <t>FCA</t>
        </is>
      </c>
      <c r="L62" s="6" t="n">
        <v>44130</v>
      </c>
      <c r="M62" s="3" t="n">
        <v>80000</v>
      </c>
      <c r="N62" s="2" t="inlineStr">
        <is>
          <t>Aktif</t>
        </is>
      </c>
    </row>
    <row r="63">
      <c r="A63" s="2" t="inlineStr">
        <is>
          <t>MUS-062</t>
        </is>
      </c>
      <c r="B63" s="2" t="inlineStr">
        <is>
          <t>Prime Industries SARL</t>
        </is>
      </c>
      <c r="C63" s="2" t="inlineStr">
        <is>
          <t>Azerbaycan</t>
        </is>
      </c>
      <c r="D63" s="2" t="inlineStr">
        <is>
          <t>Bakü</t>
        </is>
      </c>
      <c r="E63" s="2" t="inlineStr">
        <is>
          <t>Orta Asya</t>
        </is>
      </c>
      <c r="F63" s="2" t="inlineStr">
        <is>
          <t>Gida</t>
        </is>
      </c>
      <c r="G63" s="2" t="inlineStr">
        <is>
          <t>Distribütor</t>
        </is>
      </c>
      <c r="H63" s="2" t="inlineStr">
        <is>
          <t>Dusuk</t>
        </is>
      </c>
      <c r="I63" s="5" t="n">
        <v>45</v>
      </c>
      <c r="J63" s="2" t="inlineStr">
        <is>
          <t>USD</t>
        </is>
      </c>
      <c r="K63" s="2" t="inlineStr">
        <is>
          <t>FCA</t>
        </is>
      </c>
      <c r="L63" s="6" t="n">
        <v>44214</v>
      </c>
      <c r="M63" s="3" t="n">
        <v>250000</v>
      </c>
      <c r="N63" s="2" t="inlineStr">
        <is>
          <t>Aktif</t>
        </is>
      </c>
    </row>
    <row r="64">
      <c r="A64" s="2" t="inlineStr">
        <is>
          <t>MUS-063</t>
        </is>
      </c>
      <c r="B64" s="2" t="inlineStr">
        <is>
          <t>Delta Process LLC</t>
        </is>
      </c>
      <c r="C64" s="2" t="inlineStr">
        <is>
          <t>Polonya</t>
        </is>
      </c>
      <c r="D64" s="2" t="inlineStr">
        <is>
          <t>Varşova</t>
        </is>
      </c>
      <c r="E64" s="2" t="inlineStr">
        <is>
          <t>Avrupa</t>
        </is>
      </c>
      <c r="F64" s="2" t="inlineStr">
        <is>
          <t>Gida</t>
        </is>
      </c>
      <c r="G64" s="2" t="inlineStr">
        <is>
          <t>OEM</t>
        </is>
      </c>
      <c r="H64" s="2" t="inlineStr">
        <is>
          <t>Orta</t>
        </is>
      </c>
      <c r="I64" s="5" t="n">
        <v>90</v>
      </c>
      <c r="J64" s="2" t="inlineStr">
        <is>
          <t>EUR</t>
        </is>
      </c>
      <c r="K64" s="2" t="inlineStr">
        <is>
          <t>DAP</t>
        </is>
      </c>
      <c r="L64" s="6" t="n">
        <v>43672</v>
      </c>
      <c r="M64" s="3" t="n">
        <v>180000</v>
      </c>
      <c r="N64" s="2" t="inlineStr">
        <is>
          <t>Aktif</t>
        </is>
      </c>
    </row>
    <row r="65">
      <c r="A65" s="2" t="inlineStr">
        <is>
          <t>MUS-064</t>
        </is>
      </c>
      <c r="B65" s="2" t="inlineStr">
        <is>
          <t>Prime Chem GmbH</t>
        </is>
      </c>
      <c r="C65" s="2" t="inlineStr">
        <is>
          <t>Romanya</t>
        </is>
      </c>
      <c r="D65" s="2" t="inlineStr">
        <is>
          <t>Cluj</t>
        </is>
      </c>
      <c r="E65" s="2" t="inlineStr">
        <is>
          <t>Avrupa</t>
        </is>
      </c>
      <c r="F65" s="2" t="inlineStr">
        <is>
          <t>Enerji</t>
        </is>
      </c>
      <c r="G65" s="2" t="inlineStr">
        <is>
          <t>Son Kullanici</t>
        </is>
      </c>
      <c r="H65" s="2" t="inlineStr">
        <is>
          <t>Orta</t>
        </is>
      </c>
      <c r="I65" s="5" t="n">
        <v>45</v>
      </c>
      <c r="J65" s="2" t="inlineStr">
        <is>
          <t>EUR</t>
        </is>
      </c>
      <c r="K65" s="2" t="inlineStr">
        <is>
          <t>FCA</t>
        </is>
      </c>
      <c r="L65" s="6" t="n">
        <v>44502</v>
      </c>
      <c r="M65" s="3" t="n">
        <v>120000</v>
      </c>
      <c r="N65" s="2" t="inlineStr">
        <is>
          <t>Aktif</t>
        </is>
      </c>
    </row>
    <row r="66">
      <c r="A66" s="2" t="inlineStr">
        <is>
          <t>MUS-065</t>
        </is>
      </c>
      <c r="B66" s="2" t="inlineStr">
        <is>
          <t>Prime Technik SARL</t>
        </is>
      </c>
      <c r="C66" s="2" t="inlineStr">
        <is>
          <t>Cezayir</t>
        </is>
      </c>
      <c r="D66" s="2" t="inlineStr">
        <is>
          <t>Oran</t>
        </is>
      </c>
      <c r="E66" s="2" t="inlineStr">
        <is>
          <t>Kuzey Afrika</t>
        </is>
      </c>
      <c r="F66" s="2" t="inlineStr">
        <is>
          <t>Enerji</t>
        </is>
      </c>
      <c r="G66" s="2" t="inlineStr">
        <is>
          <t>Müteahhit EPC</t>
        </is>
      </c>
      <c r="H66" s="2" t="inlineStr">
        <is>
          <t>Orta</t>
        </is>
      </c>
      <c r="I66" s="5" t="n">
        <v>45</v>
      </c>
      <c r="J66" s="2" t="inlineStr">
        <is>
          <t>USD</t>
        </is>
      </c>
      <c r="K66" s="2" t="inlineStr">
        <is>
          <t>CFR</t>
        </is>
      </c>
      <c r="L66" s="6" t="n">
        <v>45209</v>
      </c>
      <c r="M66" s="3" t="n">
        <v>180000</v>
      </c>
      <c r="N66" s="2" t="inlineStr">
        <is>
          <t>Aktif</t>
        </is>
      </c>
    </row>
    <row r="67">
      <c r="A67" s="2" t="inlineStr">
        <is>
          <t>MUS-066</t>
        </is>
      </c>
      <c r="B67" s="2" t="inlineStr">
        <is>
          <t>Prime Flow SARL</t>
        </is>
      </c>
      <c r="C67" s="2" t="inlineStr">
        <is>
          <t>Kazakistan</t>
        </is>
      </c>
      <c r="D67" s="2" t="inlineStr">
        <is>
          <t>Astana</t>
        </is>
      </c>
      <c r="E67" s="2" t="inlineStr">
        <is>
          <t>Orta Asya</t>
        </is>
      </c>
      <c r="F67" s="2" t="inlineStr">
        <is>
          <t>Gida</t>
        </is>
      </c>
      <c r="G67" s="2" t="inlineStr">
        <is>
          <t>Distribütor</t>
        </is>
      </c>
      <c r="H67" s="2" t="inlineStr">
        <is>
          <t>Orta</t>
        </is>
      </c>
      <c r="I67" s="5" t="n">
        <v>30</v>
      </c>
      <c r="J67" s="2" t="inlineStr">
        <is>
          <t>USD</t>
        </is>
      </c>
      <c r="K67" s="2" t="inlineStr">
        <is>
          <t>FCA</t>
        </is>
      </c>
      <c r="L67" s="6" t="n">
        <v>45566</v>
      </c>
      <c r="M67" s="3" t="n">
        <v>180000</v>
      </c>
      <c r="N67" s="2" t="inlineStr">
        <is>
          <t>Aktif</t>
        </is>
      </c>
    </row>
    <row r="68">
      <c r="A68" s="2" t="inlineStr">
        <is>
          <t>MUS-067</t>
        </is>
      </c>
      <c r="B68" s="2" t="inlineStr">
        <is>
          <t>Nova Energy BV</t>
        </is>
      </c>
      <c r="C68" s="2" t="inlineStr">
        <is>
          <t>Katar</t>
        </is>
      </c>
      <c r="D68" s="2" t="inlineStr">
        <is>
          <t>Al Rayyan</t>
        </is>
      </c>
      <c r="E68" s="2" t="inlineStr">
        <is>
          <t>Orta Doğu</t>
        </is>
      </c>
      <c r="F68" s="2" t="inlineStr">
        <is>
          <t>Petrokimya</t>
        </is>
      </c>
      <c r="G68" s="2" t="inlineStr">
        <is>
          <t>Müteahhit EPC</t>
        </is>
      </c>
      <c r="H68" s="2" t="inlineStr">
        <is>
          <t>Dusuk</t>
        </is>
      </c>
      <c r="I68" s="5" t="n">
        <v>30</v>
      </c>
      <c r="J68" s="2" t="inlineStr">
        <is>
          <t>USD</t>
        </is>
      </c>
      <c r="K68" s="2" t="inlineStr">
        <is>
          <t>CIF</t>
        </is>
      </c>
      <c r="L68" s="6" t="n">
        <v>45047</v>
      </c>
      <c r="M68" s="3" t="n">
        <v>180000</v>
      </c>
      <c r="N68" s="2" t="inlineStr">
        <is>
          <t>Aktif</t>
        </is>
      </c>
    </row>
    <row r="69">
      <c r="A69" s="2" t="inlineStr">
        <is>
          <t>MUS-068</t>
        </is>
      </c>
      <c r="B69" s="2" t="inlineStr">
        <is>
          <t>Nova Process LLC</t>
        </is>
      </c>
      <c r="C69" s="2" t="inlineStr">
        <is>
          <t>Hollanda</t>
        </is>
      </c>
      <c r="D69" s="2" t="inlineStr">
        <is>
          <t>Amsterdam</t>
        </is>
      </c>
      <c r="E69" s="2" t="inlineStr">
        <is>
          <t>Avrupa</t>
        </is>
      </c>
      <c r="F69" s="2" t="inlineStr">
        <is>
          <t>Kimya</t>
        </is>
      </c>
      <c r="G69" s="2" t="inlineStr">
        <is>
          <t>Son Kullanici</t>
        </is>
      </c>
      <c r="H69" s="2" t="inlineStr">
        <is>
          <t>Orta</t>
        </is>
      </c>
      <c r="I69" s="5" t="n">
        <v>15</v>
      </c>
      <c r="J69" s="2" t="inlineStr">
        <is>
          <t>EUR</t>
        </is>
      </c>
      <c r="K69" s="2" t="inlineStr">
        <is>
          <t>DAP</t>
        </is>
      </c>
      <c r="L69" s="6" t="n">
        <v>44265</v>
      </c>
      <c r="M69" s="3" t="n">
        <v>120000</v>
      </c>
      <c r="N69" s="2" t="inlineStr">
        <is>
          <t>Aktif</t>
        </is>
      </c>
    </row>
    <row r="70">
      <c r="A70" s="2" t="inlineStr">
        <is>
          <t>MUS-069</t>
        </is>
      </c>
      <c r="B70" s="2" t="inlineStr">
        <is>
          <t>Apex Technik BV</t>
        </is>
      </c>
      <c r="C70" s="2" t="inlineStr">
        <is>
          <t>Romanya</t>
        </is>
      </c>
      <c r="D70" s="2" t="inlineStr">
        <is>
          <t>Constanta</t>
        </is>
      </c>
      <c r="E70" s="2" t="inlineStr">
        <is>
          <t>Avrupa</t>
        </is>
      </c>
      <c r="F70" s="2" t="inlineStr">
        <is>
          <t>Kimya</t>
        </is>
      </c>
      <c r="G70" s="2" t="inlineStr">
        <is>
          <t>Son Kullanici</t>
        </is>
      </c>
      <c r="H70" s="2" t="inlineStr">
        <is>
          <t>Orta</t>
        </is>
      </c>
      <c r="I70" s="5" t="n">
        <v>30</v>
      </c>
      <c r="J70" s="2" t="inlineStr">
        <is>
          <t>EUR</t>
        </is>
      </c>
      <c r="K70" s="2" t="inlineStr">
        <is>
          <t>FCA</t>
        </is>
      </c>
      <c r="L70" s="6" t="n">
        <v>45029</v>
      </c>
      <c r="M70" s="3" t="n">
        <v>80000</v>
      </c>
      <c r="N70" s="2" t="inlineStr">
        <is>
          <t>Aktif</t>
        </is>
      </c>
    </row>
    <row r="71">
      <c r="A71" s="2" t="inlineStr">
        <is>
          <t>MUS-070</t>
        </is>
      </c>
      <c r="B71" s="2" t="inlineStr">
        <is>
          <t>Orion Industries Ltd</t>
        </is>
      </c>
      <c r="C71" s="2" t="inlineStr">
        <is>
          <t>Polonya</t>
        </is>
      </c>
      <c r="D71" s="2" t="inlineStr">
        <is>
          <t>Gdansk</t>
        </is>
      </c>
      <c r="E71" s="2" t="inlineStr">
        <is>
          <t>Avrupa</t>
        </is>
      </c>
      <c r="F71" s="2" t="inlineStr">
        <is>
          <t>Kimya</t>
        </is>
      </c>
      <c r="G71" s="2" t="inlineStr">
        <is>
          <t>Müteahhit EPC</t>
        </is>
      </c>
      <c r="H71" s="2" t="inlineStr">
        <is>
          <t>Orta</t>
        </is>
      </c>
      <c r="I71" s="5" t="n">
        <v>60</v>
      </c>
      <c r="J71" s="2" t="inlineStr">
        <is>
          <t>EUR</t>
        </is>
      </c>
      <c r="K71" s="2" t="inlineStr">
        <is>
          <t>DAP</t>
        </is>
      </c>
      <c r="L71" s="6" t="n">
        <v>45286</v>
      </c>
      <c r="M71" s="3" t="n">
        <v>80000</v>
      </c>
      <c r="N71" s="2" t="inlineStr">
        <is>
          <t>Aktif</t>
        </is>
      </c>
    </row>
    <row r="72">
      <c r="A72" s="2" t="inlineStr">
        <is>
          <t>MUS-071</t>
        </is>
      </c>
      <c r="B72" s="2" t="inlineStr">
        <is>
          <t>Atlas Pipeline SARL</t>
        </is>
      </c>
      <c r="C72" s="2" t="inlineStr">
        <is>
          <t>Azerbaycan</t>
        </is>
      </c>
      <c r="D72" s="2" t="inlineStr">
        <is>
          <t>Bakü</t>
        </is>
      </c>
      <c r="E72" s="2" t="inlineStr">
        <is>
          <t>Orta Asya</t>
        </is>
      </c>
      <c r="F72" s="2" t="inlineStr">
        <is>
          <t>Enerji</t>
        </is>
      </c>
      <c r="G72" s="2" t="inlineStr">
        <is>
          <t>Son Kullanici</t>
        </is>
      </c>
      <c r="H72" s="2" t="inlineStr">
        <is>
          <t>Dusuk</t>
        </is>
      </c>
      <c r="I72" s="5" t="n">
        <v>60</v>
      </c>
      <c r="J72" s="2" t="inlineStr">
        <is>
          <t>USD</t>
        </is>
      </c>
      <c r="K72" s="2" t="inlineStr">
        <is>
          <t>FCA</t>
        </is>
      </c>
      <c r="L72" s="6" t="n">
        <v>44608</v>
      </c>
      <c r="M72" s="3" t="n">
        <v>120000</v>
      </c>
      <c r="N72" s="2" t="inlineStr">
        <is>
          <t>Aktif</t>
        </is>
      </c>
    </row>
    <row r="73">
      <c r="A73" s="2" t="inlineStr">
        <is>
          <t>MUS-072</t>
        </is>
      </c>
      <c r="B73" s="2" t="inlineStr">
        <is>
          <t>Atlas Flow LLC</t>
        </is>
      </c>
      <c r="C73" s="2" t="inlineStr">
        <is>
          <t>Polonya</t>
        </is>
      </c>
      <c r="D73" s="2" t="inlineStr">
        <is>
          <t>Gdansk</t>
        </is>
      </c>
      <c r="E73" s="2" t="inlineStr">
        <is>
          <t>Avrupa</t>
        </is>
      </c>
      <c r="F73" s="2" t="inlineStr">
        <is>
          <t>Dogal Gaz</t>
        </is>
      </c>
      <c r="G73" s="2" t="inlineStr">
        <is>
          <t>Son Kullanici</t>
        </is>
      </c>
      <c r="H73" s="2" t="inlineStr">
        <is>
          <t>Dusuk</t>
        </is>
      </c>
      <c r="I73" s="5" t="n">
        <v>60</v>
      </c>
      <c r="J73" s="2" t="inlineStr">
        <is>
          <t>EUR</t>
        </is>
      </c>
      <c r="K73" s="2" t="inlineStr">
        <is>
          <t>DAP</t>
        </is>
      </c>
      <c r="L73" s="6" t="n">
        <v>43723</v>
      </c>
      <c r="M73" s="3" t="n">
        <v>250000</v>
      </c>
      <c r="N73" s="2" t="inlineStr">
        <is>
          <t>Aktif</t>
        </is>
      </c>
    </row>
    <row r="74">
      <c r="A74" s="2" t="inlineStr">
        <is>
          <t>MUS-073</t>
        </is>
      </c>
      <c r="B74" s="2" t="inlineStr">
        <is>
          <t>Prime Energy GmbH</t>
        </is>
      </c>
      <c r="C74" s="2" t="inlineStr">
        <is>
          <t>BAE</t>
        </is>
      </c>
      <c r="D74" s="2" t="inlineStr">
        <is>
          <t>Abu Dhabi</t>
        </is>
      </c>
      <c r="E74" s="2" t="inlineStr">
        <is>
          <t>Orta Doğu</t>
        </is>
      </c>
      <c r="F74" s="2" t="inlineStr">
        <is>
          <t>Gida</t>
        </is>
      </c>
      <c r="G74" s="2" t="inlineStr">
        <is>
          <t>Distribütor</t>
        </is>
      </c>
      <c r="H74" s="2" t="inlineStr">
        <is>
          <t>Dusuk</t>
        </is>
      </c>
      <c r="I74" s="5" t="n">
        <v>60</v>
      </c>
      <c r="J74" s="2" t="inlineStr">
        <is>
          <t>USD</t>
        </is>
      </c>
      <c r="K74" s="2" t="inlineStr">
        <is>
          <t>CIF</t>
        </is>
      </c>
      <c r="L74" s="6" t="n">
        <v>43977</v>
      </c>
      <c r="M74" s="3" t="n">
        <v>400000</v>
      </c>
      <c r="N74" s="2" t="inlineStr">
        <is>
          <t>Aktif</t>
        </is>
      </c>
    </row>
    <row r="75">
      <c r="A75" s="2" t="inlineStr">
        <is>
          <t>MUS-074</t>
        </is>
      </c>
      <c r="B75" s="2" t="inlineStr">
        <is>
          <t>Delta Technik GmbH</t>
        </is>
      </c>
      <c r="C75" s="2" t="inlineStr">
        <is>
          <t>Azerbaycan</t>
        </is>
      </c>
      <c r="D75" s="2" t="inlineStr">
        <is>
          <t>Sumgayıt</t>
        </is>
      </c>
      <c r="E75" s="2" t="inlineStr">
        <is>
          <t>Orta Asya</t>
        </is>
      </c>
      <c r="F75" s="2" t="inlineStr">
        <is>
          <t>Petrokimya</t>
        </is>
      </c>
      <c r="G75" s="2" t="inlineStr">
        <is>
          <t>Müteahhit EPC</t>
        </is>
      </c>
      <c r="H75" s="2" t="inlineStr">
        <is>
          <t>Orta</t>
        </is>
      </c>
      <c r="I75" s="5" t="n">
        <v>45</v>
      </c>
      <c r="J75" s="2" t="inlineStr">
        <is>
          <t>USD</t>
        </is>
      </c>
      <c r="K75" s="2" t="inlineStr">
        <is>
          <t>FCA</t>
        </is>
      </c>
      <c r="L75" s="6" t="n">
        <v>44991</v>
      </c>
      <c r="M75" s="3" t="n">
        <v>250000</v>
      </c>
      <c r="N75" s="2" t="inlineStr">
        <is>
          <t>Aktif</t>
        </is>
      </c>
    </row>
    <row r="76">
      <c r="A76" s="2" t="inlineStr">
        <is>
          <t>MUS-075</t>
        </is>
      </c>
      <c r="B76" s="2" t="inlineStr">
        <is>
          <t>Orion Engineering SPA</t>
        </is>
      </c>
      <c r="C76" s="2" t="inlineStr">
        <is>
          <t>Suudi Arabistan</t>
        </is>
      </c>
      <c r="D76" s="2" t="inlineStr">
        <is>
          <t>Cidde</t>
        </is>
      </c>
      <c r="E76" s="2" t="inlineStr">
        <is>
          <t>Orta Doğu</t>
        </is>
      </c>
      <c r="F76" s="2" t="inlineStr">
        <is>
          <t>Petrokimya</t>
        </is>
      </c>
      <c r="G76" s="2" t="inlineStr">
        <is>
          <t>OEM</t>
        </is>
      </c>
      <c r="H76" s="2" t="inlineStr">
        <is>
          <t>Orta</t>
        </is>
      </c>
      <c r="I76" s="5" t="n">
        <v>60</v>
      </c>
      <c r="J76" s="2" t="inlineStr">
        <is>
          <t>USD</t>
        </is>
      </c>
      <c r="K76" s="2" t="inlineStr">
        <is>
          <t>CIF</t>
        </is>
      </c>
      <c r="L76" s="6" t="n">
        <v>45183</v>
      </c>
      <c r="M76" s="3" t="n">
        <v>250000</v>
      </c>
      <c r="N76" s="2" t="inlineStr">
        <is>
          <t>Pasif</t>
        </is>
      </c>
    </row>
    <row r="77">
      <c r="A77" s="2" t="inlineStr">
        <is>
          <t>MUS-076</t>
        </is>
      </c>
      <c r="B77" s="2" t="inlineStr">
        <is>
          <t>Quantum Gulf GmbH</t>
        </is>
      </c>
      <c r="C77" s="2" t="inlineStr">
        <is>
          <t>Hollanda</t>
        </is>
      </c>
      <c r="D77" s="2" t="inlineStr">
        <is>
          <t>Rotterdam</t>
        </is>
      </c>
      <c r="E77" s="2" t="inlineStr">
        <is>
          <t>Avrupa</t>
        </is>
      </c>
      <c r="F77" s="2" t="inlineStr">
        <is>
          <t>Dogal Gaz</t>
        </is>
      </c>
      <c r="G77" s="2" t="inlineStr">
        <is>
          <t>Müteahhit EPC</t>
        </is>
      </c>
      <c r="H77" s="2" t="inlineStr">
        <is>
          <t>Yuksek</t>
        </is>
      </c>
      <c r="I77" s="5" t="n">
        <v>15</v>
      </c>
      <c r="J77" s="2" t="inlineStr">
        <is>
          <t>EUR</t>
        </is>
      </c>
      <c r="K77" s="2" t="inlineStr">
        <is>
          <t>DAP</t>
        </is>
      </c>
      <c r="L77" s="6" t="n">
        <v>45126</v>
      </c>
      <c r="M77" s="3" t="n">
        <v>80000</v>
      </c>
      <c r="N77" s="2" t="inlineStr">
        <is>
          <t>Aktif</t>
        </is>
      </c>
    </row>
    <row r="78">
      <c r="A78" s="2" t="inlineStr">
        <is>
          <t>MUS-077</t>
        </is>
      </c>
      <c r="B78" s="2" t="inlineStr">
        <is>
          <t>Petro Industries Ltd</t>
        </is>
      </c>
      <c r="C78" s="2" t="inlineStr">
        <is>
          <t>Almanya</t>
        </is>
      </c>
      <c r="D78" s="2" t="inlineStr">
        <is>
          <t>Stuttgart</t>
        </is>
      </c>
      <c r="E78" s="2" t="inlineStr">
        <is>
          <t>Avrupa</t>
        </is>
      </c>
      <c r="F78" s="2" t="inlineStr">
        <is>
          <t>Petrokimya</t>
        </is>
      </c>
      <c r="G78" s="2" t="inlineStr">
        <is>
          <t>Son Kullanici</t>
        </is>
      </c>
      <c r="H78" s="2" t="inlineStr">
        <is>
          <t>Dusuk</t>
        </is>
      </c>
      <c r="I78" s="5" t="n">
        <v>45</v>
      </c>
      <c r="J78" s="2" t="inlineStr">
        <is>
          <t>EUR</t>
        </is>
      </c>
      <c r="K78" s="2" t="inlineStr">
        <is>
          <t>DAP</t>
        </is>
      </c>
      <c r="L78" s="6" t="n">
        <v>43817</v>
      </c>
      <c r="M78" s="3" t="n">
        <v>80000</v>
      </c>
      <c r="N78" s="2" t="inlineStr">
        <is>
          <t>Pasif</t>
        </is>
      </c>
    </row>
    <row r="79">
      <c r="A79" s="2" t="inlineStr">
        <is>
          <t>MUS-078</t>
        </is>
      </c>
      <c r="B79" s="2" t="inlineStr">
        <is>
          <t>Quantum Solutions LLC</t>
        </is>
      </c>
      <c r="C79" s="2" t="inlineStr">
        <is>
          <t>Italya</t>
        </is>
      </c>
      <c r="D79" s="2" t="inlineStr">
        <is>
          <t>Bologna</t>
        </is>
      </c>
      <c r="E79" s="2" t="inlineStr">
        <is>
          <t>Avrupa</t>
        </is>
      </c>
      <c r="F79" s="2" t="inlineStr">
        <is>
          <t>Enerji</t>
        </is>
      </c>
      <c r="G79" s="2" t="inlineStr">
        <is>
          <t>OEM</t>
        </is>
      </c>
      <c r="H79" s="2" t="inlineStr">
        <is>
          <t>Orta</t>
        </is>
      </c>
      <c r="I79" s="5" t="n">
        <v>60</v>
      </c>
      <c r="J79" s="2" t="inlineStr">
        <is>
          <t>EUR</t>
        </is>
      </c>
      <c r="K79" s="2" t="inlineStr">
        <is>
          <t>DAP</t>
        </is>
      </c>
      <c r="L79" s="6" t="n">
        <v>44490</v>
      </c>
      <c r="M79" s="3" t="n">
        <v>180000</v>
      </c>
      <c r="N79" s="2" t="inlineStr">
        <is>
          <t>Aktif</t>
        </is>
      </c>
    </row>
    <row r="80">
      <c r="A80" s="2" t="inlineStr">
        <is>
          <t>MUS-079</t>
        </is>
      </c>
      <c r="B80" s="2" t="inlineStr">
        <is>
          <t>Apex Systems BV</t>
        </is>
      </c>
      <c r="C80" s="2" t="inlineStr">
        <is>
          <t>Katar</t>
        </is>
      </c>
      <c r="D80" s="2" t="inlineStr">
        <is>
          <t>Doha</t>
        </is>
      </c>
      <c r="E80" s="2" t="inlineStr">
        <is>
          <t>Orta Doğu</t>
        </is>
      </c>
      <c r="F80" s="2" t="inlineStr">
        <is>
          <t>Kimya</t>
        </is>
      </c>
      <c r="G80" s="2" t="inlineStr">
        <is>
          <t>Distribütor</t>
        </is>
      </c>
      <c r="H80" s="2" t="inlineStr">
        <is>
          <t>Orta</t>
        </is>
      </c>
      <c r="I80" s="5" t="n">
        <v>45</v>
      </c>
      <c r="J80" s="2" t="inlineStr">
        <is>
          <t>USD</t>
        </is>
      </c>
      <c r="K80" s="2" t="inlineStr">
        <is>
          <t>CIF</t>
        </is>
      </c>
      <c r="L80" s="6" t="n">
        <v>44544</v>
      </c>
      <c r="M80" s="3" t="n">
        <v>120000</v>
      </c>
      <c r="N80" s="2" t="inlineStr">
        <is>
          <t>Aktif</t>
        </is>
      </c>
    </row>
    <row r="81">
      <c r="A81" s="2" t="inlineStr">
        <is>
          <t>MUS-080</t>
        </is>
      </c>
      <c r="B81" s="2" t="inlineStr">
        <is>
          <t>Quantum Flow LLC</t>
        </is>
      </c>
      <c r="C81" s="2" t="inlineStr">
        <is>
          <t>Cezayir</t>
        </is>
      </c>
      <c r="D81" s="2" t="inlineStr">
        <is>
          <t>Cezayir</t>
        </is>
      </c>
      <c r="E81" s="2" t="inlineStr">
        <is>
          <t>Kuzey Afrika</t>
        </is>
      </c>
      <c r="F81" s="2" t="inlineStr">
        <is>
          <t>Dogal Gaz</t>
        </is>
      </c>
      <c r="G81" s="2" t="inlineStr">
        <is>
          <t>OEM</t>
        </is>
      </c>
      <c r="H81" s="2" t="inlineStr">
        <is>
          <t>Orta</t>
        </is>
      </c>
      <c r="I81" s="5" t="n">
        <v>60</v>
      </c>
      <c r="J81" s="2" t="inlineStr">
        <is>
          <t>USD</t>
        </is>
      </c>
      <c r="K81" s="2" t="inlineStr">
        <is>
          <t>CFR</t>
        </is>
      </c>
      <c r="L81" s="6" t="n">
        <v>44601</v>
      </c>
      <c r="M81" s="3" t="n">
        <v>120000</v>
      </c>
      <c r="N81" s="2" t="inlineStr">
        <is>
          <t>Aktif</t>
        </is>
      </c>
    </row>
    <row r="82">
      <c r="A82" s="2" t="inlineStr">
        <is>
          <t>MUS-081</t>
        </is>
      </c>
      <c r="B82" s="2" t="inlineStr">
        <is>
          <t>Apex Systems GmbH</t>
        </is>
      </c>
      <c r="C82" s="2" t="inlineStr">
        <is>
          <t>Suudi Arabistan</t>
        </is>
      </c>
      <c r="D82" s="2" t="inlineStr">
        <is>
          <t>Dammam</t>
        </is>
      </c>
      <c r="E82" s="2" t="inlineStr">
        <is>
          <t>Orta Doğu</t>
        </is>
      </c>
      <c r="F82" s="2" t="inlineStr">
        <is>
          <t>Gida</t>
        </is>
      </c>
      <c r="G82" s="2" t="inlineStr">
        <is>
          <t>Müteahhit EPC</t>
        </is>
      </c>
      <c r="H82" s="2" t="inlineStr">
        <is>
          <t>Dusuk</t>
        </is>
      </c>
      <c r="I82" s="5" t="n">
        <v>30</v>
      </c>
      <c r="J82" s="2" t="inlineStr">
        <is>
          <t>USD</t>
        </is>
      </c>
      <c r="K82" s="2" t="inlineStr">
        <is>
          <t>CIF</t>
        </is>
      </c>
      <c r="L82" s="6" t="n">
        <v>44350</v>
      </c>
      <c r="M82" s="3" t="n">
        <v>120000</v>
      </c>
      <c r="N82" s="2" t="inlineStr">
        <is>
          <t>Aktif</t>
        </is>
      </c>
    </row>
    <row r="83">
      <c r="A83" s="2" t="inlineStr">
        <is>
          <t>MUS-082</t>
        </is>
      </c>
      <c r="B83" s="2" t="inlineStr">
        <is>
          <t>Nord Technik Ltd</t>
        </is>
      </c>
      <c r="C83" s="2" t="inlineStr">
        <is>
          <t>Hollanda</t>
        </is>
      </c>
      <c r="D83" s="2" t="inlineStr">
        <is>
          <t>Eindhoven</t>
        </is>
      </c>
      <c r="E83" s="2" t="inlineStr">
        <is>
          <t>Avrupa</t>
        </is>
      </c>
      <c r="F83" s="2" t="inlineStr">
        <is>
          <t>Petrokimya</t>
        </is>
      </c>
      <c r="G83" s="2" t="inlineStr">
        <is>
          <t>Müteahhit EPC</t>
        </is>
      </c>
      <c r="H83" s="2" t="inlineStr">
        <is>
          <t>Dusuk</t>
        </is>
      </c>
      <c r="I83" s="5" t="n">
        <v>45</v>
      </c>
      <c r="J83" s="2" t="inlineStr">
        <is>
          <t>EUR</t>
        </is>
      </c>
      <c r="K83" s="2" t="inlineStr">
        <is>
          <t>DAP</t>
        </is>
      </c>
      <c r="L83" s="6" t="n">
        <v>44242</v>
      </c>
      <c r="M83" s="3" t="n">
        <v>650000</v>
      </c>
      <c r="N83" s="2" t="inlineStr">
        <is>
          <t>Aktif</t>
        </is>
      </c>
    </row>
    <row r="84">
      <c r="A84" s="2" t="inlineStr">
        <is>
          <t>MUS-083</t>
        </is>
      </c>
      <c r="B84" s="2" t="inlineStr">
        <is>
          <t>Prime Industrial SARL</t>
        </is>
      </c>
      <c r="C84" s="2" t="inlineStr">
        <is>
          <t>Polonya</t>
        </is>
      </c>
      <c r="D84" s="2" t="inlineStr">
        <is>
          <t>Gdansk</t>
        </is>
      </c>
      <c r="E84" s="2" t="inlineStr">
        <is>
          <t>Avrupa</t>
        </is>
      </c>
      <c r="F84" s="2" t="inlineStr">
        <is>
          <t>Dogal Gaz</t>
        </is>
      </c>
      <c r="G84" s="2" t="inlineStr">
        <is>
          <t>Distribütor</t>
        </is>
      </c>
      <c r="H84" s="2" t="inlineStr">
        <is>
          <t>Yuksek</t>
        </is>
      </c>
      <c r="I84" s="5" t="n">
        <v>60</v>
      </c>
      <c r="J84" s="2" t="inlineStr">
        <is>
          <t>EUR</t>
        </is>
      </c>
      <c r="K84" s="2" t="inlineStr">
        <is>
          <t>DAP</t>
        </is>
      </c>
      <c r="L84" s="6" t="n">
        <v>44429</v>
      </c>
      <c r="M84" s="3" t="n">
        <v>180000</v>
      </c>
      <c r="N84" s="2" t="inlineStr">
        <is>
          <t>Aktif</t>
        </is>
      </c>
    </row>
    <row r="85">
      <c r="A85" s="2" t="inlineStr">
        <is>
          <t>MUS-084</t>
        </is>
      </c>
      <c r="B85" s="2" t="inlineStr">
        <is>
          <t>Omega Flow FZC</t>
        </is>
      </c>
      <c r="C85" s="2" t="inlineStr">
        <is>
          <t>Polonya</t>
        </is>
      </c>
      <c r="D85" s="2" t="inlineStr">
        <is>
          <t>Poznan</t>
        </is>
      </c>
      <c r="E85" s="2" t="inlineStr">
        <is>
          <t>Avrupa</t>
        </is>
      </c>
      <c r="F85" s="2" t="inlineStr">
        <is>
          <t>Enerji</t>
        </is>
      </c>
      <c r="G85" s="2" t="inlineStr">
        <is>
          <t>Distribütor</t>
        </is>
      </c>
      <c r="H85" s="2" t="inlineStr">
        <is>
          <t>Yuksek</t>
        </is>
      </c>
      <c r="I85" s="5" t="n">
        <v>90</v>
      </c>
      <c r="J85" s="2" t="inlineStr">
        <is>
          <t>EUR</t>
        </is>
      </c>
      <c r="K85" s="2" t="inlineStr">
        <is>
          <t>DAP</t>
        </is>
      </c>
      <c r="L85" s="6" t="n">
        <v>44658</v>
      </c>
      <c r="M85" s="3" t="n">
        <v>400000</v>
      </c>
      <c r="N85" s="2" t="inlineStr">
        <is>
          <t>Aktif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4" customWidth="1" min="3" max="3"/>
    <col width="26" customWidth="1" min="4" max="4"/>
    <col width="18" customWidth="1" min="5" max="5"/>
    <col width="17" customWidth="1" min="6" max="6"/>
    <col width="12" customWidth="1" min="7" max="7"/>
    <col width="13" customWidth="1" min="8" max="8"/>
  </cols>
  <sheetData>
    <row r="1">
      <c r="A1" s="1" t="inlineStr">
        <is>
          <t>Temsilci_Kodu</t>
        </is>
      </c>
      <c r="B1" s="1" t="inlineStr">
        <is>
          <t>Ad_Soyad</t>
        </is>
      </c>
      <c r="C1" s="1" t="inlineStr">
        <is>
          <t>Bolge</t>
        </is>
      </c>
      <c r="D1" s="1" t="inlineStr">
        <is>
          <t>Uzmanlik_Alani</t>
        </is>
      </c>
      <c r="E1" s="1" t="inlineStr">
        <is>
          <t>Ise_Giris_Tarihi</t>
        </is>
      </c>
      <c r="F1" s="1" t="inlineStr">
        <is>
          <t>Aylik_Hedef_USD</t>
        </is>
      </c>
      <c r="G1" s="1" t="inlineStr">
        <is>
          <t>Prim_Yuzde</t>
        </is>
      </c>
      <c r="H1" s="1" t="inlineStr">
        <is>
          <t>Aktif_Pasif</t>
        </is>
      </c>
    </row>
    <row r="2">
      <c r="A2" s="2" t="inlineStr">
        <is>
          <t>ST-001</t>
        </is>
      </c>
      <c r="B2" s="2" t="inlineStr">
        <is>
          <t>Merve Karadag</t>
        </is>
      </c>
      <c r="C2" s="2" t="inlineStr">
        <is>
          <t>Avrupa</t>
        </is>
      </c>
      <c r="D2" s="2" t="inlineStr">
        <is>
          <t>Endustriyel Vana</t>
        </is>
      </c>
      <c r="E2" s="6" t="n">
        <v>44660</v>
      </c>
      <c r="F2" s="3" t="n">
        <v>125000</v>
      </c>
      <c r="G2" s="4" t="n">
        <v>0.0307</v>
      </c>
      <c r="H2" s="2" t="inlineStr">
        <is>
          <t>Aktif</t>
        </is>
      </c>
    </row>
    <row r="3">
      <c r="A3" s="2" t="inlineStr">
        <is>
          <t>ST-002</t>
        </is>
      </c>
      <c r="B3" s="2" t="inlineStr">
        <is>
          <t>Emre Aydin</t>
        </is>
      </c>
      <c r="C3" s="2" t="inlineStr">
        <is>
          <t>Avrupa</t>
        </is>
      </c>
      <c r="D3" s="2" t="inlineStr">
        <is>
          <t>Sizdirmazlik ve Aksesuar</t>
        </is>
      </c>
      <c r="E3" s="6" t="n">
        <v>43668</v>
      </c>
      <c r="F3" s="3" t="n">
        <v>110000</v>
      </c>
      <c r="G3" s="4" t="n">
        <v>0.0254</v>
      </c>
      <c r="H3" s="2" t="inlineStr">
        <is>
          <t>Aktif</t>
        </is>
      </c>
    </row>
    <row r="4">
      <c r="A4" s="2" t="inlineStr">
        <is>
          <t>ST-003</t>
        </is>
      </c>
      <c r="B4" s="2" t="inlineStr">
        <is>
          <t>Zeynep Koc</t>
        </is>
      </c>
      <c r="C4" s="2" t="inlineStr">
        <is>
          <t>Orta Doğu</t>
        </is>
      </c>
      <c r="D4" s="2" t="inlineStr">
        <is>
          <t>Proses Ekipmanlari</t>
        </is>
      </c>
      <c r="E4" s="6" t="n">
        <v>45083</v>
      </c>
      <c r="F4" s="3" t="n">
        <v>150000</v>
      </c>
      <c r="G4" s="4" t="n">
        <v>0.0378</v>
      </c>
      <c r="H4" s="2" t="inlineStr">
        <is>
          <t>Aktif</t>
        </is>
      </c>
    </row>
    <row r="5">
      <c r="A5" s="2" t="inlineStr">
        <is>
          <t>ST-004</t>
        </is>
      </c>
      <c r="B5" s="2" t="inlineStr">
        <is>
          <t>Burak Tunc</t>
        </is>
      </c>
      <c r="C5" s="2" t="inlineStr">
        <is>
          <t>Orta Doğu</t>
        </is>
      </c>
      <c r="D5" s="2" t="inlineStr">
        <is>
          <t>Endustriyel Vana</t>
        </is>
      </c>
      <c r="E5" s="6" t="n">
        <v>43127</v>
      </c>
      <c r="F5" s="3" t="n">
        <v>85000</v>
      </c>
      <c r="G5" s="4" t="n">
        <v>0.0233</v>
      </c>
      <c r="H5" s="2" t="inlineStr">
        <is>
          <t>Aktif</t>
        </is>
      </c>
    </row>
    <row r="6">
      <c r="A6" s="2" t="inlineStr">
        <is>
          <t>ST-005</t>
        </is>
      </c>
      <c r="B6" s="2" t="inlineStr">
        <is>
          <t>Selin Arslan</t>
        </is>
      </c>
      <c r="C6" s="2" t="inlineStr">
        <is>
          <t>Kuzey Afrika</t>
        </is>
      </c>
      <c r="D6" s="2" t="inlineStr">
        <is>
          <t>Tank ve Mikser</t>
        </is>
      </c>
      <c r="E6" s="6" t="n">
        <v>45095</v>
      </c>
      <c r="F6" s="3" t="n">
        <v>125000</v>
      </c>
      <c r="G6" s="4" t="n">
        <v>0.0159</v>
      </c>
      <c r="H6" s="2" t="inlineStr">
        <is>
          <t>Aktif</t>
        </is>
      </c>
    </row>
    <row r="7">
      <c r="A7" s="2" t="inlineStr">
        <is>
          <t>ST-006</t>
        </is>
      </c>
      <c r="B7" s="2" t="inlineStr">
        <is>
          <t>Murat Ince</t>
        </is>
      </c>
      <c r="C7" s="2" t="inlineStr">
        <is>
          <t>Kuzey Afrika</t>
        </is>
      </c>
      <c r="D7" s="2" t="inlineStr">
        <is>
          <t>Sizdirmazlik ve Aksesuar</t>
        </is>
      </c>
      <c r="E7" s="6" t="n">
        <v>44233</v>
      </c>
      <c r="F7" s="3" t="n">
        <v>110000</v>
      </c>
      <c r="G7" s="4" t="n">
        <v>0.0366</v>
      </c>
      <c r="H7" s="2" t="inlineStr">
        <is>
          <t>Aktif</t>
        </is>
      </c>
    </row>
    <row r="8">
      <c r="A8" s="2" t="inlineStr">
        <is>
          <t>ST-007</t>
        </is>
      </c>
      <c r="B8" s="2" t="inlineStr">
        <is>
          <t>Can Demir</t>
        </is>
      </c>
      <c r="C8" s="2" t="inlineStr">
        <is>
          <t>Orta Asya</t>
        </is>
      </c>
      <c r="D8" s="2" t="inlineStr">
        <is>
          <t>Hat Ekipmanlari</t>
        </is>
      </c>
      <c r="E8" s="6" t="n">
        <v>43710</v>
      </c>
      <c r="F8" s="3" t="n">
        <v>95000</v>
      </c>
      <c r="G8" s="4" t="n">
        <v>0.0334</v>
      </c>
      <c r="H8" s="2" t="inlineStr">
        <is>
          <t>Aktif</t>
        </is>
      </c>
    </row>
    <row r="9">
      <c r="A9" s="2" t="inlineStr">
        <is>
          <t>ST-008</t>
        </is>
      </c>
      <c r="B9" s="2" t="inlineStr">
        <is>
          <t>Asli Yildiz</t>
        </is>
      </c>
      <c r="C9" s="2" t="inlineStr">
        <is>
          <t>Orta Asya</t>
        </is>
      </c>
      <c r="D9" s="2" t="inlineStr">
        <is>
          <t>Tank ve Proses Cozumleri</t>
        </is>
      </c>
      <c r="E9" s="6" t="n">
        <v>44494</v>
      </c>
      <c r="F9" s="3" t="n">
        <v>95000</v>
      </c>
      <c r="G9" s="4" t="n">
        <v>0.0174</v>
      </c>
      <c r="H9" s="2" t="inlineStr">
        <is>
          <t>Aktif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5" customWidth="1" min="4" max="4"/>
    <col width="18" customWidth="1" min="5" max="5"/>
    <col width="18" customWidth="1" min="6" max="6"/>
    <col width="13" customWidth="1" min="7" max="7"/>
    <col width="12" customWidth="1" min="8" max="8"/>
    <col width="16" customWidth="1" min="9" max="9"/>
    <col width="12" customWidth="1" min="10" max="10"/>
    <col width="24" customWidth="1" min="11" max="11"/>
    <col width="22" customWidth="1" min="12" max="12"/>
    <col width="21" customWidth="1" min="13" max="13"/>
  </cols>
  <sheetData>
    <row r="1">
      <c r="A1" s="1" t="inlineStr">
        <is>
          <t>Teklif_No</t>
        </is>
      </c>
      <c r="B1" s="1" t="inlineStr">
        <is>
          <t>Teklif_Tarihi</t>
        </is>
      </c>
      <c r="C1" s="1" t="inlineStr">
        <is>
          <t>Musteri_Kodu</t>
        </is>
      </c>
      <c r="D1" s="1" t="inlineStr">
        <is>
          <t>Temsilci_Kodu</t>
        </is>
      </c>
      <c r="E1" s="1" t="inlineStr">
        <is>
          <t>Teklif_Durumu</t>
        </is>
      </c>
      <c r="F1" s="1" t="inlineStr">
        <is>
          <t>Toplam_Tutar_USD</t>
        </is>
      </c>
      <c r="G1" s="1" t="inlineStr">
        <is>
          <t>Para_Birimi</t>
        </is>
      </c>
      <c r="H1" s="1" t="inlineStr">
        <is>
          <t>Kur</t>
        </is>
      </c>
      <c r="I1" s="1" t="inlineStr">
        <is>
          <t>Gecerlilik_Gun</t>
        </is>
      </c>
      <c r="J1" s="1" t="inlineStr">
        <is>
          <t>Incoterm</t>
        </is>
      </c>
      <c r="K1" s="1" t="inlineStr">
        <is>
          <t>Tahmini_Kapanis_Tarihi</t>
        </is>
      </c>
      <c r="L1" s="1" t="inlineStr">
        <is>
          <t>Kazanildi_Kaybedildi</t>
        </is>
      </c>
      <c r="M1" s="1" t="inlineStr">
        <is>
          <t>Kayip_Nedeni</t>
        </is>
      </c>
    </row>
    <row r="2">
      <c r="A2" s="2" t="inlineStr">
        <is>
          <t>TKL-0001</t>
        </is>
      </c>
      <c r="B2" s="6" t="n">
        <v>45390</v>
      </c>
      <c r="C2" s="2" t="inlineStr">
        <is>
          <t>MUS-062</t>
        </is>
      </c>
      <c r="D2" s="2" t="inlineStr">
        <is>
          <t>ST-008</t>
        </is>
      </c>
      <c r="E2" s="2" t="inlineStr">
        <is>
          <t>Siparise Donustu</t>
        </is>
      </c>
      <c r="F2" s="3" t="n">
        <v>59386.89</v>
      </c>
      <c r="G2" s="2" t="inlineStr">
        <is>
          <t>USD</t>
        </is>
      </c>
      <c r="H2" s="5" t="n">
        <v>1</v>
      </c>
      <c r="I2" s="2" t="n">
        <v>20</v>
      </c>
      <c r="J2" s="5" t="inlineStr">
        <is>
          <t>FCA</t>
        </is>
      </c>
      <c r="K2" s="6" t="n">
        <v>45410</v>
      </c>
      <c r="L2" s="2" t="inlineStr">
        <is>
          <t>Kazanildi</t>
        </is>
      </c>
      <c r="M2" s="2" t="inlineStr"/>
    </row>
    <row r="3">
      <c r="A3" s="2" t="inlineStr">
        <is>
          <t>TKL-0002</t>
        </is>
      </c>
      <c r="B3" s="6" t="n">
        <v>45405</v>
      </c>
      <c r="C3" s="2" t="inlineStr">
        <is>
          <t>MUS-006</t>
        </is>
      </c>
      <c r="D3" s="2" t="inlineStr">
        <is>
          <t>ST-007</t>
        </is>
      </c>
      <c r="E3" s="2" t="inlineStr">
        <is>
          <t>Siparise Donustu</t>
        </is>
      </c>
      <c r="F3" s="3" t="n">
        <v>43911.84</v>
      </c>
      <c r="G3" s="2" t="inlineStr">
        <is>
          <t>USD</t>
        </is>
      </c>
      <c r="H3" s="5" t="n">
        <v>1</v>
      </c>
      <c r="I3" s="2" t="n">
        <v>30</v>
      </c>
      <c r="J3" s="5" t="inlineStr">
        <is>
          <t>FCA</t>
        </is>
      </c>
      <c r="K3" s="6" t="n">
        <v>45431</v>
      </c>
      <c r="L3" s="2" t="inlineStr">
        <is>
          <t>Kazanildi</t>
        </is>
      </c>
      <c r="M3" s="2" t="inlineStr"/>
    </row>
    <row r="4">
      <c r="A4" s="2" t="inlineStr">
        <is>
          <t>TKL-0003</t>
        </is>
      </c>
      <c r="B4" s="6" t="n">
        <v>45385</v>
      </c>
      <c r="C4" s="2" t="inlineStr">
        <is>
          <t>MUS-064</t>
        </is>
      </c>
      <c r="D4" s="2" t="inlineStr">
        <is>
          <t>ST-002</t>
        </is>
      </c>
      <c r="E4" s="2" t="inlineStr">
        <is>
          <t>Kaybedildi</t>
        </is>
      </c>
      <c r="F4" s="3" t="n">
        <v>14941.04</v>
      </c>
      <c r="G4" s="2" t="inlineStr">
        <is>
          <t>EUR</t>
        </is>
      </c>
      <c r="H4" s="5" t="n">
        <v>1.0763</v>
      </c>
      <c r="I4" s="2" t="n">
        <v>15</v>
      </c>
      <c r="J4" s="5" t="inlineStr">
        <is>
          <t>FCA</t>
        </is>
      </c>
      <c r="K4" s="6" t="n">
        <v>45399</v>
      </c>
      <c r="L4" s="2" t="inlineStr">
        <is>
          <t>Kaybedildi</t>
        </is>
      </c>
      <c r="M4" s="2" t="inlineStr">
        <is>
          <t>Termin Uzun</t>
        </is>
      </c>
    </row>
    <row r="5">
      <c r="A5" s="2" t="inlineStr">
        <is>
          <t>TKL-0004</t>
        </is>
      </c>
      <c r="B5" s="6" t="n">
        <v>45389</v>
      </c>
      <c r="C5" s="2" t="inlineStr">
        <is>
          <t>MUS-056</t>
        </is>
      </c>
      <c r="D5" s="2" t="inlineStr">
        <is>
          <t>ST-002</t>
        </is>
      </c>
      <c r="E5" s="2" t="inlineStr">
        <is>
          <t>Kaybedildi</t>
        </is>
      </c>
      <c r="F5" s="3" t="n">
        <v>96941.16</v>
      </c>
      <c r="G5" s="2" t="inlineStr">
        <is>
          <t>EUR</t>
        </is>
      </c>
      <c r="H5" s="5" t="n">
        <v>1.0763</v>
      </c>
      <c r="I5" s="2" t="n">
        <v>20</v>
      </c>
      <c r="J5" s="5" t="inlineStr">
        <is>
          <t>DAP</t>
        </is>
      </c>
      <c r="K5" s="6" t="n">
        <v>45409</v>
      </c>
      <c r="L5" s="2" t="inlineStr">
        <is>
          <t>Kaybedildi</t>
        </is>
      </c>
      <c r="M5" s="2" t="inlineStr">
        <is>
          <t>Butce Ertelendi</t>
        </is>
      </c>
    </row>
    <row r="6">
      <c r="A6" s="2" t="inlineStr">
        <is>
          <t>TKL-0005</t>
        </is>
      </c>
      <c r="B6" s="6" t="n">
        <v>45402</v>
      </c>
      <c r="C6" s="2" t="inlineStr">
        <is>
          <t>MUS-065</t>
        </is>
      </c>
      <c r="D6" s="2" t="inlineStr">
        <is>
          <t>ST-006</t>
        </is>
      </c>
      <c r="E6" s="2" t="inlineStr">
        <is>
          <t>Siparise Donustu</t>
        </is>
      </c>
      <c r="F6" s="3" t="n">
        <v>72655.17</v>
      </c>
      <c r="G6" s="2" t="inlineStr">
        <is>
          <t>USD</t>
        </is>
      </c>
      <c r="H6" s="5" t="n">
        <v>1</v>
      </c>
      <c r="I6" s="2" t="n">
        <v>15</v>
      </c>
      <c r="J6" s="5" t="inlineStr">
        <is>
          <t>CFR</t>
        </is>
      </c>
      <c r="K6" s="6" t="n">
        <v>45407</v>
      </c>
      <c r="L6" s="2" t="inlineStr">
        <is>
          <t>Kazanildi</t>
        </is>
      </c>
      <c r="M6" s="2" t="inlineStr"/>
    </row>
    <row r="7">
      <c r="A7" s="2" t="inlineStr">
        <is>
          <t>TKL-0006</t>
        </is>
      </c>
      <c r="B7" s="6" t="n">
        <v>45388</v>
      </c>
      <c r="C7" s="2" t="inlineStr">
        <is>
          <t>MUS-036</t>
        </is>
      </c>
      <c r="D7" s="2" t="inlineStr">
        <is>
          <t>ST-005</t>
        </is>
      </c>
      <c r="E7" s="2" t="inlineStr">
        <is>
          <t>Siparise Donustu</t>
        </is>
      </c>
      <c r="F7" s="3" t="n">
        <v>21890.57</v>
      </c>
      <c r="G7" s="2" t="inlineStr">
        <is>
          <t>USD</t>
        </is>
      </c>
      <c r="H7" s="5" t="n">
        <v>1</v>
      </c>
      <c r="I7" s="2" t="n">
        <v>45</v>
      </c>
      <c r="J7" s="5" t="inlineStr">
        <is>
          <t>CFR</t>
        </is>
      </c>
      <c r="K7" s="6" t="n">
        <v>45405</v>
      </c>
      <c r="L7" s="2" t="inlineStr">
        <is>
          <t>Kazanildi</t>
        </is>
      </c>
      <c r="M7" s="2" t="inlineStr"/>
    </row>
    <row r="8">
      <c r="A8" s="2" t="inlineStr">
        <is>
          <t>TKL-0007</t>
        </is>
      </c>
      <c r="B8" s="6" t="n">
        <v>45388</v>
      </c>
      <c r="C8" s="2" t="inlineStr">
        <is>
          <t>MUS-056</t>
        </is>
      </c>
      <c r="D8" s="2" t="inlineStr">
        <is>
          <t>ST-001</t>
        </is>
      </c>
      <c r="E8" s="2" t="inlineStr">
        <is>
          <t>Siparise Donustu</t>
        </is>
      </c>
      <c r="F8" s="3" t="n">
        <v>13649.38</v>
      </c>
      <c r="G8" s="2" t="inlineStr">
        <is>
          <t>EUR</t>
        </is>
      </c>
      <c r="H8" s="5" t="n">
        <v>1.0763</v>
      </c>
      <c r="I8" s="2" t="n">
        <v>45</v>
      </c>
      <c r="J8" s="5" t="inlineStr">
        <is>
          <t>DAP</t>
        </is>
      </c>
      <c r="K8" s="6" t="n">
        <v>45422</v>
      </c>
      <c r="L8" s="2" t="inlineStr">
        <is>
          <t>Kazanildi</t>
        </is>
      </c>
      <c r="M8" s="2" t="inlineStr"/>
    </row>
    <row r="9">
      <c r="A9" s="2" t="inlineStr">
        <is>
          <t>TKL-0008</t>
        </is>
      </c>
      <c r="B9" s="6" t="n">
        <v>45385</v>
      </c>
      <c r="C9" s="2" t="inlineStr">
        <is>
          <t>MUS-048</t>
        </is>
      </c>
      <c r="D9" s="2" t="inlineStr">
        <is>
          <t>ST-001</t>
        </is>
      </c>
      <c r="E9" s="2" t="inlineStr">
        <is>
          <t>Siparise Donustu</t>
        </is>
      </c>
      <c r="F9" s="3" t="n">
        <v>71776.94</v>
      </c>
      <c r="G9" s="2" t="inlineStr">
        <is>
          <t>EUR</t>
        </is>
      </c>
      <c r="H9" s="5" t="n">
        <v>1.0763</v>
      </c>
      <c r="I9" s="2" t="n">
        <v>20</v>
      </c>
      <c r="J9" s="5" t="inlineStr">
        <is>
          <t>DAP</t>
        </is>
      </c>
      <c r="K9" s="6" t="n">
        <v>45405</v>
      </c>
      <c r="L9" s="2" t="inlineStr">
        <is>
          <t>Kazanildi</t>
        </is>
      </c>
      <c r="M9" s="2" t="inlineStr"/>
    </row>
    <row r="10">
      <c r="A10" s="2" t="inlineStr">
        <is>
          <t>TKL-0009</t>
        </is>
      </c>
      <c r="B10" s="6" t="n">
        <v>45399</v>
      </c>
      <c r="C10" s="2" t="inlineStr">
        <is>
          <t>MUS-015</t>
        </is>
      </c>
      <c r="D10" s="2" t="inlineStr">
        <is>
          <t>ST-001</t>
        </is>
      </c>
      <c r="E10" s="2" t="inlineStr">
        <is>
          <t>Siparise Donustu</t>
        </is>
      </c>
      <c r="F10" s="3" t="n">
        <v>25598.86</v>
      </c>
      <c r="G10" s="2" t="inlineStr">
        <is>
          <t>EUR</t>
        </is>
      </c>
      <c r="H10" s="5" t="n">
        <v>1.0763</v>
      </c>
      <c r="I10" s="2" t="n">
        <v>30</v>
      </c>
      <c r="J10" s="5" t="inlineStr">
        <is>
          <t>DAP</t>
        </is>
      </c>
      <c r="K10" s="6" t="n">
        <v>45427</v>
      </c>
      <c r="L10" s="2" t="inlineStr">
        <is>
          <t>Kazanildi</t>
        </is>
      </c>
      <c r="M10" s="2" t="inlineStr"/>
    </row>
    <row r="11">
      <c r="A11" s="2" t="inlineStr">
        <is>
          <t>TKL-0010</t>
        </is>
      </c>
      <c r="B11" s="6" t="n">
        <v>45392</v>
      </c>
      <c r="C11" s="2" t="inlineStr">
        <is>
          <t>MUS-001</t>
        </is>
      </c>
      <c r="D11" s="2" t="inlineStr">
        <is>
          <t>ST-005</t>
        </is>
      </c>
      <c r="E11" s="2" t="inlineStr">
        <is>
          <t>Kaybedildi</t>
        </is>
      </c>
      <c r="F11" s="3" t="n">
        <v>2947</v>
      </c>
      <c r="G11" s="2" t="inlineStr">
        <is>
          <t>USD</t>
        </is>
      </c>
      <c r="H11" s="5" t="n">
        <v>1</v>
      </c>
      <c r="I11" s="2" t="n">
        <v>45</v>
      </c>
      <c r="J11" s="5" t="inlineStr">
        <is>
          <t>CFR</t>
        </is>
      </c>
      <c r="K11" s="6" t="n">
        <v>45433</v>
      </c>
      <c r="L11" s="2" t="inlineStr">
        <is>
          <t>Kaybedildi</t>
        </is>
      </c>
      <c r="M11" s="2" t="inlineStr">
        <is>
          <t>Fiyat Yuksek</t>
        </is>
      </c>
    </row>
    <row r="12">
      <c r="A12" s="2" t="inlineStr">
        <is>
          <t>TKL-0011</t>
        </is>
      </c>
      <c r="B12" s="6" t="n">
        <v>45393</v>
      </c>
      <c r="C12" s="2" t="inlineStr">
        <is>
          <t>MUS-044</t>
        </is>
      </c>
      <c r="D12" s="2" t="inlineStr">
        <is>
          <t>ST-002</t>
        </is>
      </c>
      <c r="E12" s="2" t="inlineStr">
        <is>
          <t>Siparise Donustu</t>
        </is>
      </c>
      <c r="F12" s="3" t="n">
        <v>33917.51</v>
      </c>
      <c r="G12" s="2" t="inlineStr">
        <is>
          <t>EUR</t>
        </is>
      </c>
      <c r="H12" s="5" t="n">
        <v>1.0763</v>
      </c>
      <c r="I12" s="2" t="n">
        <v>15</v>
      </c>
      <c r="J12" s="5" t="inlineStr">
        <is>
          <t>DAP</t>
        </is>
      </c>
      <c r="K12" s="6" t="n">
        <v>45402</v>
      </c>
      <c r="L12" s="2" t="inlineStr">
        <is>
          <t>Kazanildi</t>
        </is>
      </c>
      <c r="M12" s="2" t="inlineStr"/>
    </row>
    <row r="13">
      <c r="A13" s="2" t="inlineStr">
        <is>
          <t>TKL-0012</t>
        </is>
      </c>
      <c r="B13" s="6" t="n">
        <v>45403</v>
      </c>
      <c r="C13" s="2" t="inlineStr">
        <is>
          <t>MUS-056</t>
        </is>
      </c>
      <c r="D13" s="2" t="inlineStr">
        <is>
          <t>ST-001</t>
        </is>
      </c>
      <c r="E13" s="2" t="inlineStr">
        <is>
          <t>Kaybedildi</t>
        </is>
      </c>
      <c r="F13" s="3" t="n">
        <v>46817.56</v>
      </c>
      <c r="G13" s="2" t="inlineStr">
        <is>
          <t>EUR</t>
        </is>
      </c>
      <c r="H13" s="5" t="n">
        <v>1.0763</v>
      </c>
      <c r="I13" s="2" t="n">
        <v>20</v>
      </c>
      <c r="J13" s="5" t="inlineStr">
        <is>
          <t>DAP</t>
        </is>
      </c>
      <c r="K13" s="6" t="n">
        <v>45413</v>
      </c>
      <c r="L13" s="2" t="inlineStr">
        <is>
          <t>Kaybedildi</t>
        </is>
      </c>
      <c r="M13" s="2" t="inlineStr">
        <is>
          <t>Termin Uzun</t>
        </is>
      </c>
    </row>
    <row r="14">
      <c r="A14" s="2" t="inlineStr">
        <is>
          <t>TKL-0013</t>
        </is>
      </c>
      <c r="B14" s="6" t="n">
        <v>45392</v>
      </c>
      <c r="C14" s="2" t="inlineStr">
        <is>
          <t>MUS-082</t>
        </is>
      </c>
      <c r="D14" s="2" t="inlineStr">
        <is>
          <t>ST-001</t>
        </is>
      </c>
      <c r="E14" s="2" t="inlineStr">
        <is>
          <t>Kaybedildi</t>
        </is>
      </c>
      <c r="F14" s="3" t="n">
        <v>60291.71</v>
      </c>
      <c r="G14" s="2" t="inlineStr">
        <is>
          <t>EUR</t>
        </is>
      </c>
      <c r="H14" s="5" t="n">
        <v>1.0763</v>
      </c>
      <c r="I14" s="2" t="n">
        <v>15</v>
      </c>
      <c r="J14" s="5" t="inlineStr">
        <is>
          <t>DAP</t>
        </is>
      </c>
      <c r="K14" s="6" t="n">
        <v>45405</v>
      </c>
      <c r="L14" s="2" t="inlineStr">
        <is>
          <t>Kaybedildi</t>
        </is>
      </c>
      <c r="M14" s="2" t="inlineStr">
        <is>
          <t>Rakipte Teknik Onay</t>
        </is>
      </c>
    </row>
    <row r="15">
      <c r="A15" s="2" t="inlineStr">
        <is>
          <t>TKL-0014</t>
        </is>
      </c>
      <c r="B15" s="6" t="n">
        <v>45401</v>
      </c>
      <c r="C15" s="2" t="inlineStr">
        <is>
          <t>MUS-029</t>
        </is>
      </c>
      <c r="D15" s="2" t="inlineStr">
        <is>
          <t>ST-006</t>
        </is>
      </c>
      <c r="E15" s="2" t="inlineStr">
        <is>
          <t>Kaybedildi</t>
        </is>
      </c>
      <c r="F15" s="3" t="n">
        <v>51712.39</v>
      </c>
      <c r="G15" s="2" t="inlineStr">
        <is>
          <t>USD</t>
        </is>
      </c>
      <c r="H15" s="5" t="n">
        <v>1</v>
      </c>
      <c r="I15" s="2" t="n">
        <v>30</v>
      </c>
      <c r="J15" s="5" t="inlineStr">
        <is>
          <t>CFR</t>
        </is>
      </c>
      <c r="K15" s="6" t="n">
        <v>45408</v>
      </c>
      <c r="L15" s="2" t="inlineStr">
        <is>
          <t>Kaybedildi</t>
        </is>
      </c>
      <c r="M15" s="2" t="inlineStr">
        <is>
          <t>Termin Uzun</t>
        </is>
      </c>
    </row>
    <row r="16">
      <c r="A16" s="2" t="inlineStr">
        <is>
          <t>TKL-0015</t>
        </is>
      </c>
      <c r="B16" s="6" t="n">
        <v>45403</v>
      </c>
      <c r="C16" s="2" t="inlineStr">
        <is>
          <t>MUS-072</t>
        </is>
      </c>
      <c r="D16" s="2" t="inlineStr">
        <is>
          <t>ST-001</t>
        </is>
      </c>
      <c r="E16" s="2" t="inlineStr">
        <is>
          <t>Siparise Donustu</t>
        </is>
      </c>
      <c r="F16" s="3" t="n">
        <v>60730.88</v>
      </c>
      <c r="G16" s="2" t="inlineStr">
        <is>
          <t>EUR</t>
        </is>
      </c>
      <c r="H16" s="5" t="n">
        <v>1.0763</v>
      </c>
      <c r="I16" s="2" t="n">
        <v>30</v>
      </c>
      <c r="J16" s="5" t="inlineStr">
        <is>
          <t>DAP</t>
        </is>
      </c>
      <c r="K16" s="6" t="n">
        <v>45418</v>
      </c>
      <c r="L16" s="2" t="inlineStr">
        <is>
          <t>Kazanildi</t>
        </is>
      </c>
      <c r="M16" s="2" t="inlineStr"/>
    </row>
    <row r="17">
      <c r="A17" s="2" t="inlineStr">
        <is>
          <t>TKL-0016</t>
        </is>
      </c>
      <c r="B17" s="6" t="n">
        <v>45401</v>
      </c>
      <c r="C17" s="2" t="inlineStr">
        <is>
          <t>MUS-012</t>
        </is>
      </c>
      <c r="D17" s="2" t="inlineStr">
        <is>
          <t>ST-002</t>
        </is>
      </c>
      <c r="E17" s="2" t="inlineStr">
        <is>
          <t>Kaybedildi</t>
        </is>
      </c>
      <c r="F17" s="3" t="n">
        <v>38189.32</v>
      </c>
      <c r="G17" s="2" t="inlineStr">
        <is>
          <t>EUR</t>
        </is>
      </c>
      <c r="H17" s="5" t="n">
        <v>1.0763</v>
      </c>
      <c r="I17" s="2" t="n">
        <v>45</v>
      </c>
      <c r="J17" s="5" t="inlineStr">
        <is>
          <t>DAP</t>
        </is>
      </c>
      <c r="K17" s="6" t="n">
        <v>45445</v>
      </c>
      <c r="L17" s="2" t="inlineStr">
        <is>
          <t>Kaybedildi</t>
        </is>
      </c>
      <c r="M17" s="2" t="inlineStr">
        <is>
          <t>Fiyat Yuksek</t>
        </is>
      </c>
    </row>
    <row r="18">
      <c r="A18" s="2" t="inlineStr">
        <is>
          <t>TKL-0017</t>
        </is>
      </c>
      <c r="B18" s="6" t="n">
        <v>45387</v>
      </c>
      <c r="C18" s="2" t="inlineStr">
        <is>
          <t>MUS-046</t>
        </is>
      </c>
      <c r="D18" s="2" t="inlineStr">
        <is>
          <t>ST-001</t>
        </is>
      </c>
      <c r="E18" s="2" t="inlineStr">
        <is>
          <t>Kaybedildi</t>
        </is>
      </c>
      <c r="F18" s="3" t="n">
        <v>18089.03</v>
      </c>
      <c r="G18" s="2" t="inlineStr">
        <is>
          <t>EUR</t>
        </is>
      </c>
      <c r="H18" s="5" t="n">
        <v>1.0763</v>
      </c>
      <c r="I18" s="2" t="n">
        <v>30</v>
      </c>
      <c r="J18" s="5" t="inlineStr">
        <is>
          <t>FCA</t>
        </is>
      </c>
      <c r="K18" s="6" t="n">
        <v>45416</v>
      </c>
      <c r="L18" s="2" t="inlineStr">
        <is>
          <t>Kaybedildi</t>
        </is>
      </c>
      <c r="M18" s="2" t="inlineStr">
        <is>
          <t>Termin Uzun</t>
        </is>
      </c>
    </row>
    <row r="19">
      <c r="A19" s="2" t="inlineStr">
        <is>
          <t>TKL-0018</t>
        </is>
      </c>
      <c r="B19" s="6" t="n">
        <v>45403</v>
      </c>
      <c r="C19" s="2" t="inlineStr">
        <is>
          <t>MUS-066</t>
        </is>
      </c>
      <c r="D19" s="2" t="inlineStr">
        <is>
          <t>ST-007</t>
        </is>
      </c>
      <c r="E19" s="2" t="inlineStr">
        <is>
          <t>Siparise Donustu</t>
        </is>
      </c>
      <c r="F19" s="3" t="n">
        <v>42759.84</v>
      </c>
      <c r="G19" s="2" t="inlineStr">
        <is>
          <t>USD</t>
        </is>
      </c>
      <c r="H19" s="5" t="n">
        <v>1</v>
      </c>
      <c r="I19" s="2" t="n">
        <v>30</v>
      </c>
      <c r="J19" s="5" t="inlineStr">
        <is>
          <t>FCA</t>
        </is>
      </c>
      <c r="K19" s="6" t="n">
        <v>45423</v>
      </c>
      <c r="L19" s="2" t="inlineStr">
        <is>
          <t>Kazanildi</t>
        </is>
      </c>
      <c r="M19" s="2" t="inlineStr"/>
    </row>
    <row r="20">
      <c r="A20" s="2" t="inlineStr">
        <is>
          <t>TKL-0019</t>
        </is>
      </c>
      <c r="B20" s="6" t="n">
        <v>45384</v>
      </c>
      <c r="C20" s="2" t="inlineStr">
        <is>
          <t>MUS-070</t>
        </is>
      </c>
      <c r="D20" s="2" t="inlineStr">
        <is>
          <t>ST-002</t>
        </is>
      </c>
      <c r="E20" s="2" t="inlineStr">
        <is>
          <t>Kaybedildi</t>
        </is>
      </c>
      <c r="F20" s="3" t="n">
        <v>41275.37</v>
      </c>
      <c r="G20" s="2" t="inlineStr">
        <is>
          <t>EUR</t>
        </is>
      </c>
      <c r="H20" s="5" t="n">
        <v>1.0763</v>
      </c>
      <c r="I20" s="2" t="n">
        <v>45</v>
      </c>
      <c r="J20" s="5" t="inlineStr">
        <is>
          <t>DAP</t>
        </is>
      </c>
      <c r="K20" s="6" t="n">
        <v>45406</v>
      </c>
      <c r="L20" s="2" t="inlineStr">
        <is>
          <t>Kaybedildi</t>
        </is>
      </c>
      <c r="M20" s="2" t="inlineStr">
        <is>
          <t>Rakipte Teknik Onay</t>
        </is>
      </c>
    </row>
    <row r="21">
      <c r="A21" s="2" t="inlineStr">
        <is>
          <t>TKL-0020</t>
        </is>
      </c>
      <c r="B21" s="6" t="n">
        <v>45386</v>
      </c>
      <c r="C21" s="2" t="inlineStr">
        <is>
          <t>MUS-038</t>
        </is>
      </c>
      <c r="D21" s="2" t="inlineStr">
        <is>
          <t>ST-003</t>
        </is>
      </c>
      <c r="E21" s="2" t="inlineStr">
        <is>
          <t>Siparise Donustu</t>
        </is>
      </c>
      <c r="F21" s="3" t="n">
        <v>87957.37</v>
      </c>
      <c r="G21" s="2" t="inlineStr">
        <is>
          <t>USD</t>
        </is>
      </c>
      <c r="H21" s="5" t="n">
        <v>1</v>
      </c>
      <c r="I21" s="2" t="n">
        <v>45</v>
      </c>
      <c r="J21" s="5" t="inlineStr">
        <is>
          <t>CIF</t>
        </is>
      </c>
      <c r="K21" s="6" t="n">
        <v>45412</v>
      </c>
      <c r="L21" s="2" t="inlineStr">
        <is>
          <t>Kazanildi</t>
        </is>
      </c>
      <c r="M21" s="2" t="inlineStr"/>
    </row>
    <row r="22">
      <c r="A22" s="2" t="inlineStr">
        <is>
          <t>TKL-0021</t>
        </is>
      </c>
      <c r="B22" s="6" t="n">
        <v>45400</v>
      </c>
      <c r="C22" s="2" t="inlineStr">
        <is>
          <t>MUS-064</t>
        </is>
      </c>
      <c r="D22" s="2" t="inlineStr">
        <is>
          <t>ST-001</t>
        </is>
      </c>
      <c r="E22" s="2" t="inlineStr">
        <is>
          <t>Siparise Donustu</t>
        </is>
      </c>
      <c r="F22" s="3" t="n">
        <v>16554.46</v>
      </c>
      <c r="G22" s="2" t="inlineStr">
        <is>
          <t>EUR</t>
        </is>
      </c>
      <c r="H22" s="5" t="n">
        <v>1.0763</v>
      </c>
      <c r="I22" s="2" t="n">
        <v>15</v>
      </c>
      <c r="J22" s="5" t="inlineStr">
        <is>
          <t>FCA</t>
        </is>
      </c>
      <c r="K22" s="6" t="n">
        <v>45409</v>
      </c>
      <c r="L22" s="2" t="inlineStr">
        <is>
          <t>Kazanildi</t>
        </is>
      </c>
      <c r="M22" s="2" t="inlineStr"/>
    </row>
    <row r="23">
      <c r="A23" s="2" t="inlineStr">
        <is>
          <t>TKL-0022</t>
        </is>
      </c>
      <c r="B23" s="6" t="n">
        <v>45385</v>
      </c>
      <c r="C23" s="2" t="inlineStr">
        <is>
          <t>MUS-070</t>
        </is>
      </c>
      <c r="D23" s="2" t="inlineStr">
        <is>
          <t>ST-002</t>
        </is>
      </c>
      <c r="E23" s="2" t="inlineStr">
        <is>
          <t>Siparise Donustu</t>
        </is>
      </c>
      <c r="F23" s="3" t="n">
        <v>15063.49</v>
      </c>
      <c r="G23" s="2" t="inlineStr">
        <is>
          <t>EUR</t>
        </is>
      </c>
      <c r="H23" s="5" t="n">
        <v>1.0763</v>
      </c>
      <c r="I23" s="2" t="n">
        <v>45</v>
      </c>
      <c r="J23" s="5" t="inlineStr">
        <is>
          <t>DAP</t>
        </is>
      </c>
      <c r="K23" s="6" t="n">
        <v>45413</v>
      </c>
      <c r="L23" s="2" t="inlineStr">
        <is>
          <t>Kazanildi</t>
        </is>
      </c>
      <c r="M23" s="2" t="inlineStr"/>
    </row>
    <row r="24">
      <c r="A24" s="2" t="inlineStr">
        <is>
          <t>TKL-0023</t>
        </is>
      </c>
      <c r="B24" s="6" t="n">
        <v>45384</v>
      </c>
      <c r="C24" s="2" t="inlineStr">
        <is>
          <t>MUS-001</t>
        </is>
      </c>
      <c r="D24" s="2" t="inlineStr">
        <is>
          <t>ST-006</t>
        </is>
      </c>
      <c r="E24" s="2" t="inlineStr">
        <is>
          <t>Kaybedildi</t>
        </is>
      </c>
      <c r="F24" s="3" t="n">
        <v>41033.26</v>
      </c>
      <c r="G24" s="2" t="inlineStr">
        <is>
          <t>USD</t>
        </is>
      </c>
      <c r="H24" s="5" t="n">
        <v>1</v>
      </c>
      <c r="I24" s="2" t="n">
        <v>45</v>
      </c>
      <c r="J24" s="5" t="inlineStr">
        <is>
          <t>CFR</t>
        </is>
      </c>
      <c r="K24" s="6" t="n">
        <v>45395</v>
      </c>
      <c r="L24" s="2" t="inlineStr">
        <is>
          <t>Kaybedildi</t>
        </is>
      </c>
      <c r="M24" s="2" t="inlineStr">
        <is>
          <t>Rakipte Teknik Onay</t>
        </is>
      </c>
    </row>
    <row r="25">
      <c r="A25" s="2" t="inlineStr">
        <is>
          <t>TKL-0024</t>
        </is>
      </c>
      <c r="B25" s="6" t="n">
        <v>45384</v>
      </c>
      <c r="C25" s="2" t="inlineStr">
        <is>
          <t>MUS-081</t>
        </is>
      </c>
      <c r="D25" s="2" t="inlineStr">
        <is>
          <t>ST-003</t>
        </is>
      </c>
      <c r="E25" s="2" t="inlineStr">
        <is>
          <t>Kaybedildi</t>
        </is>
      </c>
      <c r="F25" s="3" t="n">
        <v>52940.56</v>
      </c>
      <c r="G25" s="2" t="inlineStr">
        <is>
          <t>USD</t>
        </is>
      </c>
      <c r="H25" s="5" t="n">
        <v>1</v>
      </c>
      <c r="I25" s="2" t="n">
        <v>45</v>
      </c>
      <c r="J25" s="5" t="inlineStr">
        <is>
          <t>CIF</t>
        </is>
      </c>
      <c r="K25" s="6" t="n">
        <v>45393</v>
      </c>
      <c r="L25" s="2" t="inlineStr">
        <is>
          <t>Kaybedildi</t>
        </is>
      </c>
      <c r="M25" s="2" t="inlineStr">
        <is>
          <t>Termin Uzun</t>
        </is>
      </c>
    </row>
    <row r="26">
      <c r="A26" s="2" t="inlineStr">
        <is>
          <t>TKL-0025</t>
        </is>
      </c>
      <c r="B26" s="6" t="n">
        <v>45402</v>
      </c>
      <c r="C26" s="2" t="inlineStr">
        <is>
          <t>MUS-027</t>
        </is>
      </c>
      <c r="D26" s="2" t="inlineStr">
        <is>
          <t>ST-003</t>
        </is>
      </c>
      <c r="E26" s="2" t="inlineStr">
        <is>
          <t>Siparise Donustu</t>
        </is>
      </c>
      <c r="F26" s="3" t="n">
        <v>25117.77</v>
      </c>
      <c r="G26" s="2" t="inlineStr">
        <is>
          <t>USD</t>
        </is>
      </c>
      <c r="H26" s="5" t="n">
        <v>1</v>
      </c>
      <c r="I26" s="2" t="n">
        <v>30</v>
      </c>
      <c r="J26" s="5" t="inlineStr">
        <is>
          <t>CIF</t>
        </is>
      </c>
      <c r="K26" s="6" t="n">
        <v>45419</v>
      </c>
      <c r="L26" s="2" t="inlineStr">
        <is>
          <t>Kazanildi</t>
        </is>
      </c>
      <c r="M26" s="2" t="inlineStr"/>
    </row>
    <row r="27">
      <c r="A27" s="2" t="inlineStr">
        <is>
          <t>TKL-0026</t>
        </is>
      </c>
      <c r="B27" s="6" t="n">
        <v>45384</v>
      </c>
      <c r="C27" s="2" t="inlineStr">
        <is>
          <t>MUS-017</t>
        </is>
      </c>
      <c r="D27" s="2" t="inlineStr">
        <is>
          <t>ST-001</t>
        </is>
      </c>
      <c r="E27" s="2" t="inlineStr">
        <is>
          <t>Siparise Donustu</t>
        </is>
      </c>
      <c r="F27" s="3" t="n">
        <v>26797.57</v>
      </c>
      <c r="G27" s="2" t="inlineStr">
        <is>
          <t>EUR</t>
        </is>
      </c>
      <c r="H27" s="5" t="n">
        <v>1.0763</v>
      </c>
      <c r="I27" s="2" t="n">
        <v>15</v>
      </c>
      <c r="J27" s="5" t="inlineStr">
        <is>
          <t>DAP</t>
        </is>
      </c>
      <c r="K27" s="6" t="n">
        <v>45389</v>
      </c>
      <c r="L27" s="2" t="inlineStr">
        <is>
          <t>Kazanildi</t>
        </is>
      </c>
      <c r="M27" s="2" t="inlineStr"/>
    </row>
    <row r="28">
      <c r="A28" s="2" t="inlineStr">
        <is>
          <t>TKL-0027</t>
        </is>
      </c>
      <c r="B28" s="6" t="n">
        <v>45440</v>
      </c>
      <c r="C28" s="2" t="inlineStr">
        <is>
          <t>MUS-026</t>
        </is>
      </c>
      <c r="D28" s="2" t="inlineStr">
        <is>
          <t>ST-001</t>
        </is>
      </c>
      <c r="E28" s="2" t="inlineStr">
        <is>
          <t>Kaybedildi</t>
        </is>
      </c>
      <c r="F28" s="3" t="n">
        <v>29655.36</v>
      </c>
      <c r="G28" s="2" t="inlineStr">
        <is>
          <t>EUR</t>
        </is>
      </c>
      <c r="H28" s="5" t="n">
        <v>1.0481</v>
      </c>
      <c r="I28" s="2" t="n">
        <v>15</v>
      </c>
      <c r="J28" s="5" t="inlineStr">
        <is>
          <t>FCA</t>
        </is>
      </c>
      <c r="K28" s="6" t="n">
        <v>45449</v>
      </c>
      <c r="L28" s="2" t="inlineStr">
        <is>
          <t>Kaybedildi</t>
        </is>
      </c>
      <c r="M28" s="2" t="inlineStr">
        <is>
          <t>Butce Ertelendi</t>
        </is>
      </c>
    </row>
    <row r="29">
      <c r="A29" s="2" t="inlineStr">
        <is>
          <t>TKL-0028</t>
        </is>
      </c>
      <c r="B29" s="6" t="n">
        <v>45440</v>
      </c>
      <c r="C29" s="2" t="inlineStr">
        <is>
          <t>MUS-027</t>
        </is>
      </c>
      <c r="D29" s="2" t="inlineStr">
        <is>
          <t>ST-004</t>
        </is>
      </c>
      <c r="E29" s="2" t="inlineStr">
        <is>
          <t>Kaybedildi</t>
        </is>
      </c>
      <c r="F29" s="3" t="n">
        <v>51742.47</v>
      </c>
      <c r="G29" s="2" t="inlineStr">
        <is>
          <t>USD</t>
        </is>
      </c>
      <c r="H29" s="5" t="n">
        <v>1</v>
      </c>
      <c r="I29" s="2" t="n">
        <v>15</v>
      </c>
      <c r="J29" s="5" t="inlineStr">
        <is>
          <t>CIF</t>
        </is>
      </c>
      <c r="K29" s="6" t="n">
        <v>45450</v>
      </c>
      <c r="L29" s="2" t="inlineStr">
        <is>
          <t>Kaybedildi</t>
        </is>
      </c>
      <c r="M29" s="2" t="inlineStr">
        <is>
          <t>Termin Uzun</t>
        </is>
      </c>
    </row>
    <row r="30">
      <c r="A30" s="2" t="inlineStr">
        <is>
          <t>TKL-0029</t>
        </is>
      </c>
      <c r="B30" s="6" t="n">
        <v>45433</v>
      </c>
      <c r="C30" s="2" t="inlineStr">
        <is>
          <t>MUS-027</t>
        </is>
      </c>
      <c r="D30" s="2" t="inlineStr">
        <is>
          <t>ST-004</t>
        </is>
      </c>
      <c r="E30" s="2" t="inlineStr">
        <is>
          <t>Kaybedildi</t>
        </is>
      </c>
      <c r="F30" s="3" t="n">
        <v>8985.66</v>
      </c>
      <c r="G30" s="2" t="inlineStr">
        <is>
          <t>USD</t>
        </is>
      </c>
      <c r="H30" s="5" t="n">
        <v>1</v>
      </c>
      <c r="I30" s="2" t="n">
        <v>20</v>
      </c>
      <c r="J30" s="5" t="inlineStr">
        <is>
          <t>CIF</t>
        </is>
      </c>
      <c r="K30" s="6" t="n">
        <v>45449</v>
      </c>
      <c r="L30" s="2" t="inlineStr">
        <is>
          <t>Kaybedildi</t>
        </is>
      </c>
      <c r="M30" s="2" t="inlineStr">
        <is>
          <t>Termin Uzun</t>
        </is>
      </c>
    </row>
    <row r="31">
      <c r="A31" s="2" t="inlineStr">
        <is>
          <t>TKL-0030</t>
        </is>
      </c>
      <c r="B31" s="6" t="n">
        <v>45415</v>
      </c>
      <c r="C31" s="2" t="inlineStr">
        <is>
          <t>MUS-053</t>
        </is>
      </c>
      <c r="D31" s="2" t="inlineStr">
        <is>
          <t>ST-001</t>
        </is>
      </c>
      <c r="E31" s="2" t="inlineStr">
        <is>
          <t>Kaybedildi</t>
        </is>
      </c>
      <c r="F31" s="3" t="n">
        <v>63957.55</v>
      </c>
      <c r="G31" s="2" t="inlineStr">
        <is>
          <t>EUR</t>
        </is>
      </c>
      <c r="H31" s="5" t="n">
        <v>1.0481</v>
      </c>
      <c r="I31" s="2" t="n">
        <v>20</v>
      </c>
      <c r="J31" s="5" t="inlineStr">
        <is>
          <t>DAP</t>
        </is>
      </c>
      <c r="K31" s="6" t="n">
        <v>45435</v>
      </c>
      <c r="L31" s="2" t="inlineStr">
        <is>
          <t>Kaybedildi</t>
        </is>
      </c>
      <c r="M31" s="2" t="inlineStr">
        <is>
          <t>Fiyat Yuksek</t>
        </is>
      </c>
    </row>
    <row r="32">
      <c r="A32" s="2" t="inlineStr">
        <is>
          <t>TKL-0031</t>
        </is>
      </c>
      <c r="B32" s="6" t="n">
        <v>45423</v>
      </c>
      <c r="C32" s="2" t="inlineStr">
        <is>
          <t>MUS-071</t>
        </is>
      </c>
      <c r="D32" s="2" t="inlineStr">
        <is>
          <t>ST-007</t>
        </is>
      </c>
      <c r="E32" s="2" t="inlineStr">
        <is>
          <t>Kaybedildi</t>
        </is>
      </c>
      <c r="F32" s="3" t="n">
        <v>13728.05</v>
      </c>
      <c r="G32" s="2" t="inlineStr">
        <is>
          <t>USD</t>
        </is>
      </c>
      <c r="H32" s="5" t="n">
        <v>1</v>
      </c>
      <c r="I32" s="2" t="n">
        <v>20</v>
      </c>
      <c r="J32" s="5" t="inlineStr">
        <is>
          <t>FCA</t>
        </is>
      </c>
      <c r="K32" s="6" t="n">
        <v>45441</v>
      </c>
      <c r="L32" s="2" t="inlineStr">
        <is>
          <t>Kaybedildi</t>
        </is>
      </c>
      <c r="M32" s="2" t="inlineStr">
        <is>
          <t>Fiyat Yuksek</t>
        </is>
      </c>
    </row>
    <row r="33">
      <c r="A33" s="2" t="inlineStr">
        <is>
          <t>TKL-0032</t>
        </is>
      </c>
      <c r="B33" s="6" t="n">
        <v>45434</v>
      </c>
      <c r="C33" s="2" t="inlineStr">
        <is>
          <t>MUS-016</t>
        </is>
      </c>
      <c r="D33" s="2" t="inlineStr">
        <is>
          <t>ST-001</t>
        </is>
      </c>
      <c r="E33" s="2" t="inlineStr">
        <is>
          <t>Kaybedildi</t>
        </is>
      </c>
      <c r="F33" s="3" t="n">
        <v>89595.36</v>
      </c>
      <c r="G33" s="2" t="inlineStr">
        <is>
          <t>EUR</t>
        </is>
      </c>
      <c r="H33" s="5" t="n">
        <v>1.0481</v>
      </c>
      <c r="I33" s="2" t="n">
        <v>45</v>
      </c>
      <c r="J33" s="5" t="inlineStr">
        <is>
          <t>DAP</t>
        </is>
      </c>
      <c r="K33" s="6" t="n">
        <v>45465</v>
      </c>
      <c r="L33" s="2" t="inlineStr">
        <is>
          <t>Kaybedildi</t>
        </is>
      </c>
      <c r="M33" s="2" t="inlineStr">
        <is>
          <t>Fiyat Yuksek</t>
        </is>
      </c>
    </row>
    <row r="34">
      <c r="A34" s="2" t="inlineStr">
        <is>
          <t>TKL-0033</t>
        </is>
      </c>
      <c r="B34" s="6" t="n">
        <v>45426</v>
      </c>
      <c r="C34" s="2" t="inlineStr">
        <is>
          <t>MUS-038</t>
        </is>
      </c>
      <c r="D34" s="2" t="inlineStr">
        <is>
          <t>ST-004</t>
        </is>
      </c>
      <c r="E34" s="2" t="inlineStr">
        <is>
          <t>Kaybedildi</t>
        </is>
      </c>
      <c r="F34" s="3" t="n">
        <v>44729.08</v>
      </c>
      <c r="G34" s="2" t="inlineStr">
        <is>
          <t>USD</t>
        </is>
      </c>
      <c r="H34" s="5" t="n">
        <v>1</v>
      </c>
      <c r="I34" s="2" t="n">
        <v>15</v>
      </c>
      <c r="J34" s="5" t="inlineStr">
        <is>
          <t>CIF</t>
        </is>
      </c>
      <c r="K34" s="6" t="n">
        <v>45439</v>
      </c>
      <c r="L34" s="2" t="inlineStr">
        <is>
          <t>Kaybedildi</t>
        </is>
      </c>
      <c r="M34" s="2" t="inlineStr">
        <is>
          <t>Fiyat Yuksek</t>
        </is>
      </c>
    </row>
    <row r="35">
      <c r="A35" s="2" t="inlineStr">
        <is>
          <t>TKL-0034</t>
        </is>
      </c>
      <c r="B35" s="6" t="n">
        <v>45433</v>
      </c>
      <c r="C35" s="2" t="inlineStr">
        <is>
          <t>MUS-059</t>
        </is>
      </c>
      <c r="D35" s="2" t="inlineStr">
        <is>
          <t>ST-003</t>
        </is>
      </c>
      <c r="E35" s="2" t="inlineStr">
        <is>
          <t>Kaybedildi</t>
        </is>
      </c>
      <c r="F35" s="3" t="n">
        <v>29408.04</v>
      </c>
      <c r="G35" s="2" t="inlineStr">
        <is>
          <t>USD</t>
        </is>
      </c>
      <c r="H35" s="5" t="n">
        <v>1</v>
      </c>
      <c r="I35" s="2" t="n">
        <v>20</v>
      </c>
      <c r="J35" s="5" t="inlineStr">
        <is>
          <t>CIF</t>
        </is>
      </c>
      <c r="K35" s="6" t="n">
        <v>45439</v>
      </c>
      <c r="L35" s="2" t="inlineStr">
        <is>
          <t>Kaybedildi</t>
        </is>
      </c>
      <c r="M35" s="2" t="inlineStr">
        <is>
          <t>Rakipte Teknik Onay</t>
        </is>
      </c>
    </row>
    <row r="36">
      <c r="A36" s="2" t="inlineStr">
        <is>
          <t>TKL-0035</t>
        </is>
      </c>
      <c r="B36" s="6" t="n">
        <v>45439</v>
      </c>
      <c r="C36" s="2" t="inlineStr">
        <is>
          <t>MUS-020</t>
        </is>
      </c>
      <c r="D36" s="2" t="inlineStr">
        <is>
          <t>ST-006</t>
        </is>
      </c>
      <c r="E36" s="2" t="inlineStr">
        <is>
          <t>Kaybedildi</t>
        </is>
      </c>
      <c r="F36" s="3" t="n">
        <v>12599.86</v>
      </c>
      <c r="G36" s="2" t="inlineStr">
        <is>
          <t>USD</t>
        </is>
      </c>
      <c r="H36" s="5" t="n">
        <v>1</v>
      </c>
      <c r="I36" s="2" t="n">
        <v>20</v>
      </c>
      <c r="J36" s="5" t="inlineStr">
        <is>
          <t>CFR</t>
        </is>
      </c>
      <c r="K36" s="6" t="n">
        <v>45459</v>
      </c>
      <c r="L36" s="2" t="inlineStr">
        <is>
          <t>Kaybedildi</t>
        </is>
      </c>
      <c r="M36" s="2" t="inlineStr">
        <is>
          <t>Termin Uzun</t>
        </is>
      </c>
    </row>
    <row r="37">
      <c r="A37" s="2" t="inlineStr">
        <is>
          <t>TKL-0036</t>
        </is>
      </c>
      <c r="B37" s="6" t="n">
        <v>45442</v>
      </c>
      <c r="C37" s="2" t="inlineStr">
        <is>
          <t>MUS-017</t>
        </is>
      </c>
      <c r="D37" s="2" t="inlineStr">
        <is>
          <t>ST-001</t>
        </is>
      </c>
      <c r="E37" s="2" t="inlineStr">
        <is>
          <t>Siparise Donustu</t>
        </is>
      </c>
      <c r="F37" s="3" t="n">
        <v>58743.26</v>
      </c>
      <c r="G37" s="2" t="inlineStr">
        <is>
          <t>EUR</t>
        </is>
      </c>
      <c r="H37" s="5" t="n">
        <v>1.0481</v>
      </c>
      <c r="I37" s="2" t="n">
        <v>20</v>
      </c>
      <c r="J37" s="5" t="inlineStr">
        <is>
          <t>DAP</t>
        </is>
      </c>
      <c r="K37" s="6" t="n">
        <v>45450</v>
      </c>
      <c r="L37" s="2" t="inlineStr">
        <is>
          <t>Kazanildi</t>
        </is>
      </c>
      <c r="M37" s="2" t="inlineStr"/>
    </row>
    <row r="38">
      <c r="A38" s="2" t="inlineStr">
        <is>
          <t>TKL-0037</t>
        </is>
      </c>
      <c r="B38" s="6" t="n">
        <v>45421</v>
      </c>
      <c r="C38" s="2" t="inlineStr">
        <is>
          <t>MUS-071</t>
        </is>
      </c>
      <c r="D38" s="2" t="inlineStr">
        <is>
          <t>ST-007</t>
        </is>
      </c>
      <c r="E38" s="2" t="inlineStr">
        <is>
          <t>Siparise Donustu</t>
        </is>
      </c>
      <c r="F38" s="3" t="n">
        <v>38235.92</v>
      </c>
      <c r="G38" s="2" t="inlineStr">
        <is>
          <t>USD</t>
        </is>
      </c>
      <c r="H38" s="5" t="n">
        <v>1</v>
      </c>
      <c r="I38" s="2" t="n">
        <v>15</v>
      </c>
      <c r="J38" s="5" t="inlineStr">
        <is>
          <t>FCA</t>
        </is>
      </c>
      <c r="K38" s="6" t="n">
        <v>45436</v>
      </c>
      <c r="L38" s="2" t="inlineStr">
        <is>
          <t>Kazanildi</t>
        </is>
      </c>
      <c r="M38" s="2" t="inlineStr"/>
    </row>
    <row r="39">
      <c r="A39" s="2" t="inlineStr">
        <is>
          <t>TKL-0038</t>
        </is>
      </c>
      <c r="B39" s="6" t="n">
        <v>45421</v>
      </c>
      <c r="C39" s="2" t="inlineStr">
        <is>
          <t>MUS-064</t>
        </is>
      </c>
      <c r="D39" s="2" t="inlineStr">
        <is>
          <t>ST-002</t>
        </is>
      </c>
      <c r="E39" s="2" t="inlineStr">
        <is>
          <t>Siparise Donustu</t>
        </is>
      </c>
      <c r="F39" s="3" t="n">
        <v>19796.62</v>
      </c>
      <c r="G39" s="2" t="inlineStr">
        <is>
          <t>EUR</t>
        </is>
      </c>
      <c r="H39" s="5" t="n">
        <v>1.0481</v>
      </c>
      <c r="I39" s="2" t="n">
        <v>20</v>
      </c>
      <c r="J39" s="5" t="inlineStr">
        <is>
          <t>FCA</t>
        </is>
      </c>
      <c r="K39" s="6" t="n">
        <v>45428</v>
      </c>
      <c r="L39" s="2" t="inlineStr">
        <is>
          <t>Kazanildi</t>
        </is>
      </c>
      <c r="M39" s="2" t="inlineStr"/>
    </row>
    <row r="40">
      <c r="A40" s="2" t="inlineStr">
        <is>
          <t>TKL-0039</t>
        </is>
      </c>
      <c r="B40" s="6" t="n">
        <v>45413</v>
      </c>
      <c r="C40" s="2" t="inlineStr">
        <is>
          <t>MUS-018</t>
        </is>
      </c>
      <c r="D40" s="2" t="inlineStr">
        <is>
          <t>ST-003</t>
        </is>
      </c>
      <c r="E40" s="2" t="inlineStr">
        <is>
          <t>Kaybedildi</t>
        </is>
      </c>
      <c r="F40" s="3" t="n">
        <v>17746.77</v>
      </c>
      <c r="G40" s="2" t="inlineStr">
        <is>
          <t>USD</t>
        </is>
      </c>
      <c r="H40" s="5" t="n">
        <v>1</v>
      </c>
      <c r="I40" s="2" t="n">
        <v>20</v>
      </c>
      <c r="J40" s="5" t="inlineStr">
        <is>
          <t>CIF</t>
        </is>
      </c>
      <c r="K40" s="6" t="n">
        <v>45420</v>
      </c>
      <c r="L40" s="2" t="inlineStr">
        <is>
          <t>Kaybedildi</t>
        </is>
      </c>
      <c r="M40" s="2" t="inlineStr">
        <is>
          <t>Termin Uzun</t>
        </is>
      </c>
    </row>
    <row r="41">
      <c r="A41" s="2" t="inlineStr">
        <is>
          <t>TKL-0040</t>
        </is>
      </c>
      <c r="B41" s="6" t="n">
        <v>45422</v>
      </c>
      <c r="C41" s="2" t="inlineStr">
        <is>
          <t>MUS-020</t>
        </is>
      </c>
      <c r="D41" s="2" t="inlineStr">
        <is>
          <t>ST-006</t>
        </is>
      </c>
      <c r="E41" s="2" t="inlineStr">
        <is>
          <t>Kaybedildi</t>
        </is>
      </c>
      <c r="F41" s="3" t="n">
        <v>34894.92</v>
      </c>
      <c r="G41" s="2" t="inlineStr">
        <is>
          <t>USD</t>
        </is>
      </c>
      <c r="H41" s="5" t="n">
        <v>1</v>
      </c>
      <c r="I41" s="2" t="n">
        <v>30</v>
      </c>
      <c r="J41" s="5" t="inlineStr">
        <is>
          <t>CFR</t>
        </is>
      </c>
      <c r="K41" s="6" t="n">
        <v>45427</v>
      </c>
      <c r="L41" s="2" t="inlineStr">
        <is>
          <t>Kaybedildi</t>
        </is>
      </c>
      <c r="M41" s="2" t="inlineStr">
        <is>
          <t>Termin Uzun</t>
        </is>
      </c>
    </row>
    <row r="42">
      <c r="A42" s="2" t="inlineStr">
        <is>
          <t>TKL-0041</t>
        </is>
      </c>
      <c r="B42" s="6" t="n">
        <v>45423</v>
      </c>
      <c r="C42" s="2" t="inlineStr">
        <is>
          <t>MUS-047</t>
        </is>
      </c>
      <c r="D42" s="2" t="inlineStr">
        <is>
          <t>ST-006</t>
        </is>
      </c>
      <c r="E42" s="2" t="inlineStr">
        <is>
          <t>Kaybedildi</t>
        </is>
      </c>
      <c r="F42" s="3" t="n">
        <v>50171.54</v>
      </c>
      <c r="G42" s="2" t="inlineStr">
        <is>
          <t>USD</t>
        </is>
      </c>
      <c r="H42" s="5" t="n">
        <v>1</v>
      </c>
      <c r="I42" s="2" t="n">
        <v>15</v>
      </c>
      <c r="J42" s="5" t="inlineStr">
        <is>
          <t>CFR</t>
        </is>
      </c>
      <c r="K42" s="6" t="n">
        <v>45428</v>
      </c>
      <c r="L42" s="2" t="inlineStr">
        <is>
          <t>Kaybedildi</t>
        </is>
      </c>
      <c r="M42" s="2" t="inlineStr">
        <is>
          <t>Termin Uzun</t>
        </is>
      </c>
    </row>
    <row r="43">
      <c r="A43" s="2" t="inlineStr">
        <is>
          <t>TKL-0042</t>
        </is>
      </c>
      <c r="B43" s="6" t="n">
        <v>45416</v>
      </c>
      <c r="C43" s="2" t="inlineStr">
        <is>
          <t>MUS-020</t>
        </is>
      </c>
      <c r="D43" s="2" t="inlineStr">
        <is>
          <t>ST-005</t>
        </is>
      </c>
      <c r="E43" s="2" t="inlineStr">
        <is>
          <t>Kaybedildi</t>
        </is>
      </c>
      <c r="F43" s="3" t="n">
        <v>11056.15</v>
      </c>
      <c r="G43" s="2" t="inlineStr">
        <is>
          <t>USD</t>
        </is>
      </c>
      <c r="H43" s="5" t="n">
        <v>1</v>
      </c>
      <c r="I43" s="2" t="n">
        <v>30</v>
      </c>
      <c r="J43" s="5" t="inlineStr">
        <is>
          <t>CFR</t>
        </is>
      </c>
      <c r="K43" s="6" t="n">
        <v>45436</v>
      </c>
      <c r="L43" s="2" t="inlineStr">
        <is>
          <t>Kaybedildi</t>
        </is>
      </c>
      <c r="M43" s="2" t="inlineStr">
        <is>
          <t>Fiyat Yuksek</t>
        </is>
      </c>
    </row>
    <row r="44">
      <c r="A44" s="2" t="inlineStr">
        <is>
          <t>TKL-0043</t>
        </is>
      </c>
      <c r="B44" s="6" t="n">
        <v>45424</v>
      </c>
      <c r="C44" s="2" t="inlineStr">
        <is>
          <t>MUS-007</t>
        </is>
      </c>
      <c r="D44" s="2" t="inlineStr">
        <is>
          <t>ST-004</t>
        </is>
      </c>
      <c r="E44" s="2" t="inlineStr">
        <is>
          <t>Kaybedildi</t>
        </is>
      </c>
      <c r="F44" s="3" t="n">
        <v>13878.23</v>
      </c>
      <c r="G44" s="2" t="inlineStr">
        <is>
          <t>USD</t>
        </is>
      </c>
      <c r="H44" s="5" t="n">
        <v>1</v>
      </c>
      <c r="I44" s="2" t="n">
        <v>30</v>
      </c>
      <c r="J44" s="5" t="inlineStr">
        <is>
          <t>CIF</t>
        </is>
      </c>
      <c r="K44" s="6" t="n">
        <v>45431</v>
      </c>
      <c r="L44" s="2" t="inlineStr">
        <is>
          <t>Kaybedildi</t>
        </is>
      </c>
      <c r="M44" s="2" t="inlineStr">
        <is>
          <t>Butce Ertelendi</t>
        </is>
      </c>
    </row>
    <row r="45">
      <c r="A45" s="2" t="inlineStr">
        <is>
          <t>TKL-0044</t>
        </is>
      </c>
      <c r="B45" s="6" t="n">
        <v>45435</v>
      </c>
      <c r="C45" s="2" t="inlineStr">
        <is>
          <t>MUS-011</t>
        </is>
      </c>
      <c r="D45" s="2" t="inlineStr">
        <is>
          <t>ST-004</t>
        </is>
      </c>
      <c r="E45" s="2" t="inlineStr">
        <is>
          <t>Kaybedildi</t>
        </is>
      </c>
      <c r="F45" s="3" t="n">
        <v>27169.2</v>
      </c>
      <c r="G45" s="2" t="inlineStr">
        <is>
          <t>USD</t>
        </is>
      </c>
      <c r="H45" s="5" t="n">
        <v>1</v>
      </c>
      <c r="I45" s="2" t="n">
        <v>30</v>
      </c>
      <c r="J45" s="5" t="inlineStr">
        <is>
          <t>CIF</t>
        </is>
      </c>
      <c r="K45" s="6" t="n">
        <v>45450</v>
      </c>
      <c r="L45" s="2" t="inlineStr">
        <is>
          <t>Kaybedildi</t>
        </is>
      </c>
      <c r="M45" s="2" t="inlineStr">
        <is>
          <t>Fiyat Yuksek</t>
        </is>
      </c>
    </row>
    <row r="46">
      <c r="A46" s="2" t="inlineStr">
        <is>
          <t>TKL-0045</t>
        </is>
      </c>
      <c r="B46" s="6" t="n">
        <v>45433</v>
      </c>
      <c r="C46" s="2" t="inlineStr">
        <is>
          <t>MUS-042</t>
        </is>
      </c>
      <c r="D46" s="2" t="inlineStr">
        <is>
          <t>ST-006</t>
        </is>
      </c>
      <c r="E46" s="2" t="inlineStr">
        <is>
          <t>Siparise Donustu</t>
        </is>
      </c>
      <c r="F46" s="3" t="n">
        <v>21816.1</v>
      </c>
      <c r="G46" s="2" t="inlineStr">
        <is>
          <t>USD</t>
        </is>
      </c>
      <c r="H46" s="5" t="n">
        <v>1</v>
      </c>
      <c r="I46" s="2" t="n">
        <v>45</v>
      </c>
      <c r="J46" s="5" t="inlineStr">
        <is>
          <t>CFR</t>
        </is>
      </c>
      <c r="K46" s="6" t="n">
        <v>45459</v>
      </c>
      <c r="L46" s="2" t="inlineStr">
        <is>
          <t>Kazanildi</t>
        </is>
      </c>
      <c r="M46" s="2" t="inlineStr"/>
    </row>
    <row r="47">
      <c r="A47" s="2" t="inlineStr">
        <is>
          <t>TKL-0046</t>
        </is>
      </c>
      <c r="B47" s="6" t="n">
        <v>45426</v>
      </c>
      <c r="C47" s="2" t="inlineStr">
        <is>
          <t>MUS-063</t>
        </is>
      </c>
      <c r="D47" s="2" t="inlineStr">
        <is>
          <t>ST-002</t>
        </is>
      </c>
      <c r="E47" s="2" t="inlineStr">
        <is>
          <t>Siparise Donustu</t>
        </is>
      </c>
      <c r="F47" s="3" t="n">
        <v>34674.39</v>
      </c>
      <c r="G47" s="2" t="inlineStr">
        <is>
          <t>EUR</t>
        </is>
      </c>
      <c r="H47" s="5" t="n">
        <v>1.0481</v>
      </c>
      <c r="I47" s="2" t="n">
        <v>30</v>
      </c>
      <c r="J47" s="5" t="inlineStr">
        <is>
          <t>DAP</t>
        </is>
      </c>
      <c r="K47" s="6" t="n">
        <v>45448</v>
      </c>
      <c r="L47" s="2" t="inlineStr">
        <is>
          <t>Kazanildi</t>
        </is>
      </c>
      <c r="M47" s="2" t="inlineStr"/>
    </row>
    <row r="48">
      <c r="A48" s="2" t="inlineStr">
        <is>
          <t>TKL-0047</t>
        </is>
      </c>
      <c r="B48" s="6" t="n">
        <v>45423</v>
      </c>
      <c r="C48" s="2" t="inlineStr">
        <is>
          <t>MUS-028</t>
        </is>
      </c>
      <c r="D48" s="2" t="inlineStr">
        <is>
          <t>ST-002</t>
        </is>
      </c>
      <c r="E48" s="2" t="inlineStr">
        <is>
          <t>Siparise Donustu</t>
        </is>
      </c>
      <c r="F48" s="3" t="n">
        <v>36660.32</v>
      </c>
      <c r="G48" s="2" t="inlineStr">
        <is>
          <t>EUR</t>
        </is>
      </c>
      <c r="H48" s="5" t="n">
        <v>1.0481</v>
      </c>
      <c r="I48" s="2" t="n">
        <v>15</v>
      </c>
      <c r="J48" s="5" t="inlineStr">
        <is>
          <t>DAP</t>
        </is>
      </c>
      <c r="K48" s="6" t="n">
        <v>45434</v>
      </c>
      <c r="L48" s="2" t="inlineStr">
        <is>
          <t>Kazanildi</t>
        </is>
      </c>
      <c r="M48" s="2" t="inlineStr"/>
    </row>
    <row r="49">
      <c r="A49" s="2" t="inlineStr">
        <is>
          <t>TKL-0048</t>
        </is>
      </c>
      <c r="B49" s="6" t="n">
        <v>45437</v>
      </c>
      <c r="C49" s="2" t="inlineStr">
        <is>
          <t>MUS-010</t>
        </is>
      </c>
      <c r="D49" s="2" t="inlineStr">
        <is>
          <t>ST-004</t>
        </is>
      </c>
      <c r="E49" s="2" t="inlineStr">
        <is>
          <t>Siparise Donustu</t>
        </is>
      </c>
      <c r="F49" s="3" t="n">
        <v>24966.69</v>
      </c>
      <c r="G49" s="2" t="inlineStr">
        <is>
          <t>USD</t>
        </is>
      </c>
      <c r="H49" s="5" t="n">
        <v>1</v>
      </c>
      <c r="I49" s="2" t="n">
        <v>45</v>
      </c>
      <c r="J49" s="5" t="inlineStr">
        <is>
          <t>CIF</t>
        </is>
      </c>
      <c r="K49" s="6" t="n">
        <v>45444</v>
      </c>
      <c r="L49" s="2" t="inlineStr">
        <is>
          <t>Kazanildi</t>
        </is>
      </c>
      <c r="M49" s="2" t="inlineStr"/>
    </row>
    <row r="50">
      <c r="A50" s="2" t="inlineStr">
        <is>
          <t>TKL-0049</t>
        </is>
      </c>
      <c r="B50" s="6" t="n">
        <v>45456</v>
      </c>
      <c r="C50" s="2" t="inlineStr">
        <is>
          <t>MUS-048</t>
        </is>
      </c>
      <c r="D50" s="2" t="inlineStr">
        <is>
          <t>ST-001</t>
        </is>
      </c>
      <c r="E50" s="2" t="inlineStr">
        <is>
          <t>Siparise Donustu</t>
        </is>
      </c>
      <c r="F50" s="3" t="n">
        <v>10649.32</v>
      </c>
      <c r="G50" s="2" t="inlineStr">
        <is>
          <t>EUR</t>
        </is>
      </c>
      <c r="H50" s="5" t="n">
        <v>1.0302</v>
      </c>
      <c r="I50" s="2" t="n">
        <v>20</v>
      </c>
      <c r="J50" s="5" t="inlineStr">
        <is>
          <t>DAP</t>
        </is>
      </c>
      <c r="K50" s="6" t="n">
        <v>45468</v>
      </c>
      <c r="L50" s="2" t="inlineStr">
        <is>
          <t>Kazanildi</t>
        </is>
      </c>
      <c r="M50" s="2" t="inlineStr"/>
    </row>
    <row r="51">
      <c r="A51" s="2" t="inlineStr">
        <is>
          <t>TKL-0050</t>
        </is>
      </c>
      <c r="B51" s="6" t="n">
        <v>45445</v>
      </c>
      <c r="C51" s="2" t="inlineStr">
        <is>
          <t>MUS-015</t>
        </is>
      </c>
      <c r="D51" s="2" t="inlineStr">
        <is>
          <t>ST-002</t>
        </is>
      </c>
      <c r="E51" s="2" t="inlineStr">
        <is>
          <t>Kaybedildi</t>
        </is>
      </c>
      <c r="F51" s="3" t="n">
        <v>26455.83</v>
      </c>
      <c r="G51" s="2" t="inlineStr">
        <is>
          <t>EUR</t>
        </is>
      </c>
      <c r="H51" s="5" t="n">
        <v>1.0302</v>
      </c>
      <c r="I51" s="2" t="n">
        <v>20</v>
      </c>
      <c r="J51" s="5" t="inlineStr">
        <is>
          <t>DAP</t>
        </is>
      </c>
      <c r="K51" s="6" t="n">
        <v>45454</v>
      </c>
      <c r="L51" s="2" t="inlineStr">
        <is>
          <t>Kaybedildi</t>
        </is>
      </c>
      <c r="M51" s="2" t="inlineStr">
        <is>
          <t>Termin Uzun</t>
        </is>
      </c>
    </row>
    <row r="52">
      <c r="A52" s="2" t="inlineStr">
        <is>
          <t>TKL-0051</t>
        </is>
      </c>
      <c r="B52" s="6" t="n">
        <v>45458</v>
      </c>
      <c r="C52" s="2" t="inlineStr">
        <is>
          <t>MUS-005</t>
        </is>
      </c>
      <c r="D52" s="2" t="inlineStr">
        <is>
          <t>ST-002</t>
        </is>
      </c>
      <c r="E52" s="2" t="inlineStr">
        <is>
          <t>Kaybedildi</t>
        </is>
      </c>
      <c r="F52" s="3" t="n">
        <v>49911.7</v>
      </c>
      <c r="G52" s="2" t="inlineStr">
        <is>
          <t>EUR</t>
        </is>
      </c>
      <c r="H52" s="5" t="n">
        <v>1.0302</v>
      </c>
      <c r="I52" s="2" t="n">
        <v>30</v>
      </c>
      <c r="J52" s="5" t="inlineStr">
        <is>
          <t>DAP</t>
        </is>
      </c>
      <c r="K52" s="6" t="n">
        <v>45468</v>
      </c>
      <c r="L52" s="2" t="inlineStr">
        <is>
          <t>Kaybedildi</t>
        </is>
      </c>
      <c r="M52" s="2" t="inlineStr">
        <is>
          <t>Termin Uzun</t>
        </is>
      </c>
    </row>
    <row r="53">
      <c r="A53" s="2" t="inlineStr">
        <is>
          <t>TKL-0052</t>
        </is>
      </c>
      <c r="B53" s="6" t="n">
        <v>45455</v>
      </c>
      <c r="C53" s="2" t="inlineStr">
        <is>
          <t>MUS-070</t>
        </is>
      </c>
      <c r="D53" s="2" t="inlineStr">
        <is>
          <t>ST-001</t>
        </is>
      </c>
      <c r="E53" s="2" t="inlineStr">
        <is>
          <t>Kaybedildi</t>
        </is>
      </c>
      <c r="F53" s="3" t="n">
        <v>29278.07</v>
      </c>
      <c r="G53" s="2" t="inlineStr">
        <is>
          <t>EUR</t>
        </is>
      </c>
      <c r="H53" s="5" t="n">
        <v>1.0302</v>
      </c>
      <c r="I53" s="2" t="n">
        <v>20</v>
      </c>
      <c r="J53" s="5" t="inlineStr">
        <is>
          <t>DAP</t>
        </is>
      </c>
      <c r="K53" s="6" t="n">
        <v>45472</v>
      </c>
      <c r="L53" s="2" t="inlineStr">
        <is>
          <t>Kaybedildi</t>
        </is>
      </c>
      <c r="M53" s="2" t="inlineStr">
        <is>
          <t>Butce Ertelendi</t>
        </is>
      </c>
    </row>
    <row r="54">
      <c r="A54" s="2" t="inlineStr">
        <is>
          <t>TKL-0053</t>
        </is>
      </c>
      <c r="B54" s="6" t="n">
        <v>45462</v>
      </c>
      <c r="C54" s="2" t="inlineStr">
        <is>
          <t>MUS-030</t>
        </is>
      </c>
      <c r="D54" s="2" t="inlineStr">
        <is>
          <t>ST-002</t>
        </is>
      </c>
      <c r="E54" s="2" t="inlineStr">
        <is>
          <t>Kaybedildi</t>
        </is>
      </c>
      <c r="F54" s="3" t="n">
        <v>39858.69</v>
      </c>
      <c r="G54" s="2" t="inlineStr">
        <is>
          <t>EUR</t>
        </is>
      </c>
      <c r="H54" s="5" t="n">
        <v>1.0302</v>
      </c>
      <c r="I54" s="2" t="n">
        <v>20</v>
      </c>
      <c r="J54" s="5" t="inlineStr">
        <is>
          <t>DAP</t>
        </is>
      </c>
      <c r="K54" s="6" t="n">
        <v>45476</v>
      </c>
      <c r="L54" s="2" t="inlineStr">
        <is>
          <t>Kaybedildi</t>
        </is>
      </c>
      <c r="M54" s="2" t="inlineStr">
        <is>
          <t>Rakipte Teknik Onay</t>
        </is>
      </c>
    </row>
    <row r="55">
      <c r="A55" s="2" t="inlineStr">
        <is>
          <t>TKL-0054</t>
        </is>
      </c>
      <c r="B55" s="6" t="n">
        <v>45469</v>
      </c>
      <c r="C55" s="2" t="inlineStr">
        <is>
          <t>MUS-051</t>
        </is>
      </c>
      <c r="D55" s="2" t="inlineStr">
        <is>
          <t>ST-001</t>
        </is>
      </c>
      <c r="E55" s="2" t="inlineStr">
        <is>
          <t>Siparise Donustu</t>
        </is>
      </c>
      <c r="F55" s="3" t="n">
        <v>3446.58</v>
      </c>
      <c r="G55" s="2" t="inlineStr">
        <is>
          <t>EUR</t>
        </is>
      </c>
      <c r="H55" s="5" t="n">
        <v>1.0302</v>
      </c>
      <c r="I55" s="2" t="n">
        <v>20</v>
      </c>
      <c r="J55" s="5" t="inlineStr">
        <is>
          <t>DAP</t>
        </is>
      </c>
      <c r="K55" s="6" t="n">
        <v>45475</v>
      </c>
      <c r="L55" s="2" t="inlineStr">
        <is>
          <t>Kazanildi</t>
        </is>
      </c>
      <c r="M55" s="2" t="inlineStr"/>
    </row>
    <row r="56">
      <c r="A56" s="2" t="inlineStr">
        <is>
          <t>TKL-0055</t>
        </is>
      </c>
      <c r="B56" s="6" t="n">
        <v>45473</v>
      </c>
      <c r="C56" s="2" t="inlineStr">
        <is>
          <t>MUS-015</t>
        </is>
      </c>
      <c r="D56" s="2" t="inlineStr">
        <is>
          <t>ST-002</t>
        </is>
      </c>
      <c r="E56" s="2" t="inlineStr">
        <is>
          <t>Siparise Donustu</t>
        </is>
      </c>
      <c r="F56" s="3" t="n">
        <v>12984.65</v>
      </c>
      <c r="G56" s="2" t="inlineStr">
        <is>
          <t>EUR</t>
        </is>
      </c>
      <c r="H56" s="5" t="n">
        <v>1.0302</v>
      </c>
      <c r="I56" s="2" t="n">
        <v>30</v>
      </c>
      <c r="J56" s="5" t="inlineStr">
        <is>
          <t>DAP</t>
        </is>
      </c>
      <c r="K56" s="6" t="n">
        <v>45492</v>
      </c>
      <c r="L56" s="2" t="inlineStr">
        <is>
          <t>Kazanildi</t>
        </is>
      </c>
      <c r="M56" s="2" t="inlineStr"/>
    </row>
    <row r="57">
      <c r="A57" s="2" t="inlineStr">
        <is>
          <t>TKL-0056</t>
        </is>
      </c>
      <c r="B57" s="6" t="n">
        <v>45444</v>
      </c>
      <c r="C57" s="2" t="inlineStr">
        <is>
          <t>MUS-009</t>
        </is>
      </c>
      <c r="D57" s="2" t="inlineStr">
        <is>
          <t>ST-002</t>
        </is>
      </c>
      <c r="E57" s="2" t="inlineStr">
        <is>
          <t>Kaybedildi</t>
        </is>
      </c>
      <c r="F57" s="3" t="n">
        <v>47436</v>
      </c>
      <c r="G57" s="2" t="inlineStr">
        <is>
          <t>EUR</t>
        </is>
      </c>
      <c r="H57" s="5" t="n">
        <v>1.0302</v>
      </c>
      <c r="I57" s="2" t="n">
        <v>15</v>
      </c>
      <c r="J57" s="5" t="inlineStr">
        <is>
          <t>DAP</t>
        </is>
      </c>
      <c r="K57" s="6" t="n">
        <v>45452</v>
      </c>
      <c r="L57" s="2" t="inlineStr">
        <is>
          <t>Kaybedildi</t>
        </is>
      </c>
      <c r="M57" s="2" t="inlineStr">
        <is>
          <t>Termin Uzun</t>
        </is>
      </c>
    </row>
    <row r="58">
      <c r="A58" s="2" t="inlineStr">
        <is>
          <t>TKL-0057</t>
        </is>
      </c>
      <c r="B58" s="6" t="n">
        <v>45451</v>
      </c>
      <c r="C58" s="2" t="inlineStr">
        <is>
          <t>MUS-010</t>
        </is>
      </c>
      <c r="D58" s="2" t="inlineStr">
        <is>
          <t>ST-004</t>
        </is>
      </c>
      <c r="E58" s="2" t="inlineStr">
        <is>
          <t>Kaybedildi</t>
        </is>
      </c>
      <c r="F58" s="3" t="n">
        <v>21004.21</v>
      </c>
      <c r="G58" s="2" t="inlineStr">
        <is>
          <t>USD</t>
        </is>
      </c>
      <c r="H58" s="5" t="n">
        <v>1</v>
      </c>
      <c r="I58" s="2" t="n">
        <v>15</v>
      </c>
      <c r="J58" s="5" t="inlineStr">
        <is>
          <t>CIF</t>
        </is>
      </c>
      <c r="K58" s="6" t="n">
        <v>45458</v>
      </c>
      <c r="L58" s="2" t="inlineStr">
        <is>
          <t>Kaybedildi</t>
        </is>
      </c>
      <c r="M58" s="2" t="inlineStr">
        <is>
          <t>Fiyat Yuksek</t>
        </is>
      </c>
    </row>
    <row r="59">
      <c r="A59" s="2" t="inlineStr">
        <is>
          <t>TKL-0058</t>
        </is>
      </c>
      <c r="B59" s="6" t="n">
        <v>45473</v>
      </c>
      <c r="C59" s="2" t="inlineStr">
        <is>
          <t>MUS-054</t>
        </is>
      </c>
      <c r="D59" s="2" t="inlineStr">
        <is>
          <t>ST-004</t>
        </is>
      </c>
      <c r="E59" s="2" t="inlineStr">
        <is>
          <t>Siparise Donustu</t>
        </is>
      </c>
      <c r="F59" s="3" t="n">
        <v>22130.75</v>
      </c>
      <c r="G59" s="2" t="inlineStr">
        <is>
          <t>USD</t>
        </is>
      </c>
      <c r="H59" s="5" t="n">
        <v>1</v>
      </c>
      <c r="I59" s="2" t="n">
        <v>20</v>
      </c>
      <c r="J59" s="5" t="inlineStr">
        <is>
          <t>CIF</t>
        </is>
      </c>
      <c r="K59" s="6" t="n">
        <v>45483</v>
      </c>
      <c r="L59" s="2" t="inlineStr">
        <is>
          <t>Kazanildi</t>
        </is>
      </c>
      <c r="M59" s="2" t="inlineStr"/>
    </row>
    <row r="60">
      <c r="A60" s="2" t="inlineStr">
        <is>
          <t>TKL-0059</t>
        </is>
      </c>
      <c r="B60" s="6" t="n">
        <v>45470</v>
      </c>
      <c r="C60" s="2" t="inlineStr">
        <is>
          <t>MUS-011</t>
        </is>
      </c>
      <c r="D60" s="2" t="inlineStr">
        <is>
          <t>ST-003</t>
        </is>
      </c>
      <c r="E60" s="2" t="inlineStr">
        <is>
          <t>Siparise Donustu</t>
        </is>
      </c>
      <c r="F60" s="3" t="n">
        <v>11014.09</v>
      </c>
      <c r="G60" s="2" t="inlineStr">
        <is>
          <t>USD</t>
        </is>
      </c>
      <c r="H60" s="5" t="n">
        <v>1</v>
      </c>
      <c r="I60" s="2" t="n">
        <v>15</v>
      </c>
      <c r="J60" s="5" t="inlineStr">
        <is>
          <t>CIF</t>
        </is>
      </c>
      <c r="K60" s="6" t="n">
        <v>45485</v>
      </c>
      <c r="L60" s="2" t="inlineStr">
        <is>
          <t>Kazanildi</t>
        </is>
      </c>
      <c r="M60" s="2" t="inlineStr"/>
    </row>
    <row r="61">
      <c r="A61" s="2" t="inlineStr">
        <is>
          <t>TKL-0060</t>
        </is>
      </c>
      <c r="B61" s="6" t="n">
        <v>45459</v>
      </c>
      <c r="C61" s="2" t="inlineStr">
        <is>
          <t>MUS-067</t>
        </is>
      </c>
      <c r="D61" s="2" t="inlineStr">
        <is>
          <t>ST-003</t>
        </is>
      </c>
      <c r="E61" s="2" t="inlineStr">
        <is>
          <t>Siparise Donustu</t>
        </is>
      </c>
      <c r="F61" s="3" t="n">
        <v>43502.25</v>
      </c>
      <c r="G61" s="2" t="inlineStr">
        <is>
          <t>USD</t>
        </is>
      </c>
      <c r="H61" s="5" t="n">
        <v>1</v>
      </c>
      <c r="I61" s="2" t="n">
        <v>30</v>
      </c>
      <c r="J61" s="5" t="inlineStr">
        <is>
          <t>CIF</t>
        </is>
      </c>
      <c r="K61" s="6" t="n">
        <v>45486</v>
      </c>
      <c r="L61" s="2" t="inlineStr">
        <is>
          <t>Kazanildi</t>
        </is>
      </c>
      <c r="M61" s="2" t="inlineStr"/>
    </row>
    <row r="62">
      <c r="A62" s="2" t="inlineStr">
        <is>
          <t>TKL-0061</t>
        </is>
      </c>
      <c r="B62" s="6" t="n">
        <v>45454</v>
      </c>
      <c r="C62" s="2" t="inlineStr">
        <is>
          <t>MUS-082</t>
        </is>
      </c>
      <c r="D62" s="2" t="inlineStr">
        <is>
          <t>ST-001</t>
        </is>
      </c>
      <c r="E62" s="2" t="inlineStr">
        <is>
          <t>Siparise Donustu</t>
        </is>
      </c>
      <c r="F62" s="3" t="n">
        <v>8619.799999999999</v>
      </c>
      <c r="G62" s="2" t="inlineStr">
        <is>
          <t>EUR</t>
        </is>
      </c>
      <c r="H62" s="5" t="n">
        <v>1.0302</v>
      </c>
      <c r="I62" s="2" t="n">
        <v>15</v>
      </c>
      <c r="J62" s="5" t="inlineStr">
        <is>
          <t>DAP</t>
        </is>
      </c>
      <c r="K62" s="6" t="n">
        <v>45465</v>
      </c>
      <c r="L62" s="2" t="inlineStr">
        <is>
          <t>Kazanildi</t>
        </is>
      </c>
      <c r="M62" s="2" t="inlineStr"/>
    </row>
    <row r="63">
      <c r="A63" s="2" t="inlineStr">
        <is>
          <t>TKL-0062</t>
        </is>
      </c>
      <c r="B63" s="6" t="n">
        <v>45468</v>
      </c>
      <c r="C63" s="2" t="inlineStr">
        <is>
          <t>MUS-070</t>
        </is>
      </c>
      <c r="D63" s="2" t="inlineStr">
        <is>
          <t>ST-002</t>
        </is>
      </c>
      <c r="E63" s="2" t="inlineStr">
        <is>
          <t>Siparise Donustu</t>
        </is>
      </c>
      <c r="F63" s="3" t="n">
        <v>7548.02</v>
      </c>
      <c r="G63" s="2" t="inlineStr">
        <is>
          <t>EUR</t>
        </is>
      </c>
      <c r="H63" s="5" t="n">
        <v>1.0302</v>
      </c>
      <c r="I63" s="2" t="n">
        <v>45</v>
      </c>
      <c r="J63" s="5" t="inlineStr">
        <is>
          <t>DAP</t>
        </is>
      </c>
      <c r="K63" s="6" t="n">
        <v>45478</v>
      </c>
      <c r="L63" s="2" t="inlineStr">
        <is>
          <t>Kazanildi</t>
        </is>
      </c>
      <c r="M63" s="2" t="inlineStr"/>
    </row>
    <row r="64">
      <c r="A64" s="2" t="inlineStr">
        <is>
          <t>TKL-0063</t>
        </is>
      </c>
      <c r="B64" s="6" t="n">
        <v>45454</v>
      </c>
      <c r="C64" s="2" t="inlineStr">
        <is>
          <t>MUS-046</t>
        </is>
      </c>
      <c r="D64" s="2" t="inlineStr">
        <is>
          <t>ST-001</t>
        </is>
      </c>
      <c r="E64" s="2" t="inlineStr">
        <is>
          <t>Kaybedildi</t>
        </is>
      </c>
      <c r="F64" s="3" t="n">
        <v>8112.96</v>
      </c>
      <c r="G64" s="2" t="inlineStr">
        <is>
          <t>EUR</t>
        </is>
      </c>
      <c r="H64" s="5" t="n">
        <v>1.0302</v>
      </c>
      <c r="I64" s="2" t="n">
        <v>20</v>
      </c>
      <c r="J64" s="5" t="inlineStr">
        <is>
          <t>FCA</t>
        </is>
      </c>
      <c r="K64" s="6" t="n">
        <v>45465</v>
      </c>
      <c r="L64" s="2" t="inlineStr">
        <is>
          <t>Kaybedildi</t>
        </is>
      </c>
      <c r="M64" s="2" t="inlineStr">
        <is>
          <t>Fiyat Yuksek</t>
        </is>
      </c>
    </row>
    <row r="65">
      <c r="A65" s="2" t="inlineStr">
        <is>
          <t>TKL-0064</t>
        </is>
      </c>
      <c r="B65" s="6" t="n">
        <v>45459</v>
      </c>
      <c r="C65" s="2" t="inlineStr">
        <is>
          <t>MUS-069</t>
        </is>
      </c>
      <c r="D65" s="2" t="inlineStr">
        <is>
          <t>ST-002</t>
        </is>
      </c>
      <c r="E65" s="2" t="inlineStr">
        <is>
          <t>Siparise Donustu</t>
        </is>
      </c>
      <c r="F65" s="3" t="n">
        <v>1572.84</v>
      </c>
      <c r="G65" s="2" t="inlineStr">
        <is>
          <t>EUR</t>
        </is>
      </c>
      <c r="H65" s="5" t="n">
        <v>1.0302</v>
      </c>
      <c r="I65" s="2" t="n">
        <v>30</v>
      </c>
      <c r="J65" s="5" t="inlineStr">
        <is>
          <t>FCA</t>
        </is>
      </c>
      <c r="K65" s="6" t="n">
        <v>45465</v>
      </c>
      <c r="L65" s="2" t="inlineStr">
        <is>
          <t>Kazanildi</t>
        </is>
      </c>
      <c r="M65" s="2" t="inlineStr"/>
    </row>
    <row r="66">
      <c r="A66" s="2" t="inlineStr">
        <is>
          <t>TKL-0065</t>
        </is>
      </c>
      <c r="B66" s="6" t="n">
        <v>45444</v>
      </c>
      <c r="C66" s="2" t="inlineStr">
        <is>
          <t>MUS-020</t>
        </is>
      </c>
      <c r="D66" s="2" t="inlineStr">
        <is>
          <t>ST-005</t>
        </is>
      </c>
      <c r="E66" s="2" t="inlineStr">
        <is>
          <t>Kaybedildi</t>
        </is>
      </c>
      <c r="F66" s="3" t="n">
        <v>45746.91</v>
      </c>
      <c r="G66" s="2" t="inlineStr">
        <is>
          <t>USD</t>
        </is>
      </c>
      <c r="H66" s="5" t="n">
        <v>1</v>
      </c>
      <c r="I66" s="2" t="n">
        <v>30</v>
      </c>
      <c r="J66" s="5" t="inlineStr">
        <is>
          <t>CFR</t>
        </is>
      </c>
      <c r="K66" s="6" t="n">
        <v>45464</v>
      </c>
      <c r="L66" s="2" t="inlineStr">
        <is>
          <t>Kaybedildi</t>
        </is>
      </c>
      <c r="M66" s="2" t="inlineStr">
        <is>
          <t>Termin Uzun</t>
        </is>
      </c>
    </row>
    <row r="67">
      <c r="A67" s="2" t="inlineStr">
        <is>
          <t>TKL-0066</t>
        </is>
      </c>
      <c r="B67" s="6" t="n">
        <v>45446</v>
      </c>
      <c r="C67" s="2" t="inlineStr">
        <is>
          <t>MUS-001</t>
        </is>
      </c>
      <c r="D67" s="2" t="inlineStr">
        <is>
          <t>ST-006</t>
        </is>
      </c>
      <c r="E67" s="2" t="inlineStr">
        <is>
          <t>Kaybedildi</t>
        </is>
      </c>
      <c r="F67" s="3" t="n">
        <v>72539.08</v>
      </c>
      <c r="G67" s="2" t="inlineStr">
        <is>
          <t>USD</t>
        </is>
      </c>
      <c r="H67" s="5" t="n">
        <v>1</v>
      </c>
      <c r="I67" s="2" t="n">
        <v>30</v>
      </c>
      <c r="J67" s="5" t="inlineStr">
        <is>
          <t>CFR</t>
        </is>
      </c>
      <c r="K67" s="6" t="n">
        <v>45466</v>
      </c>
      <c r="L67" s="2" t="inlineStr">
        <is>
          <t>Kaybedildi</t>
        </is>
      </c>
      <c r="M67" s="2" t="inlineStr">
        <is>
          <t>Butce Ertelendi</t>
        </is>
      </c>
    </row>
    <row r="68">
      <c r="A68" s="2" t="inlineStr">
        <is>
          <t>TKL-0067</t>
        </is>
      </c>
      <c r="B68" s="6" t="n">
        <v>45444</v>
      </c>
      <c r="C68" s="2" t="inlineStr">
        <is>
          <t>MUS-039</t>
        </is>
      </c>
      <c r="D68" s="2" t="inlineStr">
        <is>
          <t>ST-003</t>
        </is>
      </c>
      <c r="E68" s="2" t="inlineStr">
        <is>
          <t>Siparise Donustu</t>
        </is>
      </c>
      <c r="F68" s="3" t="n">
        <v>29786.97</v>
      </c>
      <c r="G68" s="2" t="inlineStr">
        <is>
          <t>USD</t>
        </is>
      </c>
      <c r="H68" s="5" t="n">
        <v>1</v>
      </c>
      <c r="I68" s="2" t="n">
        <v>15</v>
      </c>
      <c r="J68" s="5" t="inlineStr">
        <is>
          <t>CIF</t>
        </is>
      </c>
      <c r="K68" s="6" t="n">
        <v>45459</v>
      </c>
      <c r="L68" s="2" t="inlineStr">
        <is>
          <t>Kazanildi</t>
        </is>
      </c>
      <c r="M68" s="2" t="inlineStr"/>
    </row>
    <row r="69">
      <c r="A69" s="2" t="inlineStr">
        <is>
          <t>TKL-0068</t>
        </is>
      </c>
      <c r="B69" s="6" t="n">
        <v>45458</v>
      </c>
      <c r="C69" s="2" t="inlineStr">
        <is>
          <t>MUS-028</t>
        </is>
      </c>
      <c r="D69" s="2" t="inlineStr">
        <is>
          <t>ST-001</t>
        </is>
      </c>
      <c r="E69" s="2" t="inlineStr">
        <is>
          <t>Kaybedildi</t>
        </is>
      </c>
      <c r="F69" s="3" t="n">
        <v>6627.18</v>
      </c>
      <c r="G69" s="2" t="inlineStr">
        <is>
          <t>EUR</t>
        </is>
      </c>
      <c r="H69" s="5" t="n">
        <v>1.0302</v>
      </c>
      <c r="I69" s="2" t="n">
        <v>20</v>
      </c>
      <c r="J69" s="5" t="inlineStr">
        <is>
          <t>DAP</t>
        </is>
      </c>
      <c r="K69" s="6" t="n">
        <v>45466</v>
      </c>
      <c r="L69" s="2" t="inlineStr">
        <is>
          <t>Kaybedildi</t>
        </is>
      </c>
      <c r="M69" s="2" t="inlineStr">
        <is>
          <t>Fiyat Yuksek</t>
        </is>
      </c>
    </row>
    <row r="70">
      <c r="A70" s="2" t="inlineStr">
        <is>
          <t>TKL-0069</t>
        </is>
      </c>
      <c r="B70" s="6" t="n">
        <v>45454</v>
      </c>
      <c r="C70" s="2" t="inlineStr">
        <is>
          <t>MUS-051</t>
        </is>
      </c>
      <c r="D70" s="2" t="inlineStr">
        <is>
          <t>ST-002</t>
        </is>
      </c>
      <c r="E70" s="2" t="inlineStr">
        <is>
          <t>Kaybedildi</t>
        </is>
      </c>
      <c r="F70" s="3" t="n">
        <v>62902.44</v>
      </c>
      <c r="G70" s="2" t="inlineStr">
        <is>
          <t>EUR</t>
        </is>
      </c>
      <c r="H70" s="5" t="n">
        <v>1.0302</v>
      </c>
      <c r="I70" s="2" t="n">
        <v>15</v>
      </c>
      <c r="J70" s="5" t="inlineStr">
        <is>
          <t>DAP</t>
        </is>
      </c>
      <c r="K70" s="6" t="n">
        <v>45463</v>
      </c>
      <c r="L70" s="2" t="inlineStr">
        <is>
          <t>Kaybedildi</t>
        </is>
      </c>
      <c r="M70" s="2" t="inlineStr">
        <is>
          <t>Rakipte Teknik Onay</t>
        </is>
      </c>
    </row>
    <row r="71">
      <c r="A71" s="2" t="inlineStr">
        <is>
          <t>TKL-0070</t>
        </is>
      </c>
      <c r="B71" s="6" t="n">
        <v>45452</v>
      </c>
      <c r="C71" s="2" t="inlineStr">
        <is>
          <t>MUS-041</t>
        </is>
      </c>
      <c r="D71" s="2" t="inlineStr">
        <is>
          <t>ST-001</t>
        </is>
      </c>
      <c r="E71" s="2" t="inlineStr">
        <is>
          <t>Kaybedildi</t>
        </is>
      </c>
      <c r="F71" s="3" t="n">
        <v>47194.26</v>
      </c>
      <c r="G71" s="2" t="inlineStr">
        <is>
          <t>EUR</t>
        </is>
      </c>
      <c r="H71" s="5" t="n">
        <v>1.0302</v>
      </c>
      <c r="I71" s="2" t="n">
        <v>15</v>
      </c>
      <c r="J71" s="5" t="inlineStr">
        <is>
          <t>DAP</t>
        </is>
      </c>
      <c r="K71" s="6" t="n">
        <v>45464</v>
      </c>
      <c r="L71" s="2" t="inlineStr">
        <is>
          <t>Kaybedildi</t>
        </is>
      </c>
      <c r="M71" s="2" t="inlineStr">
        <is>
          <t>Fiyat Yuksek</t>
        </is>
      </c>
    </row>
    <row r="72">
      <c r="A72" s="2" t="inlineStr">
        <is>
          <t>TKL-0071</t>
        </is>
      </c>
      <c r="B72" s="6" t="n">
        <v>45469</v>
      </c>
      <c r="C72" s="2" t="inlineStr">
        <is>
          <t>MUS-013</t>
        </is>
      </c>
      <c r="D72" s="2" t="inlineStr">
        <is>
          <t>ST-001</t>
        </is>
      </c>
      <c r="E72" s="2" t="inlineStr">
        <is>
          <t>Siparise Donustu</t>
        </is>
      </c>
      <c r="F72" s="3" t="n">
        <v>19639.9</v>
      </c>
      <c r="G72" s="2" t="inlineStr">
        <is>
          <t>EUR</t>
        </is>
      </c>
      <c r="H72" s="5" t="n">
        <v>1.0302</v>
      </c>
      <c r="I72" s="2" t="n">
        <v>30</v>
      </c>
      <c r="J72" s="5" t="inlineStr">
        <is>
          <t>FCA</t>
        </is>
      </c>
      <c r="K72" s="6" t="n">
        <v>45489</v>
      </c>
      <c r="L72" s="2" t="inlineStr">
        <is>
          <t>Kazanildi</t>
        </is>
      </c>
      <c r="M72" s="2" t="inlineStr"/>
    </row>
    <row r="73">
      <c r="A73" s="2" t="inlineStr">
        <is>
          <t>TKL-0072</t>
        </is>
      </c>
      <c r="B73" s="6" t="n">
        <v>45459</v>
      </c>
      <c r="C73" s="2" t="inlineStr">
        <is>
          <t>MUS-041</t>
        </is>
      </c>
      <c r="D73" s="2" t="inlineStr">
        <is>
          <t>ST-002</t>
        </is>
      </c>
      <c r="E73" s="2" t="inlineStr">
        <is>
          <t>Siparise Donustu</t>
        </is>
      </c>
      <c r="F73" s="3" t="n">
        <v>112163.97</v>
      </c>
      <c r="G73" s="2" t="inlineStr">
        <is>
          <t>EUR</t>
        </is>
      </c>
      <c r="H73" s="5" t="n">
        <v>1.0302</v>
      </c>
      <c r="I73" s="2" t="n">
        <v>30</v>
      </c>
      <c r="J73" s="5" t="inlineStr">
        <is>
          <t>DAP</t>
        </is>
      </c>
      <c r="K73" s="6" t="n">
        <v>45464</v>
      </c>
      <c r="L73" s="2" t="inlineStr">
        <is>
          <t>Kazanildi</t>
        </is>
      </c>
      <c r="M73" s="2" t="inlineStr"/>
    </row>
    <row r="74">
      <c r="A74" s="2" t="inlineStr">
        <is>
          <t>TKL-0073</t>
        </is>
      </c>
      <c r="B74" s="6" t="n">
        <v>45447</v>
      </c>
      <c r="C74" s="2" t="inlineStr">
        <is>
          <t>MUS-063</t>
        </is>
      </c>
      <c r="D74" s="2" t="inlineStr">
        <is>
          <t>ST-002</t>
        </is>
      </c>
      <c r="E74" s="2" t="inlineStr">
        <is>
          <t>Siparise Donustu</t>
        </is>
      </c>
      <c r="F74" s="3" t="n">
        <v>43890.92</v>
      </c>
      <c r="G74" s="2" t="inlineStr">
        <is>
          <t>EUR</t>
        </is>
      </c>
      <c r="H74" s="5" t="n">
        <v>1.0302</v>
      </c>
      <c r="I74" s="2" t="n">
        <v>45</v>
      </c>
      <c r="J74" s="5" t="inlineStr">
        <is>
          <t>DAP</t>
        </is>
      </c>
      <c r="K74" s="6" t="n">
        <v>45479</v>
      </c>
      <c r="L74" s="2" t="inlineStr">
        <is>
          <t>Kazanildi</t>
        </is>
      </c>
      <c r="M74" s="2" t="inlineStr"/>
    </row>
    <row r="75">
      <c r="A75" s="2" t="inlineStr">
        <is>
          <t>TKL-0074</t>
        </is>
      </c>
      <c r="B75" s="6" t="n">
        <v>45449</v>
      </c>
      <c r="C75" s="2" t="inlineStr">
        <is>
          <t>MUS-069</t>
        </is>
      </c>
      <c r="D75" s="2" t="inlineStr">
        <is>
          <t>ST-001</t>
        </is>
      </c>
      <c r="E75" s="2" t="inlineStr">
        <is>
          <t>Kaybedildi</t>
        </is>
      </c>
      <c r="F75" s="3" t="n">
        <v>43033.36</v>
      </c>
      <c r="G75" s="2" t="inlineStr">
        <is>
          <t>EUR</t>
        </is>
      </c>
      <c r="H75" s="5" t="n">
        <v>1.0302</v>
      </c>
      <c r="I75" s="2" t="n">
        <v>45</v>
      </c>
      <c r="J75" s="5" t="inlineStr">
        <is>
          <t>FCA</t>
        </is>
      </c>
      <c r="K75" s="6" t="n">
        <v>45482</v>
      </c>
      <c r="L75" s="2" t="inlineStr">
        <is>
          <t>Kaybedildi</t>
        </is>
      </c>
      <c r="M75" s="2" t="inlineStr">
        <is>
          <t>Fiyat Yuksek</t>
        </is>
      </c>
    </row>
    <row r="76">
      <c r="A76" s="2" t="inlineStr">
        <is>
          <t>TKL-0075</t>
        </is>
      </c>
      <c r="B76" s="6" t="n">
        <v>45470</v>
      </c>
      <c r="C76" s="2" t="inlineStr">
        <is>
          <t>MUS-069</t>
        </is>
      </c>
      <c r="D76" s="2" t="inlineStr">
        <is>
          <t>ST-002</t>
        </is>
      </c>
      <c r="E76" s="2" t="inlineStr">
        <is>
          <t>Siparise Donustu</t>
        </is>
      </c>
      <c r="F76" s="3" t="n">
        <v>77659.48</v>
      </c>
      <c r="G76" s="2" t="inlineStr">
        <is>
          <t>EUR</t>
        </is>
      </c>
      <c r="H76" s="5" t="n">
        <v>1.0302</v>
      </c>
      <c r="I76" s="2" t="n">
        <v>45</v>
      </c>
      <c r="J76" s="5" t="inlineStr">
        <is>
          <t>FCA</t>
        </is>
      </c>
      <c r="K76" s="6" t="n">
        <v>45498</v>
      </c>
      <c r="L76" s="2" t="inlineStr">
        <is>
          <t>Kazanildi</t>
        </is>
      </c>
      <c r="M76" s="2" t="inlineStr"/>
    </row>
    <row r="77">
      <c r="A77" s="2" t="inlineStr">
        <is>
          <t>TKL-0076</t>
        </is>
      </c>
      <c r="B77" s="6" t="n">
        <v>45451</v>
      </c>
      <c r="C77" s="2" t="inlineStr">
        <is>
          <t>MUS-048</t>
        </is>
      </c>
      <c r="D77" s="2" t="inlineStr">
        <is>
          <t>ST-001</t>
        </is>
      </c>
      <c r="E77" s="2" t="inlineStr">
        <is>
          <t>Siparise Donustu</t>
        </is>
      </c>
      <c r="F77" s="3" t="n">
        <v>37749.48</v>
      </c>
      <c r="G77" s="2" t="inlineStr">
        <is>
          <t>EUR</t>
        </is>
      </c>
      <c r="H77" s="5" t="n">
        <v>1.0302</v>
      </c>
      <c r="I77" s="2" t="n">
        <v>20</v>
      </c>
      <c r="J77" s="5" t="inlineStr">
        <is>
          <t>DAP</t>
        </is>
      </c>
      <c r="K77" s="6" t="n">
        <v>45458</v>
      </c>
      <c r="L77" s="2" t="inlineStr">
        <is>
          <t>Kazanildi</t>
        </is>
      </c>
      <c r="M77" s="2" t="inlineStr"/>
    </row>
    <row r="78">
      <c r="A78" s="2" t="inlineStr">
        <is>
          <t>TKL-0077</t>
        </is>
      </c>
      <c r="B78" s="6" t="n">
        <v>45454</v>
      </c>
      <c r="C78" s="2" t="inlineStr">
        <is>
          <t>MUS-080</t>
        </is>
      </c>
      <c r="D78" s="2" t="inlineStr">
        <is>
          <t>ST-006</t>
        </is>
      </c>
      <c r="E78" s="2" t="inlineStr">
        <is>
          <t>Siparise Donustu</t>
        </is>
      </c>
      <c r="F78" s="3" t="n">
        <v>7599.78</v>
      </c>
      <c r="G78" s="2" t="inlineStr">
        <is>
          <t>USD</t>
        </is>
      </c>
      <c r="H78" s="5" t="n">
        <v>1</v>
      </c>
      <c r="I78" s="2" t="n">
        <v>45</v>
      </c>
      <c r="J78" s="5" t="inlineStr">
        <is>
          <t>CFR</t>
        </is>
      </c>
      <c r="K78" s="6" t="n">
        <v>45475</v>
      </c>
      <c r="L78" s="2" t="inlineStr">
        <is>
          <t>Kazanildi</t>
        </is>
      </c>
      <c r="M78" s="2" t="inlineStr"/>
    </row>
    <row r="79">
      <c r="A79" s="2" t="inlineStr">
        <is>
          <t>TKL-0078</t>
        </is>
      </c>
      <c r="B79" s="6" t="n">
        <v>45497</v>
      </c>
      <c r="C79" s="2" t="inlineStr">
        <is>
          <t>MUS-022</t>
        </is>
      </c>
      <c r="D79" s="2" t="inlineStr">
        <is>
          <t>ST-002</t>
        </is>
      </c>
      <c r="E79" s="2" t="inlineStr">
        <is>
          <t>Siparise Donustu</t>
        </is>
      </c>
      <c r="F79" s="3" t="n">
        <v>4962.41</v>
      </c>
      <c r="G79" s="2" t="inlineStr">
        <is>
          <t>EUR</t>
        </is>
      </c>
      <c r="H79" s="5" t="n">
        <v>1.0477</v>
      </c>
      <c r="I79" s="2" t="n">
        <v>20</v>
      </c>
      <c r="J79" s="5" t="inlineStr">
        <is>
          <t>DAP</t>
        </is>
      </c>
      <c r="K79" s="6" t="n">
        <v>45513</v>
      </c>
      <c r="L79" s="2" t="inlineStr">
        <is>
          <t>Kazanildi</t>
        </is>
      </c>
      <c r="M79" s="2" t="inlineStr"/>
    </row>
    <row r="80">
      <c r="A80" s="2" t="inlineStr">
        <is>
          <t>TKL-0079</t>
        </is>
      </c>
      <c r="B80" s="6" t="n">
        <v>45498</v>
      </c>
      <c r="C80" s="2" t="inlineStr">
        <is>
          <t>MUS-038</t>
        </is>
      </c>
      <c r="D80" s="2" t="inlineStr">
        <is>
          <t>ST-003</t>
        </is>
      </c>
      <c r="E80" s="2" t="inlineStr">
        <is>
          <t>Siparise Donustu</t>
        </is>
      </c>
      <c r="F80" s="3" t="n">
        <v>6678.35</v>
      </c>
      <c r="G80" s="2" t="inlineStr">
        <is>
          <t>USD</t>
        </is>
      </c>
      <c r="H80" s="5" t="n">
        <v>1</v>
      </c>
      <c r="I80" s="2" t="n">
        <v>45</v>
      </c>
      <c r="J80" s="5" t="inlineStr">
        <is>
          <t>CIF</t>
        </is>
      </c>
      <c r="K80" s="6" t="n">
        <v>45530</v>
      </c>
      <c r="L80" s="2" t="inlineStr">
        <is>
          <t>Kazanildi</t>
        </is>
      </c>
      <c r="M80" s="2" t="inlineStr"/>
    </row>
    <row r="81">
      <c r="A81" s="2" t="inlineStr">
        <is>
          <t>TKL-0080</t>
        </is>
      </c>
      <c r="B81" s="6" t="n">
        <v>45498</v>
      </c>
      <c r="C81" s="2" t="inlineStr">
        <is>
          <t>MUS-045</t>
        </is>
      </c>
      <c r="D81" s="2" t="inlineStr">
        <is>
          <t>ST-008</t>
        </is>
      </c>
      <c r="E81" s="2" t="inlineStr">
        <is>
          <t>Kaybedildi</t>
        </is>
      </c>
      <c r="F81" s="3" t="n">
        <v>23669.21</v>
      </c>
      <c r="G81" s="2" t="inlineStr">
        <is>
          <t>USD</t>
        </is>
      </c>
      <c r="H81" s="5" t="n">
        <v>1</v>
      </c>
      <c r="I81" s="2" t="n">
        <v>20</v>
      </c>
      <c r="J81" s="5" t="inlineStr">
        <is>
          <t>FCA</t>
        </is>
      </c>
      <c r="K81" s="6" t="n">
        <v>45511</v>
      </c>
      <c r="L81" s="2" t="inlineStr">
        <is>
          <t>Kaybedildi</t>
        </is>
      </c>
      <c r="M81" s="2" t="inlineStr">
        <is>
          <t>Termin Uzun</t>
        </is>
      </c>
    </row>
    <row r="82">
      <c r="A82" s="2" t="inlineStr">
        <is>
          <t>TKL-0081</t>
        </is>
      </c>
      <c r="B82" s="6" t="n">
        <v>45499</v>
      </c>
      <c r="C82" s="2" t="inlineStr">
        <is>
          <t>MUS-017</t>
        </is>
      </c>
      <c r="D82" s="2" t="inlineStr">
        <is>
          <t>ST-002</t>
        </is>
      </c>
      <c r="E82" s="2" t="inlineStr">
        <is>
          <t>Beklemede</t>
        </is>
      </c>
      <c r="F82" s="3" t="n">
        <v>90220.36</v>
      </c>
      <c r="G82" s="2" t="inlineStr">
        <is>
          <t>EUR</t>
        </is>
      </c>
      <c r="H82" s="5" t="n">
        <v>1.0477</v>
      </c>
      <c r="I82" s="2" t="n">
        <v>45</v>
      </c>
      <c r="J82" s="5" t="inlineStr">
        <is>
          <t>DAP</t>
        </is>
      </c>
      <c r="K82" s="6" t="n">
        <v>45504</v>
      </c>
      <c r="L82" s="2" t="inlineStr">
        <is>
          <t>Acik</t>
        </is>
      </c>
      <c r="M82" s="2" t="inlineStr"/>
    </row>
    <row r="83">
      <c r="A83" s="2" t="inlineStr">
        <is>
          <t>TKL-0082</t>
        </is>
      </c>
      <c r="B83" s="6" t="n">
        <v>45491</v>
      </c>
      <c r="C83" s="2" t="inlineStr">
        <is>
          <t>MUS-084</t>
        </is>
      </c>
      <c r="D83" s="2" t="inlineStr">
        <is>
          <t>ST-001</t>
        </is>
      </c>
      <c r="E83" s="2" t="inlineStr">
        <is>
          <t>Siparise Donustu</t>
        </is>
      </c>
      <c r="F83" s="3" t="n">
        <v>3395.49</v>
      </c>
      <c r="G83" s="2" t="inlineStr">
        <is>
          <t>EUR</t>
        </is>
      </c>
      <c r="H83" s="5" t="n">
        <v>1.0477</v>
      </c>
      <c r="I83" s="2" t="n">
        <v>45</v>
      </c>
      <c r="J83" s="5" t="inlineStr">
        <is>
          <t>DAP</t>
        </is>
      </c>
      <c r="K83" s="6" t="n">
        <v>45513</v>
      </c>
      <c r="L83" s="2" t="inlineStr">
        <is>
          <t>Kazanildi</t>
        </is>
      </c>
      <c r="M83" s="2" t="inlineStr"/>
    </row>
    <row r="84">
      <c r="A84" s="2" t="inlineStr">
        <is>
          <t>TKL-0083</t>
        </is>
      </c>
      <c r="B84" s="6" t="n">
        <v>45502</v>
      </c>
      <c r="C84" s="2" t="inlineStr">
        <is>
          <t>MUS-067</t>
        </is>
      </c>
      <c r="D84" s="2" t="inlineStr">
        <is>
          <t>ST-003</t>
        </is>
      </c>
      <c r="E84" s="2" t="inlineStr">
        <is>
          <t>Beklemede</t>
        </is>
      </c>
      <c r="F84" s="3" t="n">
        <v>26420.18</v>
      </c>
      <c r="G84" s="2" t="inlineStr">
        <is>
          <t>USD</t>
        </is>
      </c>
      <c r="H84" s="5" t="n">
        <v>1</v>
      </c>
      <c r="I84" s="2" t="n">
        <v>30</v>
      </c>
      <c r="J84" s="5" t="inlineStr">
        <is>
          <t>CIF</t>
        </is>
      </c>
      <c r="K84" s="6" t="n">
        <v>45517</v>
      </c>
      <c r="L84" s="2" t="inlineStr">
        <is>
          <t>Acik</t>
        </is>
      </c>
      <c r="M84" s="2" t="inlineStr"/>
    </row>
    <row r="85">
      <c r="A85" s="2" t="inlineStr">
        <is>
          <t>TKL-0084</t>
        </is>
      </c>
      <c r="B85" s="6" t="n">
        <v>45486</v>
      </c>
      <c r="C85" s="2" t="inlineStr">
        <is>
          <t>MUS-019</t>
        </is>
      </c>
      <c r="D85" s="2" t="inlineStr">
        <is>
          <t>ST-004</t>
        </is>
      </c>
      <c r="E85" s="2" t="inlineStr">
        <is>
          <t>Kaybedildi</t>
        </is>
      </c>
      <c r="F85" s="3" t="n">
        <v>36996.2</v>
      </c>
      <c r="G85" s="2" t="inlineStr">
        <is>
          <t>USD</t>
        </is>
      </c>
      <c r="H85" s="5" t="n">
        <v>1</v>
      </c>
      <c r="I85" s="2" t="n">
        <v>20</v>
      </c>
      <c r="J85" s="5" t="inlineStr">
        <is>
          <t>CIF</t>
        </is>
      </c>
      <c r="K85" s="6" t="n">
        <v>45494</v>
      </c>
      <c r="L85" s="2" t="inlineStr">
        <is>
          <t>Kaybedildi</t>
        </is>
      </c>
      <c r="M85" s="2" t="inlineStr">
        <is>
          <t>Fiyat Yuksek</t>
        </is>
      </c>
    </row>
    <row r="86">
      <c r="A86" s="2" t="inlineStr">
        <is>
          <t>TKL-0085</t>
        </is>
      </c>
      <c r="B86" s="6" t="n">
        <v>45475</v>
      </c>
      <c r="C86" s="2" t="inlineStr">
        <is>
          <t>MUS-082</t>
        </is>
      </c>
      <c r="D86" s="2" t="inlineStr">
        <is>
          <t>ST-002</t>
        </is>
      </c>
      <c r="E86" s="2" t="inlineStr">
        <is>
          <t>Kaybedildi</t>
        </is>
      </c>
      <c r="F86" s="3" t="n">
        <v>34364.95</v>
      </c>
      <c r="G86" s="2" t="inlineStr">
        <is>
          <t>EUR</t>
        </is>
      </c>
      <c r="H86" s="5" t="n">
        <v>1.0477</v>
      </c>
      <c r="I86" s="2" t="n">
        <v>15</v>
      </c>
      <c r="J86" s="5" t="inlineStr">
        <is>
          <t>DAP</t>
        </is>
      </c>
      <c r="K86" s="6" t="n">
        <v>45481</v>
      </c>
      <c r="L86" s="2" t="inlineStr">
        <is>
          <t>Kaybedildi</t>
        </is>
      </c>
      <c r="M86" s="2" t="inlineStr">
        <is>
          <t>Rakipte Teknik Onay</t>
        </is>
      </c>
    </row>
    <row r="87">
      <c r="A87" s="2" t="inlineStr">
        <is>
          <t>TKL-0086</t>
        </is>
      </c>
      <c r="B87" s="6" t="n">
        <v>45479</v>
      </c>
      <c r="C87" s="2" t="inlineStr">
        <is>
          <t>MUS-039</t>
        </is>
      </c>
      <c r="D87" s="2" t="inlineStr">
        <is>
          <t>ST-003</t>
        </is>
      </c>
      <c r="E87" s="2" t="inlineStr">
        <is>
          <t>Kaybedildi</t>
        </is>
      </c>
      <c r="F87" s="3" t="n">
        <v>25240.31</v>
      </c>
      <c r="G87" s="2" t="inlineStr">
        <is>
          <t>USD</t>
        </is>
      </c>
      <c r="H87" s="5" t="n">
        <v>1</v>
      </c>
      <c r="I87" s="2" t="n">
        <v>20</v>
      </c>
      <c r="J87" s="5" t="inlineStr">
        <is>
          <t>CIF</t>
        </is>
      </c>
      <c r="K87" s="6" t="n">
        <v>45488</v>
      </c>
      <c r="L87" s="2" t="inlineStr">
        <is>
          <t>Kaybedildi</t>
        </is>
      </c>
      <c r="M87" s="2" t="inlineStr">
        <is>
          <t>Butce Ertelendi</t>
        </is>
      </c>
    </row>
    <row r="88">
      <c r="A88" s="2" t="inlineStr">
        <is>
          <t>TKL-0087</t>
        </is>
      </c>
      <c r="B88" s="6" t="n">
        <v>45475</v>
      </c>
      <c r="C88" s="2" t="inlineStr">
        <is>
          <t>MUS-025</t>
        </is>
      </c>
      <c r="D88" s="2" t="inlineStr">
        <is>
          <t>ST-001</t>
        </is>
      </c>
      <c r="E88" s="2" t="inlineStr">
        <is>
          <t>Siparise Donustu</t>
        </is>
      </c>
      <c r="F88" s="3" t="n">
        <v>71227.23</v>
      </c>
      <c r="G88" s="2" t="inlineStr">
        <is>
          <t>EUR</t>
        </is>
      </c>
      <c r="H88" s="5" t="n">
        <v>1.0477</v>
      </c>
      <c r="I88" s="2" t="n">
        <v>20</v>
      </c>
      <c r="J88" s="5" t="inlineStr">
        <is>
          <t>DAP</t>
        </is>
      </c>
      <c r="K88" s="6" t="n">
        <v>45484</v>
      </c>
      <c r="L88" s="2" t="inlineStr">
        <is>
          <t>Kazanildi</t>
        </is>
      </c>
      <c r="M88" s="2" t="inlineStr"/>
    </row>
    <row r="89">
      <c r="A89" s="2" t="inlineStr">
        <is>
          <t>TKL-0088</t>
        </is>
      </c>
      <c r="B89" s="6" t="n">
        <v>45495</v>
      </c>
      <c r="C89" s="2" t="inlineStr">
        <is>
          <t>MUS-039</t>
        </is>
      </c>
      <c r="D89" s="2" t="inlineStr">
        <is>
          <t>ST-004</t>
        </is>
      </c>
      <c r="E89" s="2" t="inlineStr">
        <is>
          <t>Beklemede</t>
        </is>
      </c>
      <c r="F89" s="3" t="n">
        <v>7911.36</v>
      </c>
      <c r="G89" s="2" t="inlineStr">
        <is>
          <t>USD</t>
        </is>
      </c>
      <c r="H89" s="5" t="n">
        <v>1</v>
      </c>
      <c r="I89" s="2" t="n">
        <v>20</v>
      </c>
      <c r="J89" s="5" t="inlineStr">
        <is>
          <t>CIF</t>
        </is>
      </c>
      <c r="K89" s="6" t="n">
        <v>45509</v>
      </c>
      <c r="L89" s="2" t="inlineStr">
        <is>
          <t>Acik</t>
        </is>
      </c>
      <c r="M89" s="2" t="inlineStr"/>
    </row>
    <row r="90">
      <c r="A90" s="2" t="inlineStr">
        <is>
          <t>TKL-0089</t>
        </is>
      </c>
      <c r="B90" s="6" t="n">
        <v>45493</v>
      </c>
      <c r="C90" s="2" t="inlineStr">
        <is>
          <t>MUS-031</t>
        </is>
      </c>
      <c r="D90" s="2" t="inlineStr">
        <is>
          <t>ST-002</t>
        </is>
      </c>
      <c r="E90" s="2" t="inlineStr">
        <is>
          <t>Siparise Donustu</t>
        </is>
      </c>
      <c r="F90" s="3" t="n">
        <v>20473.09</v>
      </c>
      <c r="G90" s="2" t="inlineStr">
        <is>
          <t>EUR</t>
        </is>
      </c>
      <c r="H90" s="5" t="n">
        <v>1.0477</v>
      </c>
      <c r="I90" s="2" t="n">
        <v>15</v>
      </c>
      <c r="J90" s="5" t="inlineStr">
        <is>
          <t>DAP</t>
        </is>
      </c>
      <c r="K90" s="6" t="n">
        <v>45502</v>
      </c>
      <c r="L90" s="2" t="inlineStr">
        <is>
          <t>Kazanildi</t>
        </is>
      </c>
      <c r="M90" s="2" t="inlineStr"/>
    </row>
    <row r="91">
      <c r="A91" s="2" t="inlineStr">
        <is>
          <t>TKL-0090</t>
        </is>
      </c>
      <c r="B91" s="6" t="n">
        <v>45480</v>
      </c>
      <c r="C91" s="2" t="inlineStr">
        <is>
          <t>MUS-012</t>
        </is>
      </c>
      <c r="D91" s="2" t="inlineStr">
        <is>
          <t>ST-001</t>
        </is>
      </c>
      <c r="E91" s="2" t="inlineStr">
        <is>
          <t>Siparise Donustu</t>
        </is>
      </c>
      <c r="F91" s="3" t="n">
        <v>34034.84</v>
      </c>
      <c r="G91" s="2" t="inlineStr">
        <is>
          <t>EUR</t>
        </is>
      </c>
      <c r="H91" s="5" t="n">
        <v>1.0477</v>
      </c>
      <c r="I91" s="2" t="n">
        <v>15</v>
      </c>
      <c r="J91" s="5" t="inlineStr">
        <is>
          <t>DAP</t>
        </is>
      </c>
      <c r="K91" s="6" t="n">
        <v>45490</v>
      </c>
      <c r="L91" s="2" t="inlineStr">
        <is>
          <t>Kazanildi</t>
        </is>
      </c>
      <c r="M91" s="2" t="inlineStr"/>
    </row>
    <row r="92">
      <c r="A92" s="2" t="inlineStr">
        <is>
          <t>TKL-0091</t>
        </is>
      </c>
      <c r="B92" s="6" t="n">
        <v>45482</v>
      </c>
      <c r="C92" s="2" t="inlineStr">
        <is>
          <t>MUS-079</t>
        </is>
      </c>
      <c r="D92" s="2" t="inlineStr">
        <is>
          <t>ST-003</t>
        </is>
      </c>
      <c r="E92" s="2" t="inlineStr">
        <is>
          <t>Kaybedildi</t>
        </is>
      </c>
      <c r="F92" s="3" t="n">
        <v>52389.07</v>
      </c>
      <c r="G92" s="2" t="inlineStr">
        <is>
          <t>USD</t>
        </is>
      </c>
      <c r="H92" s="5" t="n">
        <v>1</v>
      </c>
      <c r="I92" s="2" t="n">
        <v>45</v>
      </c>
      <c r="J92" s="5" t="inlineStr">
        <is>
          <t>CIF</t>
        </is>
      </c>
      <c r="K92" s="6" t="n">
        <v>45513</v>
      </c>
      <c r="L92" s="2" t="inlineStr">
        <is>
          <t>Kaybedildi</t>
        </is>
      </c>
      <c r="M92" s="2" t="inlineStr">
        <is>
          <t>Termin Uzun</t>
        </is>
      </c>
    </row>
    <row r="93">
      <c r="A93" s="2" t="inlineStr">
        <is>
          <t>TKL-0092</t>
        </is>
      </c>
      <c r="B93" s="6" t="n">
        <v>45491</v>
      </c>
      <c r="C93" s="2" t="inlineStr">
        <is>
          <t>MUS-068</t>
        </is>
      </c>
      <c r="D93" s="2" t="inlineStr">
        <is>
          <t>ST-001</t>
        </is>
      </c>
      <c r="E93" s="2" t="inlineStr">
        <is>
          <t>Siparise Donustu</t>
        </is>
      </c>
      <c r="F93" s="3" t="n">
        <v>34991.19</v>
      </c>
      <c r="G93" s="2" t="inlineStr">
        <is>
          <t>EUR</t>
        </is>
      </c>
      <c r="H93" s="5" t="n">
        <v>1.0477</v>
      </c>
      <c r="I93" s="2" t="n">
        <v>20</v>
      </c>
      <c r="J93" s="5" t="inlineStr">
        <is>
          <t>DAP</t>
        </is>
      </c>
      <c r="K93" s="6" t="n">
        <v>45511</v>
      </c>
      <c r="L93" s="2" t="inlineStr">
        <is>
          <t>Kazanildi</t>
        </is>
      </c>
      <c r="M93" s="2" t="inlineStr"/>
    </row>
    <row r="94">
      <c r="A94" s="2" t="inlineStr">
        <is>
          <t>TKL-0093</t>
        </is>
      </c>
      <c r="B94" s="6" t="n">
        <v>45501</v>
      </c>
      <c r="C94" s="2" t="inlineStr">
        <is>
          <t>MUS-047</t>
        </is>
      </c>
      <c r="D94" s="2" t="inlineStr">
        <is>
          <t>ST-005</t>
        </is>
      </c>
      <c r="E94" s="2" t="inlineStr">
        <is>
          <t>Kaybedildi</t>
        </is>
      </c>
      <c r="F94" s="3" t="n">
        <v>35219.61</v>
      </c>
      <c r="G94" s="2" t="inlineStr">
        <is>
          <t>USD</t>
        </is>
      </c>
      <c r="H94" s="5" t="n">
        <v>1</v>
      </c>
      <c r="I94" s="2" t="n">
        <v>30</v>
      </c>
      <c r="J94" s="5" t="inlineStr">
        <is>
          <t>CFR</t>
        </is>
      </c>
      <c r="K94" s="6" t="n">
        <v>45531</v>
      </c>
      <c r="L94" s="2" t="inlineStr">
        <is>
          <t>Kaybedildi</t>
        </is>
      </c>
      <c r="M94" s="2" t="inlineStr">
        <is>
          <t>Termin Uzun</t>
        </is>
      </c>
    </row>
    <row r="95">
      <c r="A95" s="2" t="inlineStr">
        <is>
          <t>TKL-0094</t>
        </is>
      </c>
      <c r="B95" s="6" t="n">
        <v>45495</v>
      </c>
      <c r="C95" s="2" t="inlineStr">
        <is>
          <t>MUS-014</t>
        </is>
      </c>
      <c r="D95" s="2" t="inlineStr">
        <is>
          <t>ST-007</t>
        </is>
      </c>
      <c r="E95" s="2" t="inlineStr">
        <is>
          <t>Kaybedildi</t>
        </is>
      </c>
      <c r="F95" s="3" t="n">
        <v>43617.31</v>
      </c>
      <c r="G95" s="2" t="inlineStr">
        <is>
          <t>USD</t>
        </is>
      </c>
      <c r="H95" s="5" t="n">
        <v>1</v>
      </c>
      <c r="I95" s="2" t="n">
        <v>15</v>
      </c>
      <c r="J95" s="5" t="inlineStr">
        <is>
          <t>FCA</t>
        </is>
      </c>
      <c r="K95" s="6" t="n">
        <v>45504</v>
      </c>
      <c r="L95" s="2" t="inlineStr">
        <is>
          <t>Kaybedildi</t>
        </is>
      </c>
      <c r="M95" s="2" t="inlineStr">
        <is>
          <t>Fiyat Yuksek</t>
        </is>
      </c>
    </row>
    <row r="96">
      <c r="A96" s="2" t="inlineStr">
        <is>
          <t>TKL-0095</t>
        </is>
      </c>
      <c r="B96" s="6" t="n">
        <v>45485</v>
      </c>
      <c r="C96" s="2" t="inlineStr">
        <is>
          <t>MUS-075</t>
        </is>
      </c>
      <c r="D96" s="2" t="inlineStr">
        <is>
          <t>ST-004</t>
        </is>
      </c>
      <c r="E96" s="2" t="inlineStr">
        <is>
          <t>Beklemede</t>
        </is>
      </c>
      <c r="F96" s="3" t="n">
        <v>9707.9</v>
      </c>
      <c r="G96" s="2" t="inlineStr">
        <is>
          <t>USD</t>
        </is>
      </c>
      <c r="H96" s="5" t="n">
        <v>1</v>
      </c>
      <c r="I96" s="2" t="n">
        <v>45</v>
      </c>
      <c r="J96" s="5" t="inlineStr">
        <is>
          <t>CIF</t>
        </is>
      </c>
      <c r="K96" s="6" t="n">
        <v>45518</v>
      </c>
      <c r="L96" s="2" t="inlineStr">
        <is>
          <t>Acik</t>
        </is>
      </c>
      <c r="M96" s="2" t="inlineStr"/>
    </row>
    <row r="97">
      <c r="A97" s="2" t="inlineStr">
        <is>
          <t>TKL-0096</t>
        </is>
      </c>
      <c r="B97" s="6" t="n">
        <v>45479</v>
      </c>
      <c r="C97" s="2" t="inlineStr">
        <is>
          <t>MUS-014</t>
        </is>
      </c>
      <c r="D97" s="2" t="inlineStr">
        <is>
          <t>ST-007</t>
        </is>
      </c>
      <c r="E97" s="2" t="inlineStr">
        <is>
          <t>Siparise Donustu</t>
        </is>
      </c>
      <c r="F97" s="3" t="n">
        <v>34709.52</v>
      </c>
      <c r="G97" s="2" t="inlineStr">
        <is>
          <t>USD</t>
        </is>
      </c>
      <c r="H97" s="5" t="n">
        <v>1</v>
      </c>
      <c r="I97" s="2" t="n">
        <v>30</v>
      </c>
      <c r="J97" s="5" t="inlineStr">
        <is>
          <t>FCA</t>
        </is>
      </c>
      <c r="K97" s="6" t="n">
        <v>45494</v>
      </c>
      <c r="L97" s="2" t="inlineStr">
        <is>
          <t>Kazanildi</t>
        </is>
      </c>
      <c r="M97" s="2" t="inlineStr"/>
    </row>
    <row r="98">
      <c r="A98" s="2" t="inlineStr">
        <is>
          <t>TKL-0097</t>
        </is>
      </c>
      <c r="B98" s="6" t="n">
        <v>45494</v>
      </c>
      <c r="C98" s="2" t="inlineStr">
        <is>
          <t>MUS-056</t>
        </is>
      </c>
      <c r="D98" s="2" t="inlineStr">
        <is>
          <t>ST-002</t>
        </is>
      </c>
      <c r="E98" s="2" t="inlineStr">
        <is>
          <t>Kaybedildi</t>
        </is>
      </c>
      <c r="F98" s="3" t="n">
        <v>16239.02</v>
      </c>
      <c r="G98" s="2" t="inlineStr">
        <is>
          <t>EUR</t>
        </is>
      </c>
      <c r="H98" s="5" t="n">
        <v>1.0477</v>
      </c>
      <c r="I98" s="2" t="n">
        <v>45</v>
      </c>
      <c r="J98" s="5" t="inlineStr">
        <is>
          <t>DAP</t>
        </is>
      </c>
      <c r="K98" s="6" t="n">
        <v>45534</v>
      </c>
      <c r="L98" s="2" t="inlineStr">
        <is>
          <t>Kaybedildi</t>
        </is>
      </c>
      <c r="M98" s="2" t="inlineStr">
        <is>
          <t>Termin Uzun</t>
        </is>
      </c>
    </row>
    <row r="99">
      <c r="A99" s="2" t="inlineStr">
        <is>
          <t>TKL-0098</t>
        </is>
      </c>
      <c r="B99" s="6" t="n">
        <v>45504</v>
      </c>
      <c r="C99" s="2" t="inlineStr">
        <is>
          <t>MUS-023</t>
        </is>
      </c>
      <c r="D99" s="2" t="inlineStr">
        <is>
          <t>ST-004</t>
        </is>
      </c>
      <c r="E99" s="2" t="inlineStr">
        <is>
          <t>Beklemede</t>
        </is>
      </c>
      <c r="F99" s="3" t="n">
        <v>22510.18</v>
      </c>
      <c r="G99" s="2" t="inlineStr">
        <is>
          <t>USD</t>
        </is>
      </c>
      <c r="H99" s="5" t="n">
        <v>1</v>
      </c>
      <c r="I99" s="2" t="n">
        <v>20</v>
      </c>
      <c r="J99" s="5" t="inlineStr">
        <is>
          <t>CIF</t>
        </is>
      </c>
      <c r="K99" s="6" t="n">
        <v>45515</v>
      </c>
      <c r="L99" s="2" t="inlineStr">
        <is>
          <t>Acik</t>
        </is>
      </c>
      <c r="M99" s="2" t="inlineStr"/>
    </row>
    <row r="100">
      <c r="A100" s="2" t="inlineStr">
        <is>
          <t>TKL-0099</t>
        </is>
      </c>
      <c r="B100" s="6" t="n">
        <v>45492</v>
      </c>
      <c r="C100" s="2" t="inlineStr">
        <is>
          <t>MUS-071</t>
        </is>
      </c>
      <c r="D100" s="2" t="inlineStr">
        <is>
          <t>ST-008</t>
        </is>
      </c>
      <c r="E100" s="2" t="inlineStr">
        <is>
          <t>Siparise Donustu</t>
        </is>
      </c>
      <c r="F100" s="3" t="n">
        <v>46995.01</v>
      </c>
      <c r="G100" s="2" t="inlineStr">
        <is>
          <t>USD</t>
        </is>
      </c>
      <c r="H100" s="5" t="n">
        <v>1</v>
      </c>
      <c r="I100" s="2" t="n">
        <v>15</v>
      </c>
      <c r="J100" s="5" t="inlineStr">
        <is>
          <t>FCA</t>
        </is>
      </c>
      <c r="K100" s="6" t="n">
        <v>45507</v>
      </c>
      <c r="L100" s="2" t="inlineStr">
        <is>
          <t>Kazanildi</t>
        </is>
      </c>
      <c r="M100" s="2" t="inlineStr"/>
    </row>
    <row r="101">
      <c r="A101" s="2" t="inlineStr">
        <is>
          <t>TKL-0100</t>
        </is>
      </c>
      <c r="B101" s="6" t="n">
        <v>45519</v>
      </c>
      <c r="C101" s="2" t="inlineStr">
        <is>
          <t>MUS-012</t>
        </is>
      </c>
      <c r="D101" s="2" t="inlineStr">
        <is>
          <t>ST-002</t>
        </is>
      </c>
      <c r="E101" s="2" t="inlineStr">
        <is>
          <t>Kaybedildi</t>
        </is>
      </c>
      <c r="F101" s="3" t="n">
        <v>45897.17</v>
      </c>
      <c r="G101" s="2" t="inlineStr">
        <is>
          <t>EUR</t>
        </is>
      </c>
      <c r="H101" s="5" t="n">
        <v>1.0533</v>
      </c>
      <c r="I101" s="2" t="n">
        <v>15</v>
      </c>
      <c r="J101" s="5" t="inlineStr">
        <is>
          <t>DAP</t>
        </is>
      </c>
      <c r="K101" s="6" t="n">
        <v>45533</v>
      </c>
      <c r="L101" s="2" t="inlineStr">
        <is>
          <t>Kaybedildi</t>
        </is>
      </c>
      <c r="M101" s="2" t="inlineStr">
        <is>
          <t>Butce Ertelendi</t>
        </is>
      </c>
    </row>
    <row r="102">
      <c r="A102" s="2" t="inlineStr">
        <is>
          <t>TKL-0101</t>
        </is>
      </c>
      <c r="B102" s="6" t="n">
        <v>45532</v>
      </c>
      <c r="C102" s="2" t="inlineStr">
        <is>
          <t>MUS-056</t>
        </is>
      </c>
      <c r="D102" s="2" t="inlineStr">
        <is>
          <t>ST-001</t>
        </is>
      </c>
      <c r="E102" s="2" t="inlineStr">
        <is>
          <t>Siparise Donustu</t>
        </is>
      </c>
      <c r="F102" s="3" t="n">
        <v>30649.52</v>
      </c>
      <c r="G102" s="2" t="inlineStr">
        <is>
          <t>EUR</t>
        </is>
      </c>
      <c r="H102" s="5" t="n">
        <v>1.0533</v>
      </c>
      <c r="I102" s="2" t="n">
        <v>15</v>
      </c>
      <c r="J102" s="5" t="inlineStr">
        <is>
          <t>DAP</t>
        </is>
      </c>
      <c r="K102" s="6" t="n">
        <v>45538</v>
      </c>
      <c r="L102" s="2" t="inlineStr">
        <is>
          <t>Kazanildi</t>
        </is>
      </c>
      <c r="M102" s="2" t="inlineStr"/>
    </row>
    <row r="103">
      <c r="A103" s="2" t="inlineStr">
        <is>
          <t>TKL-0102</t>
        </is>
      </c>
      <c r="B103" s="6" t="n">
        <v>45531</v>
      </c>
      <c r="C103" s="2" t="inlineStr">
        <is>
          <t>MUS-074</t>
        </is>
      </c>
      <c r="D103" s="2" t="inlineStr">
        <is>
          <t>ST-007</t>
        </is>
      </c>
      <c r="E103" s="2" t="inlineStr">
        <is>
          <t>Siparise Donustu</t>
        </is>
      </c>
      <c r="F103" s="3" t="n">
        <v>78975.09</v>
      </c>
      <c r="G103" s="2" t="inlineStr">
        <is>
          <t>USD</t>
        </is>
      </c>
      <c r="H103" s="5" t="n">
        <v>1</v>
      </c>
      <c r="I103" s="2" t="n">
        <v>45</v>
      </c>
      <c r="J103" s="5" t="inlineStr">
        <is>
          <t>FCA</t>
        </is>
      </c>
      <c r="K103" s="6" t="n">
        <v>45539</v>
      </c>
      <c r="L103" s="2" t="inlineStr">
        <is>
          <t>Kazanildi</t>
        </is>
      </c>
      <c r="M103" s="2" t="inlineStr"/>
    </row>
    <row r="104">
      <c r="A104" s="2" t="inlineStr">
        <is>
          <t>TKL-0103</t>
        </is>
      </c>
      <c r="B104" s="6" t="n">
        <v>45532</v>
      </c>
      <c r="C104" s="2" t="inlineStr">
        <is>
          <t>MUS-081</t>
        </is>
      </c>
      <c r="D104" s="2" t="inlineStr">
        <is>
          <t>ST-003</t>
        </is>
      </c>
      <c r="E104" s="2" t="inlineStr">
        <is>
          <t>Siparise Donustu</t>
        </is>
      </c>
      <c r="F104" s="3" t="n">
        <v>39733.7</v>
      </c>
      <c r="G104" s="2" t="inlineStr">
        <is>
          <t>USD</t>
        </is>
      </c>
      <c r="H104" s="5" t="n">
        <v>1</v>
      </c>
      <c r="I104" s="2" t="n">
        <v>30</v>
      </c>
      <c r="J104" s="5" t="inlineStr">
        <is>
          <t>CIF</t>
        </is>
      </c>
      <c r="K104" s="6" t="n">
        <v>45548</v>
      </c>
      <c r="L104" s="2" t="inlineStr">
        <is>
          <t>Kazanildi</t>
        </is>
      </c>
      <c r="M104" s="2" t="inlineStr"/>
    </row>
    <row r="105">
      <c r="A105" s="2" t="inlineStr">
        <is>
          <t>TKL-0104</t>
        </is>
      </c>
      <c r="B105" s="6" t="n">
        <v>45517</v>
      </c>
      <c r="C105" s="2" t="inlineStr">
        <is>
          <t>MUS-051</t>
        </is>
      </c>
      <c r="D105" s="2" t="inlineStr">
        <is>
          <t>ST-001</t>
        </is>
      </c>
      <c r="E105" s="2" t="inlineStr">
        <is>
          <t>Kaybedildi</t>
        </is>
      </c>
      <c r="F105" s="3" t="n">
        <v>29121.77</v>
      </c>
      <c r="G105" s="2" t="inlineStr">
        <is>
          <t>EUR</t>
        </is>
      </c>
      <c r="H105" s="5" t="n">
        <v>1.0533</v>
      </c>
      <c r="I105" s="2" t="n">
        <v>20</v>
      </c>
      <c r="J105" s="5" t="inlineStr">
        <is>
          <t>DAP</t>
        </is>
      </c>
      <c r="K105" s="6" t="n">
        <v>45528</v>
      </c>
      <c r="L105" s="2" t="inlineStr">
        <is>
          <t>Kaybedildi</t>
        </is>
      </c>
      <c r="M105" s="2" t="inlineStr">
        <is>
          <t>Fiyat Yuksek</t>
        </is>
      </c>
    </row>
    <row r="106">
      <c r="A106" s="2" t="inlineStr">
        <is>
          <t>TKL-0105</t>
        </is>
      </c>
      <c r="B106" s="6" t="n">
        <v>45524</v>
      </c>
      <c r="C106" s="2" t="inlineStr">
        <is>
          <t>MUS-005</t>
        </is>
      </c>
      <c r="D106" s="2" t="inlineStr">
        <is>
          <t>ST-001</t>
        </is>
      </c>
      <c r="E106" s="2" t="inlineStr">
        <is>
          <t>Kaybedildi</t>
        </is>
      </c>
      <c r="F106" s="3" t="n">
        <v>54326.3</v>
      </c>
      <c r="G106" s="2" t="inlineStr">
        <is>
          <t>EUR</t>
        </is>
      </c>
      <c r="H106" s="5" t="n">
        <v>1.0533</v>
      </c>
      <c r="I106" s="2" t="n">
        <v>45</v>
      </c>
      <c r="J106" s="5" t="inlineStr">
        <is>
          <t>DAP</t>
        </is>
      </c>
      <c r="K106" s="6" t="n">
        <v>45535</v>
      </c>
      <c r="L106" s="2" t="inlineStr">
        <is>
          <t>Kaybedildi</t>
        </is>
      </c>
      <c r="M106" s="2" t="inlineStr">
        <is>
          <t>Butce Ertelendi</t>
        </is>
      </c>
    </row>
    <row r="107">
      <c r="A107" s="2" t="inlineStr">
        <is>
          <t>TKL-0106</t>
        </is>
      </c>
      <c r="B107" s="6" t="n">
        <v>45506</v>
      </c>
      <c r="C107" s="2" t="inlineStr">
        <is>
          <t>MUS-067</t>
        </is>
      </c>
      <c r="D107" s="2" t="inlineStr">
        <is>
          <t>ST-003</t>
        </is>
      </c>
      <c r="E107" s="2" t="inlineStr">
        <is>
          <t>Siparise Donustu</t>
        </is>
      </c>
      <c r="F107" s="3" t="n">
        <v>5571.72</v>
      </c>
      <c r="G107" s="2" t="inlineStr">
        <is>
          <t>USD</t>
        </is>
      </c>
      <c r="H107" s="5" t="n">
        <v>1</v>
      </c>
      <c r="I107" s="2" t="n">
        <v>20</v>
      </c>
      <c r="J107" s="5" t="inlineStr">
        <is>
          <t>CIF</t>
        </is>
      </c>
      <c r="K107" s="6" t="n">
        <v>45525</v>
      </c>
      <c r="L107" s="2" t="inlineStr">
        <is>
          <t>Kazanildi</t>
        </is>
      </c>
      <c r="M107" s="2" t="inlineStr"/>
    </row>
    <row r="108">
      <c r="A108" s="2" t="inlineStr">
        <is>
          <t>TKL-0107</t>
        </is>
      </c>
      <c r="B108" s="6" t="n">
        <v>45523</v>
      </c>
      <c r="C108" s="2" t="inlineStr">
        <is>
          <t>MUS-070</t>
        </is>
      </c>
      <c r="D108" s="2" t="inlineStr">
        <is>
          <t>ST-002</t>
        </is>
      </c>
      <c r="E108" s="2" t="inlineStr">
        <is>
          <t>Kaybedildi</t>
        </is>
      </c>
      <c r="F108" s="3" t="n">
        <v>46999.67</v>
      </c>
      <c r="G108" s="2" t="inlineStr">
        <is>
          <t>EUR</t>
        </is>
      </c>
      <c r="H108" s="5" t="n">
        <v>1.0533</v>
      </c>
      <c r="I108" s="2" t="n">
        <v>30</v>
      </c>
      <c r="J108" s="5" t="inlineStr">
        <is>
          <t>DAP</t>
        </is>
      </c>
      <c r="K108" s="6" t="n">
        <v>45536</v>
      </c>
      <c r="L108" s="2" t="inlineStr">
        <is>
          <t>Kaybedildi</t>
        </is>
      </c>
      <c r="M108" s="2" t="inlineStr">
        <is>
          <t>Termin Uzun</t>
        </is>
      </c>
    </row>
    <row r="109">
      <c r="A109" s="2" t="inlineStr">
        <is>
          <t>TKL-0108</t>
        </is>
      </c>
      <c r="B109" s="6" t="n">
        <v>45508</v>
      </c>
      <c r="C109" s="2" t="inlineStr">
        <is>
          <t>MUS-042</t>
        </is>
      </c>
      <c r="D109" s="2" t="inlineStr">
        <is>
          <t>ST-006</t>
        </is>
      </c>
      <c r="E109" s="2" t="inlineStr">
        <is>
          <t>Beklemede</t>
        </is>
      </c>
      <c r="F109" s="3" t="n">
        <v>15589.95</v>
      </c>
      <c r="G109" s="2" t="inlineStr">
        <is>
          <t>USD</t>
        </is>
      </c>
      <c r="H109" s="5" t="n">
        <v>1</v>
      </c>
      <c r="I109" s="2" t="n">
        <v>15</v>
      </c>
      <c r="J109" s="5" t="inlineStr">
        <is>
          <t>CFR</t>
        </is>
      </c>
      <c r="K109" s="6" t="n">
        <v>45514</v>
      </c>
      <c r="L109" s="2" t="inlineStr">
        <is>
          <t>Acik</t>
        </is>
      </c>
      <c r="M109" s="2" t="inlineStr"/>
    </row>
    <row r="110">
      <c r="A110" s="2" t="inlineStr">
        <is>
          <t>TKL-0109</t>
        </is>
      </c>
      <c r="B110" s="6" t="n">
        <v>45516</v>
      </c>
      <c r="C110" s="2" t="inlineStr">
        <is>
          <t>MUS-003</t>
        </is>
      </c>
      <c r="D110" s="2" t="inlineStr">
        <is>
          <t>ST-004</t>
        </is>
      </c>
      <c r="E110" s="2" t="inlineStr">
        <is>
          <t>Siparise Donustu</t>
        </is>
      </c>
      <c r="F110" s="3" t="n">
        <v>38167.96</v>
      </c>
      <c r="G110" s="2" t="inlineStr">
        <is>
          <t>USD</t>
        </is>
      </c>
      <c r="H110" s="5" t="n">
        <v>1</v>
      </c>
      <c r="I110" s="2" t="n">
        <v>20</v>
      </c>
      <c r="J110" s="5" t="inlineStr">
        <is>
          <t>CIF</t>
        </is>
      </c>
      <c r="K110" s="6" t="n">
        <v>45534</v>
      </c>
      <c r="L110" s="2" t="inlineStr">
        <is>
          <t>Kazanildi</t>
        </is>
      </c>
      <c r="M110" s="2" t="inlineStr"/>
    </row>
    <row r="111">
      <c r="A111" s="2" t="inlineStr">
        <is>
          <t>TKL-0110</t>
        </is>
      </c>
      <c r="B111" s="6" t="n">
        <v>45514</v>
      </c>
      <c r="C111" s="2" t="inlineStr">
        <is>
          <t>MUS-047</t>
        </is>
      </c>
      <c r="D111" s="2" t="inlineStr">
        <is>
          <t>ST-005</t>
        </is>
      </c>
      <c r="E111" s="2" t="inlineStr">
        <is>
          <t>Siparise Donustu</t>
        </is>
      </c>
      <c r="F111" s="3" t="n">
        <v>36958.27</v>
      </c>
      <c r="G111" s="2" t="inlineStr">
        <is>
          <t>USD</t>
        </is>
      </c>
      <c r="H111" s="5" t="n">
        <v>1</v>
      </c>
      <c r="I111" s="2" t="n">
        <v>20</v>
      </c>
      <c r="J111" s="5" t="inlineStr">
        <is>
          <t>CFR</t>
        </is>
      </c>
      <c r="K111" s="6" t="n">
        <v>45526</v>
      </c>
      <c r="L111" s="2" t="inlineStr">
        <is>
          <t>Kazanildi</t>
        </is>
      </c>
      <c r="M111" s="2" t="inlineStr"/>
    </row>
    <row r="112">
      <c r="A112" s="2" t="inlineStr">
        <is>
          <t>TKL-0111</t>
        </is>
      </c>
      <c r="B112" s="6" t="n">
        <v>45515</v>
      </c>
      <c r="C112" s="2" t="inlineStr">
        <is>
          <t>MUS-025</t>
        </is>
      </c>
      <c r="D112" s="2" t="inlineStr">
        <is>
          <t>ST-001</t>
        </is>
      </c>
      <c r="E112" s="2" t="inlineStr">
        <is>
          <t>Siparise Donustu</t>
        </is>
      </c>
      <c r="F112" s="3" t="n">
        <v>16666.92</v>
      </c>
      <c r="G112" s="2" t="inlineStr">
        <is>
          <t>EUR</t>
        </is>
      </c>
      <c r="H112" s="5" t="n">
        <v>1.0533</v>
      </c>
      <c r="I112" s="2" t="n">
        <v>20</v>
      </c>
      <c r="J112" s="5" t="inlineStr">
        <is>
          <t>DAP</t>
        </is>
      </c>
      <c r="K112" s="6" t="n">
        <v>45522</v>
      </c>
      <c r="L112" s="2" t="inlineStr">
        <is>
          <t>Kazanildi</t>
        </is>
      </c>
      <c r="M112" s="2" t="inlineStr"/>
    </row>
    <row r="113">
      <c r="A113" s="2" t="inlineStr">
        <is>
          <t>TKL-0112</t>
        </is>
      </c>
      <c r="B113" s="6" t="n">
        <v>45515</v>
      </c>
      <c r="C113" s="2" t="inlineStr">
        <is>
          <t>MUS-043</t>
        </is>
      </c>
      <c r="D113" s="2" t="inlineStr">
        <is>
          <t>ST-002</t>
        </is>
      </c>
      <c r="E113" s="2" t="inlineStr">
        <is>
          <t>Siparise Donustu</t>
        </is>
      </c>
      <c r="F113" s="3" t="n">
        <v>42960.43</v>
      </c>
      <c r="G113" s="2" t="inlineStr">
        <is>
          <t>EUR</t>
        </is>
      </c>
      <c r="H113" s="5" t="n">
        <v>1.0533</v>
      </c>
      <c r="I113" s="2" t="n">
        <v>45</v>
      </c>
      <c r="J113" s="5" t="inlineStr">
        <is>
          <t>DAP</t>
        </is>
      </c>
      <c r="K113" s="6" t="n">
        <v>45553</v>
      </c>
      <c r="L113" s="2" t="inlineStr">
        <is>
          <t>Kazanildi</t>
        </is>
      </c>
      <c r="M113" s="2" t="inlineStr"/>
    </row>
    <row r="114">
      <c r="A114" s="2" t="inlineStr">
        <is>
          <t>TKL-0113</t>
        </is>
      </c>
      <c r="B114" s="6" t="n">
        <v>45529</v>
      </c>
      <c r="C114" s="2" t="inlineStr">
        <is>
          <t>MUS-017</t>
        </is>
      </c>
      <c r="D114" s="2" t="inlineStr">
        <is>
          <t>ST-001</t>
        </is>
      </c>
      <c r="E114" s="2" t="inlineStr">
        <is>
          <t>Beklemede</t>
        </is>
      </c>
      <c r="F114" s="3" t="n">
        <v>11117.04</v>
      </c>
      <c r="G114" s="2" t="inlineStr">
        <is>
          <t>EUR</t>
        </is>
      </c>
      <c r="H114" s="5" t="n">
        <v>1.0533</v>
      </c>
      <c r="I114" s="2" t="n">
        <v>45</v>
      </c>
      <c r="J114" s="5" t="inlineStr">
        <is>
          <t>DAP</t>
        </is>
      </c>
      <c r="K114" s="6" t="n">
        <v>45554</v>
      </c>
      <c r="L114" s="2" t="inlineStr">
        <is>
          <t>Acik</t>
        </is>
      </c>
      <c r="M114" s="2" t="inlineStr"/>
    </row>
    <row r="115">
      <c r="A115" s="2" t="inlineStr">
        <is>
          <t>TKL-0114</t>
        </is>
      </c>
      <c r="B115" s="6" t="n">
        <v>45507</v>
      </c>
      <c r="C115" s="2" t="inlineStr">
        <is>
          <t>MUS-031</t>
        </is>
      </c>
      <c r="D115" s="2" t="inlineStr">
        <is>
          <t>ST-001</t>
        </is>
      </c>
      <c r="E115" s="2" t="inlineStr">
        <is>
          <t>Kaybedildi</t>
        </is>
      </c>
      <c r="F115" s="3" t="n">
        <v>36535.32</v>
      </c>
      <c r="G115" s="2" t="inlineStr">
        <is>
          <t>EUR</t>
        </is>
      </c>
      <c r="H115" s="5" t="n">
        <v>1.0533</v>
      </c>
      <c r="I115" s="2" t="n">
        <v>15</v>
      </c>
      <c r="J115" s="5" t="inlineStr">
        <is>
          <t>DAP</t>
        </is>
      </c>
      <c r="K115" s="6" t="n">
        <v>45514</v>
      </c>
      <c r="L115" s="2" t="inlineStr">
        <is>
          <t>Kaybedildi</t>
        </is>
      </c>
      <c r="M115" s="2" t="inlineStr">
        <is>
          <t>Fiyat Yuksek</t>
        </is>
      </c>
    </row>
    <row r="116">
      <c r="A116" s="2" t="inlineStr">
        <is>
          <t>TKL-0115</t>
        </is>
      </c>
      <c r="B116" s="6" t="n">
        <v>45513</v>
      </c>
      <c r="C116" s="2" t="inlineStr">
        <is>
          <t>MUS-041</t>
        </is>
      </c>
      <c r="D116" s="2" t="inlineStr">
        <is>
          <t>ST-001</t>
        </is>
      </c>
      <c r="E116" s="2" t="inlineStr">
        <is>
          <t>Kaybedildi</t>
        </is>
      </c>
      <c r="F116" s="3" t="n">
        <v>11651.83</v>
      </c>
      <c r="G116" s="2" t="inlineStr">
        <is>
          <t>EUR</t>
        </is>
      </c>
      <c r="H116" s="5" t="n">
        <v>1.0533</v>
      </c>
      <c r="I116" s="2" t="n">
        <v>30</v>
      </c>
      <c r="J116" s="5" t="inlineStr">
        <is>
          <t>DAP</t>
        </is>
      </c>
      <c r="K116" s="6" t="n">
        <v>45538</v>
      </c>
      <c r="L116" s="2" t="inlineStr">
        <is>
          <t>Kaybedildi</t>
        </is>
      </c>
      <c r="M116" s="2" t="inlineStr">
        <is>
          <t>Termin Uzun</t>
        </is>
      </c>
    </row>
    <row r="117">
      <c r="A117" s="2" t="inlineStr">
        <is>
          <t>TKL-0116</t>
        </is>
      </c>
      <c r="B117" s="6" t="n">
        <v>45506</v>
      </c>
      <c r="C117" s="2" t="inlineStr">
        <is>
          <t>MUS-014</t>
        </is>
      </c>
      <c r="D117" s="2" t="inlineStr">
        <is>
          <t>ST-008</t>
        </is>
      </c>
      <c r="E117" s="2" t="inlineStr">
        <is>
          <t>Siparise Donustu</t>
        </is>
      </c>
      <c r="F117" s="3" t="n">
        <v>19948.61</v>
      </c>
      <c r="G117" s="2" t="inlineStr">
        <is>
          <t>USD</t>
        </is>
      </c>
      <c r="H117" s="5" t="n">
        <v>1</v>
      </c>
      <c r="I117" s="2" t="n">
        <v>15</v>
      </c>
      <c r="J117" s="5" t="inlineStr">
        <is>
          <t>FCA</t>
        </is>
      </c>
      <c r="K117" s="6" t="n">
        <v>45515</v>
      </c>
      <c r="L117" s="2" t="inlineStr">
        <is>
          <t>Kazanildi</t>
        </is>
      </c>
      <c r="M117" s="2" t="inlineStr"/>
    </row>
    <row r="118">
      <c r="A118" s="2" t="inlineStr">
        <is>
          <t>TKL-0117</t>
        </is>
      </c>
      <c r="B118" s="6" t="n">
        <v>45520</v>
      </c>
      <c r="C118" s="2" t="inlineStr">
        <is>
          <t>MUS-038</t>
        </is>
      </c>
      <c r="D118" s="2" t="inlineStr">
        <is>
          <t>ST-004</t>
        </is>
      </c>
      <c r="E118" s="2" t="inlineStr">
        <is>
          <t>Siparise Donustu</t>
        </is>
      </c>
      <c r="F118" s="3" t="n">
        <v>61934.62</v>
      </c>
      <c r="G118" s="2" t="inlineStr">
        <is>
          <t>USD</t>
        </is>
      </c>
      <c r="H118" s="5" t="n">
        <v>1</v>
      </c>
      <c r="I118" s="2" t="n">
        <v>20</v>
      </c>
      <c r="J118" s="5" t="inlineStr">
        <is>
          <t>CIF</t>
        </is>
      </c>
      <c r="K118" s="6" t="n">
        <v>45535</v>
      </c>
      <c r="L118" s="2" t="inlineStr">
        <is>
          <t>Kazanildi</t>
        </is>
      </c>
      <c r="M118" s="2" t="inlineStr"/>
    </row>
    <row r="119">
      <c r="A119" s="2" t="inlineStr">
        <is>
          <t>TKL-0118</t>
        </is>
      </c>
      <c r="B119" s="6" t="n">
        <v>45529</v>
      </c>
      <c r="C119" s="2" t="inlineStr">
        <is>
          <t>MUS-021</t>
        </is>
      </c>
      <c r="D119" s="2" t="inlineStr">
        <is>
          <t>ST-002</t>
        </is>
      </c>
      <c r="E119" s="2" t="inlineStr">
        <is>
          <t>Kaybedildi</t>
        </is>
      </c>
      <c r="F119" s="3" t="n">
        <v>48697.19</v>
      </c>
      <c r="G119" s="2" t="inlineStr">
        <is>
          <t>EUR</t>
        </is>
      </c>
      <c r="H119" s="5" t="n">
        <v>1.0533</v>
      </c>
      <c r="I119" s="2" t="n">
        <v>20</v>
      </c>
      <c r="J119" s="5" t="inlineStr">
        <is>
          <t>DAP</t>
        </is>
      </c>
      <c r="K119" s="6" t="n">
        <v>45536</v>
      </c>
      <c r="L119" s="2" t="inlineStr">
        <is>
          <t>Kaybedildi</t>
        </is>
      </c>
      <c r="M119" s="2" t="inlineStr">
        <is>
          <t>Fiyat Yuksek</t>
        </is>
      </c>
    </row>
    <row r="120">
      <c r="A120" s="2" t="inlineStr">
        <is>
          <t>TKL-0119</t>
        </is>
      </c>
      <c r="B120" s="6" t="n">
        <v>45510</v>
      </c>
      <c r="C120" s="2" t="inlineStr">
        <is>
          <t>MUS-052</t>
        </is>
      </c>
      <c r="D120" s="2" t="inlineStr">
        <is>
          <t>ST-007</t>
        </is>
      </c>
      <c r="E120" s="2" t="inlineStr">
        <is>
          <t>Kaybedildi</t>
        </is>
      </c>
      <c r="F120" s="3" t="n">
        <v>12773.46</v>
      </c>
      <c r="G120" s="2" t="inlineStr">
        <is>
          <t>USD</t>
        </is>
      </c>
      <c r="H120" s="5" t="n">
        <v>1</v>
      </c>
      <c r="I120" s="2" t="n">
        <v>45</v>
      </c>
      <c r="J120" s="5" t="inlineStr">
        <is>
          <t>FCA</t>
        </is>
      </c>
      <c r="K120" s="6" t="n">
        <v>45554</v>
      </c>
      <c r="L120" s="2" t="inlineStr">
        <is>
          <t>Kaybedildi</t>
        </is>
      </c>
      <c r="M120" s="2" t="inlineStr">
        <is>
          <t>Rakipte Teknik Onay</t>
        </is>
      </c>
    </row>
    <row r="121">
      <c r="A121" s="2" t="inlineStr">
        <is>
          <t>TKL-0120</t>
        </is>
      </c>
      <c r="B121" s="6" t="n">
        <v>45510</v>
      </c>
      <c r="C121" s="2" t="inlineStr">
        <is>
          <t>MUS-037</t>
        </is>
      </c>
      <c r="D121" s="2" t="inlineStr">
        <is>
          <t>ST-002</t>
        </is>
      </c>
      <c r="E121" s="2" t="inlineStr">
        <is>
          <t>Siparise Donustu</t>
        </is>
      </c>
      <c r="F121" s="3" t="n">
        <v>46524.54</v>
      </c>
      <c r="G121" s="2" t="inlineStr">
        <is>
          <t>EUR</t>
        </is>
      </c>
      <c r="H121" s="5" t="n">
        <v>1.0533</v>
      </c>
      <c r="I121" s="2" t="n">
        <v>30</v>
      </c>
      <c r="J121" s="5" t="inlineStr">
        <is>
          <t>DAP</t>
        </is>
      </c>
      <c r="K121" s="6" t="n">
        <v>45527</v>
      </c>
      <c r="L121" s="2" t="inlineStr">
        <is>
          <t>Kazanildi</t>
        </is>
      </c>
      <c r="M121" s="2" t="inlineStr"/>
    </row>
    <row r="122">
      <c r="A122" s="2" t="inlineStr">
        <is>
          <t>TKL-0121</t>
        </is>
      </c>
      <c r="B122" s="6" t="n">
        <v>45534</v>
      </c>
      <c r="C122" s="2" t="inlineStr">
        <is>
          <t>MUS-072</t>
        </is>
      </c>
      <c r="D122" s="2" t="inlineStr">
        <is>
          <t>ST-001</t>
        </is>
      </c>
      <c r="E122" s="2" t="inlineStr">
        <is>
          <t>Siparise Donustu</t>
        </is>
      </c>
      <c r="F122" s="3" t="n">
        <v>13560.99</v>
      </c>
      <c r="G122" s="2" t="inlineStr">
        <is>
          <t>EUR</t>
        </is>
      </c>
      <c r="H122" s="5" t="n">
        <v>1.0533</v>
      </c>
      <c r="I122" s="2" t="n">
        <v>20</v>
      </c>
      <c r="J122" s="5" t="inlineStr">
        <is>
          <t>DAP</t>
        </is>
      </c>
      <c r="K122" s="6" t="n">
        <v>45547</v>
      </c>
      <c r="L122" s="2" t="inlineStr">
        <is>
          <t>Kazanildi</t>
        </is>
      </c>
      <c r="M122" s="2" t="inlineStr"/>
    </row>
    <row r="123">
      <c r="A123" s="2" t="inlineStr">
        <is>
          <t>TKL-0122</t>
        </is>
      </c>
      <c r="B123" s="6" t="n">
        <v>45511</v>
      </c>
      <c r="C123" s="2" t="inlineStr">
        <is>
          <t>MUS-051</t>
        </is>
      </c>
      <c r="D123" s="2" t="inlineStr">
        <is>
          <t>ST-001</t>
        </is>
      </c>
      <c r="E123" s="2" t="inlineStr">
        <is>
          <t>Kaybedildi</t>
        </is>
      </c>
      <c r="F123" s="3" t="n">
        <v>91198.48</v>
      </c>
      <c r="G123" s="2" t="inlineStr">
        <is>
          <t>EUR</t>
        </is>
      </c>
      <c r="H123" s="5" t="n">
        <v>1.0533</v>
      </c>
      <c r="I123" s="2" t="n">
        <v>15</v>
      </c>
      <c r="J123" s="5" t="inlineStr">
        <is>
          <t>DAP</t>
        </is>
      </c>
      <c r="K123" s="6" t="n">
        <v>45521</v>
      </c>
      <c r="L123" s="2" t="inlineStr">
        <is>
          <t>Kaybedildi</t>
        </is>
      </c>
      <c r="M123" s="2" t="inlineStr">
        <is>
          <t>Fiyat Yuksek</t>
        </is>
      </c>
    </row>
    <row r="124">
      <c r="A124" s="2" t="inlineStr">
        <is>
          <t>TKL-0123</t>
        </is>
      </c>
      <c r="B124" s="6" t="n">
        <v>45541</v>
      </c>
      <c r="C124" s="2" t="inlineStr">
        <is>
          <t>MUS-078</t>
        </is>
      </c>
      <c r="D124" s="2" t="inlineStr">
        <is>
          <t>ST-001</t>
        </is>
      </c>
      <c r="E124" s="2" t="inlineStr">
        <is>
          <t>Kaybedildi</t>
        </is>
      </c>
      <c r="F124" s="3" t="n">
        <v>14548.67</v>
      </c>
      <c r="G124" s="2" t="inlineStr">
        <is>
          <t>EUR</t>
        </is>
      </c>
      <c r="H124" s="5" t="n">
        <v>1.0776</v>
      </c>
      <c r="I124" s="2" t="n">
        <v>30</v>
      </c>
      <c r="J124" s="5" t="inlineStr">
        <is>
          <t>DAP</t>
        </is>
      </c>
      <c r="K124" s="6" t="n">
        <v>45570</v>
      </c>
      <c r="L124" s="2" t="inlineStr">
        <is>
          <t>Kaybedildi</t>
        </is>
      </c>
      <c r="M124" s="2" t="inlineStr">
        <is>
          <t>Fiyat Yuksek</t>
        </is>
      </c>
    </row>
    <row r="125">
      <c r="A125" s="2" t="inlineStr">
        <is>
          <t>TKL-0124</t>
        </is>
      </c>
      <c r="B125" s="6" t="n">
        <v>45559</v>
      </c>
      <c r="C125" s="2" t="inlineStr">
        <is>
          <t>MUS-036</t>
        </is>
      </c>
      <c r="D125" s="2" t="inlineStr">
        <is>
          <t>ST-006</t>
        </is>
      </c>
      <c r="E125" s="2" t="inlineStr">
        <is>
          <t>Beklemede</t>
        </is>
      </c>
      <c r="F125" s="3" t="n">
        <v>56222.42</v>
      </c>
      <c r="G125" s="2" t="inlineStr">
        <is>
          <t>USD</t>
        </is>
      </c>
      <c r="H125" s="5" t="n">
        <v>1</v>
      </c>
      <c r="I125" s="2" t="n">
        <v>15</v>
      </c>
      <c r="J125" s="5" t="inlineStr">
        <is>
          <t>CFR</t>
        </is>
      </c>
      <c r="K125" s="6" t="n">
        <v>45570</v>
      </c>
      <c r="L125" s="2" t="inlineStr">
        <is>
          <t>Acik</t>
        </is>
      </c>
      <c r="M125" s="2" t="inlineStr"/>
    </row>
    <row r="126">
      <c r="A126" s="2" t="inlineStr">
        <is>
          <t>TKL-0125</t>
        </is>
      </c>
      <c r="B126" s="6" t="n">
        <v>45542</v>
      </c>
      <c r="C126" s="2" t="inlineStr">
        <is>
          <t>MUS-054</t>
        </is>
      </c>
      <c r="D126" s="2" t="inlineStr">
        <is>
          <t>ST-003</t>
        </is>
      </c>
      <c r="E126" s="2" t="inlineStr">
        <is>
          <t>Kaybedildi</t>
        </is>
      </c>
      <c r="F126" s="3" t="n">
        <v>51727.07</v>
      </c>
      <c r="G126" s="2" t="inlineStr">
        <is>
          <t>USD</t>
        </is>
      </c>
      <c r="H126" s="5" t="n">
        <v>1</v>
      </c>
      <c r="I126" s="2" t="n">
        <v>20</v>
      </c>
      <c r="J126" s="5" t="inlineStr">
        <is>
          <t>CIF</t>
        </is>
      </c>
      <c r="K126" s="6" t="n">
        <v>45550</v>
      </c>
      <c r="L126" s="2" t="inlineStr">
        <is>
          <t>Kaybedildi</t>
        </is>
      </c>
      <c r="M126" s="2" t="inlineStr">
        <is>
          <t>Butce Ertelendi</t>
        </is>
      </c>
    </row>
    <row r="127">
      <c r="A127" s="2" t="inlineStr">
        <is>
          <t>TKL-0126</t>
        </is>
      </c>
      <c r="B127" s="6" t="n">
        <v>45539</v>
      </c>
      <c r="C127" s="2" t="inlineStr">
        <is>
          <t>MUS-006</t>
        </is>
      </c>
      <c r="D127" s="2" t="inlineStr">
        <is>
          <t>ST-008</t>
        </is>
      </c>
      <c r="E127" s="2" t="inlineStr">
        <is>
          <t>Kaybedildi</t>
        </is>
      </c>
      <c r="F127" s="3" t="n">
        <v>39515.12</v>
      </c>
      <c r="G127" s="2" t="inlineStr">
        <is>
          <t>USD</t>
        </is>
      </c>
      <c r="H127" s="5" t="n">
        <v>1</v>
      </c>
      <c r="I127" s="2" t="n">
        <v>30</v>
      </c>
      <c r="J127" s="5" t="inlineStr">
        <is>
          <t>FCA</t>
        </is>
      </c>
      <c r="K127" s="6" t="n">
        <v>45562</v>
      </c>
      <c r="L127" s="2" t="inlineStr">
        <is>
          <t>Kaybedildi</t>
        </is>
      </c>
      <c r="M127" s="2" t="inlineStr">
        <is>
          <t>Butce Ertelendi</t>
        </is>
      </c>
    </row>
    <row r="128">
      <c r="A128" s="2" t="inlineStr">
        <is>
          <t>TKL-0127</t>
        </is>
      </c>
      <c r="B128" s="6" t="n">
        <v>45548</v>
      </c>
      <c r="C128" s="2" t="inlineStr">
        <is>
          <t>MUS-076</t>
        </is>
      </c>
      <c r="D128" s="2" t="inlineStr">
        <is>
          <t>ST-001</t>
        </is>
      </c>
      <c r="E128" s="2" t="inlineStr">
        <is>
          <t>Kaybedildi</t>
        </is>
      </c>
      <c r="F128" s="3" t="n">
        <v>43326.91</v>
      </c>
      <c r="G128" s="2" t="inlineStr">
        <is>
          <t>EUR</t>
        </is>
      </c>
      <c r="H128" s="5" t="n">
        <v>1.0776</v>
      </c>
      <c r="I128" s="2" t="n">
        <v>30</v>
      </c>
      <c r="J128" s="5" t="inlineStr">
        <is>
          <t>DAP</t>
        </is>
      </c>
      <c r="K128" s="6" t="n">
        <v>45564</v>
      </c>
      <c r="L128" s="2" t="inlineStr">
        <is>
          <t>Kaybedildi</t>
        </is>
      </c>
      <c r="M128" s="2" t="inlineStr">
        <is>
          <t>Butce Ertelendi</t>
        </is>
      </c>
    </row>
    <row r="129">
      <c r="A129" s="2" t="inlineStr">
        <is>
          <t>TKL-0128</t>
        </is>
      </c>
      <c r="B129" s="6" t="n">
        <v>45557</v>
      </c>
      <c r="C129" s="2" t="inlineStr">
        <is>
          <t>MUS-065</t>
        </is>
      </c>
      <c r="D129" s="2" t="inlineStr">
        <is>
          <t>ST-005</t>
        </is>
      </c>
      <c r="E129" s="2" t="inlineStr">
        <is>
          <t>Siparise Donustu</t>
        </is>
      </c>
      <c r="F129" s="3" t="n">
        <v>45087.35</v>
      </c>
      <c r="G129" s="2" t="inlineStr">
        <is>
          <t>USD</t>
        </is>
      </c>
      <c r="H129" s="5" t="n">
        <v>1</v>
      </c>
      <c r="I129" s="2" t="n">
        <v>15</v>
      </c>
      <c r="J129" s="5" t="inlineStr">
        <is>
          <t>CFR</t>
        </is>
      </c>
      <c r="K129" s="6" t="n">
        <v>45568</v>
      </c>
      <c r="L129" s="2" t="inlineStr">
        <is>
          <t>Kazanildi</t>
        </is>
      </c>
      <c r="M129" s="2" t="inlineStr"/>
    </row>
    <row r="130">
      <c r="A130" s="2" t="inlineStr">
        <is>
          <t>TKL-0129</t>
        </is>
      </c>
      <c r="B130" s="6" t="n">
        <v>45545</v>
      </c>
      <c r="C130" s="2" t="inlineStr">
        <is>
          <t>MUS-064</t>
        </is>
      </c>
      <c r="D130" s="2" t="inlineStr">
        <is>
          <t>ST-002</t>
        </is>
      </c>
      <c r="E130" s="2" t="inlineStr">
        <is>
          <t>Siparise Donustu</t>
        </is>
      </c>
      <c r="F130" s="3" t="n">
        <v>17092.42</v>
      </c>
      <c r="G130" s="2" t="inlineStr">
        <is>
          <t>EUR</t>
        </is>
      </c>
      <c r="H130" s="5" t="n">
        <v>1.0776</v>
      </c>
      <c r="I130" s="2" t="n">
        <v>20</v>
      </c>
      <c r="J130" s="5" t="inlineStr">
        <is>
          <t>FCA</t>
        </is>
      </c>
      <c r="K130" s="6" t="n">
        <v>45558</v>
      </c>
      <c r="L130" s="2" t="inlineStr">
        <is>
          <t>Kazanildi</t>
        </is>
      </c>
      <c r="M130" s="2" t="inlineStr"/>
    </row>
    <row r="131">
      <c r="A131" s="2" t="inlineStr">
        <is>
          <t>TKL-0130</t>
        </is>
      </c>
      <c r="B131" s="6" t="n">
        <v>45562</v>
      </c>
      <c r="C131" s="2" t="inlineStr">
        <is>
          <t>MUS-051</t>
        </is>
      </c>
      <c r="D131" s="2" t="inlineStr">
        <is>
          <t>ST-002</t>
        </is>
      </c>
      <c r="E131" s="2" t="inlineStr">
        <is>
          <t>Siparise Donustu</t>
        </is>
      </c>
      <c r="F131" s="3" t="n">
        <v>33154.36</v>
      </c>
      <c r="G131" s="2" t="inlineStr">
        <is>
          <t>EUR</t>
        </is>
      </c>
      <c r="H131" s="5" t="n">
        <v>1.0776</v>
      </c>
      <c r="I131" s="2" t="n">
        <v>15</v>
      </c>
      <c r="J131" s="5" t="inlineStr">
        <is>
          <t>DAP</t>
        </is>
      </c>
      <c r="K131" s="6" t="n">
        <v>45574</v>
      </c>
      <c r="L131" s="2" t="inlineStr">
        <is>
          <t>Kazanildi</t>
        </is>
      </c>
      <c r="M131" s="2" t="inlineStr"/>
    </row>
    <row r="132">
      <c r="A132" s="2" t="inlineStr">
        <is>
          <t>TKL-0131</t>
        </is>
      </c>
      <c r="B132" s="6" t="n">
        <v>45548</v>
      </c>
      <c r="C132" s="2" t="inlineStr">
        <is>
          <t>MUS-074</t>
        </is>
      </c>
      <c r="D132" s="2" t="inlineStr">
        <is>
          <t>ST-008</t>
        </is>
      </c>
      <c r="E132" s="2" t="inlineStr">
        <is>
          <t>Siparise Donustu</t>
        </is>
      </c>
      <c r="F132" s="3" t="n">
        <v>63069.55</v>
      </c>
      <c r="G132" s="2" t="inlineStr">
        <is>
          <t>USD</t>
        </is>
      </c>
      <c r="H132" s="5" t="n">
        <v>1</v>
      </c>
      <c r="I132" s="2" t="n">
        <v>15</v>
      </c>
      <c r="J132" s="5" t="inlineStr">
        <is>
          <t>FCA</t>
        </is>
      </c>
      <c r="K132" s="6" t="n">
        <v>45559</v>
      </c>
      <c r="L132" s="2" t="inlineStr">
        <is>
          <t>Kazanildi</t>
        </is>
      </c>
      <c r="M132" s="2" t="inlineStr"/>
    </row>
    <row r="133">
      <c r="A133" s="2" t="inlineStr">
        <is>
          <t>TKL-0132</t>
        </is>
      </c>
      <c r="B133" s="6" t="n">
        <v>45540</v>
      </c>
      <c r="C133" s="2" t="inlineStr">
        <is>
          <t>MUS-047</t>
        </is>
      </c>
      <c r="D133" s="2" t="inlineStr">
        <is>
          <t>ST-006</t>
        </is>
      </c>
      <c r="E133" s="2" t="inlineStr">
        <is>
          <t>Siparise Donustu</t>
        </is>
      </c>
      <c r="F133" s="3" t="n">
        <v>98823.10000000001</v>
      </c>
      <c r="G133" s="2" t="inlineStr">
        <is>
          <t>USD</t>
        </is>
      </c>
      <c r="H133" s="5" t="n">
        <v>1</v>
      </c>
      <c r="I133" s="2" t="n">
        <v>45</v>
      </c>
      <c r="J133" s="5" t="inlineStr">
        <is>
          <t>CFR</t>
        </is>
      </c>
      <c r="K133" s="6" t="n">
        <v>45568</v>
      </c>
      <c r="L133" s="2" t="inlineStr">
        <is>
          <t>Kazanildi</t>
        </is>
      </c>
      <c r="M133" s="2" t="inlineStr"/>
    </row>
    <row r="134">
      <c r="A134" s="2" t="inlineStr">
        <is>
          <t>TKL-0133</t>
        </is>
      </c>
      <c r="B134" s="6" t="n">
        <v>45537</v>
      </c>
      <c r="C134" s="2" t="inlineStr">
        <is>
          <t>MUS-034</t>
        </is>
      </c>
      <c r="D134" s="2" t="inlineStr">
        <is>
          <t>ST-002</t>
        </is>
      </c>
      <c r="E134" s="2" t="inlineStr">
        <is>
          <t>Kaybedildi</t>
        </is>
      </c>
      <c r="F134" s="3" t="n">
        <v>37362.53</v>
      </c>
      <c r="G134" s="2" t="inlineStr">
        <is>
          <t>EUR</t>
        </is>
      </c>
      <c r="H134" s="5" t="n">
        <v>1.0776</v>
      </c>
      <c r="I134" s="2" t="n">
        <v>20</v>
      </c>
      <c r="J134" s="5" t="inlineStr">
        <is>
          <t>DAP</t>
        </is>
      </c>
      <c r="K134" s="6" t="n">
        <v>45544</v>
      </c>
      <c r="L134" s="2" t="inlineStr">
        <is>
          <t>Kaybedildi</t>
        </is>
      </c>
      <c r="M134" s="2" t="inlineStr">
        <is>
          <t>Fiyat Yuksek</t>
        </is>
      </c>
    </row>
    <row r="135">
      <c r="A135" s="2" t="inlineStr">
        <is>
          <t>TKL-0134</t>
        </is>
      </c>
      <c r="B135" s="6" t="n">
        <v>45560</v>
      </c>
      <c r="C135" s="2" t="inlineStr">
        <is>
          <t>MUS-082</t>
        </is>
      </c>
      <c r="D135" s="2" t="inlineStr">
        <is>
          <t>ST-002</t>
        </is>
      </c>
      <c r="E135" s="2" t="inlineStr">
        <is>
          <t>Siparise Donustu</t>
        </is>
      </c>
      <c r="F135" s="3" t="n">
        <v>23465.66</v>
      </c>
      <c r="G135" s="2" t="inlineStr">
        <is>
          <t>EUR</t>
        </is>
      </c>
      <c r="H135" s="5" t="n">
        <v>1.0776</v>
      </c>
      <c r="I135" s="2" t="n">
        <v>20</v>
      </c>
      <c r="J135" s="5" t="inlineStr">
        <is>
          <t>DAP</t>
        </is>
      </c>
      <c r="K135" s="6" t="n">
        <v>45579</v>
      </c>
      <c r="L135" s="2" t="inlineStr">
        <is>
          <t>Kazanildi</t>
        </is>
      </c>
      <c r="M135" s="2" t="inlineStr"/>
    </row>
    <row r="136">
      <c r="A136" s="2" t="inlineStr">
        <is>
          <t>TKL-0135</t>
        </is>
      </c>
      <c r="B136" s="6" t="n">
        <v>45544</v>
      </c>
      <c r="C136" s="2" t="inlineStr">
        <is>
          <t>MUS-083</t>
        </is>
      </c>
      <c r="D136" s="2" t="inlineStr">
        <is>
          <t>ST-001</t>
        </is>
      </c>
      <c r="E136" s="2" t="inlineStr">
        <is>
          <t>Siparise Donustu</t>
        </is>
      </c>
      <c r="F136" s="3" t="n">
        <v>10540.92</v>
      </c>
      <c r="G136" s="2" t="inlineStr">
        <is>
          <t>EUR</t>
        </is>
      </c>
      <c r="H136" s="5" t="n">
        <v>1.0776</v>
      </c>
      <c r="I136" s="2" t="n">
        <v>30</v>
      </c>
      <c r="J136" s="5" t="inlineStr">
        <is>
          <t>DAP</t>
        </is>
      </c>
      <c r="K136" s="6" t="n">
        <v>45561</v>
      </c>
      <c r="L136" s="2" t="inlineStr">
        <is>
          <t>Kazanildi</t>
        </is>
      </c>
      <c r="M136" s="2" t="inlineStr"/>
    </row>
    <row r="137">
      <c r="A137" s="2" t="inlineStr">
        <is>
          <t>TKL-0136</t>
        </is>
      </c>
      <c r="B137" s="6" t="n">
        <v>45561</v>
      </c>
      <c r="C137" s="2" t="inlineStr">
        <is>
          <t>MUS-077</t>
        </is>
      </c>
      <c r="D137" s="2" t="inlineStr">
        <is>
          <t>ST-002</t>
        </is>
      </c>
      <c r="E137" s="2" t="inlineStr">
        <is>
          <t>Siparise Donustu</t>
        </is>
      </c>
      <c r="F137" s="3" t="n">
        <v>43733.57</v>
      </c>
      <c r="G137" s="2" t="inlineStr">
        <is>
          <t>EUR</t>
        </is>
      </c>
      <c r="H137" s="5" t="n">
        <v>1.0776</v>
      </c>
      <c r="I137" s="2" t="n">
        <v>30</v>
      </c>
      <c r="J137" s="5" t="inlineStr">
        <is>
          <t>DAP</t>
        </is>
      </c>
      <c r="K137" s="6" t="n">
        <v>45579</v>
      </c>
      <c r="L137" s="2" t="inlineStr">
        <is>
          <t>Kazanildi</t>
        </is>
      </c>
      <c r="M137" s="2" t="inlineStr"/>
    </row>
    <row r="138">
      <c r="A138" s="2" t="inlineStr">
        <is>
          <t>TKL-0137</t>
        </is>
      </c>
      <c r="B138" s="6" t="n">
        <v>45542</v>
      </c>
      <c r="C138" s="2" t="inlineStr">
        <is>
          <t>MUS-025</t>
        </is>
      </c>
      <c r="D138" s="2" t="inlineStr">
        <is>
          <t>ST-002</t>
        </is>
      </c>
      <c r="E138" s="2" t="inlineStr">
        <is>
          <t>Siparise Donustu</t>
        </is>
      </c>
      <c r="F138" s="3" t="n">
        <v>38735.35</v>
      </c>
      <c r="G138" s="2" t="inlineStr">
        <is>
          <t>EUR</t>
        </is>
      </c>
      <c r="H138" s="5" t="n">
        <v>1.0776</v>
      </c>
      <c r="I138" s="2" t="n">
        <v>20</v>
      </c>
      <c r="J138" s="5" t="inlineStr">
        <is>
          <t>DAP</t>
        </is>
      </c>
      <c r="K138" s="6" t="n">
        <v>45549</v>
      </c>
      <c r="L138" s="2" t="inlineStr">
        <is>
          <t>Kazanildi</t>
        </is>
      </c>
      <c r="M138" s="2" t="inlineStr"/>
    </row>
    <row r="139">
      <c r="A139" s="2" t="inlineStr">
        <is>
          <t>TKL-0138</t>
        </is>
      </c>
      <c r="B139" s="6" t="n">
        <v>45565</v>
      </c>
      <c r="C139" s="2" t="inlineStr">
        <is>
          <t>MUS-064</t>
        </is>
      </c>
      <c r="D139" s="2" t="inlineStr">
        <is>
          <t>ST-002</t>
        </is>
      </c>
      <c r="E139" s="2" t="inlineStr">
        <is>
          <t>Kaybedildi</t>
        </is>
      </c>
      <c r="F139" s="3" t="n">
        <v>39936.2</v>
      </c>
      <c r="G139" s="2" t="inlineStr">
        <is>
          <t>EUR</t>
        </is>
      </c>
      <c r="H139" s="5" t="n">
        <v>1.0776</v>
      </c>
      <c r="I139" s="2" t="n">
        <v>20</v>
      </c>
      <c r="J139" s="5" t="inlineStr">
        <is>
          <t>FCA</t>
        </is>
      </c>
      <c r="K139" s="6" t="n">
        <v>45579</v>
      </c>
      <c r="L139" s="2" t="inlineStr">
        <is>
          <t>Kaybedildi</t>
        </is>
      </c>
      <c r="M139" s="2" t="inlineStr">
        <is>
          <t>Fiyat Yuksek</t>
        </is>
      </c>
    </row>
    <row r="140">
      <c r="A140" s="2" t="inlineStr">
        <is>
          <t>TKL-0139</t>
        </is>
      </c>
      <c r="B140" s="6" t="n">
        <v>45557</v>
      </c>
      <c r="C140" s="2" t="inlineStr">
        <is>
          <t>MUS-064</t>
        </is>
      </c>
      <c r="D140" s="2" t="inlineStr">
        <is>
          <t>ST-002</t>
        </is>
      </c>
      <c r="E140" s="2" t="inlineStr">
        <is>
          <t>Beklemede</t>
        </is>
      </c>
      <c r="F140" s="3" t="n">
        <v>32848.45</v>
      </c>
      <c r="G140" s="2" t="inlineStr">
        <is>
          <t>EUR</t>
        </is>
      </c>
      <c r="H140" s="5" t="n">
        <v>1.0776</v>
      </c>
      <c r="I140" s="2" t="n">
        <v>15</v>
      </c>
      <c r="J140" s="5" t="inlineStr">
        <is>
          <t>FCA</t>
        </is>
      </c>
      <c r="K140" s="6" t="n">
        <v>45572</v>
      </c>
      <c r="L140" s="2" t="inlineStr">
        <is>
          <t>Acik</t>
        </is>
      </c>
      <c r="M140" s="2" t="inlineStr"/>
    </row>
    <row r="141">
      <c r="A141" s="2" t="inlineStr">
        <is>
          <t>TKL-0140</t>
        </is>
      </c>
      <c r="B141" s="6" t="n">
        <v>45538</v>
      </c>
      <c r="C141" s="2" t="inlineStr">
        <is>
          <t>MUS-046</t>
        </is>
      </c>
      <c r="D141" s="2" t="inlineStr">
        <is>
          <t>ST-001</t>
        </is>
      </c>
      <c r="E141" s="2" t="inlineStr">
        <is>
          <t>Kaybedildi</t>
        </is>
      </c>
      <c r="F141" s="3" t="n">
        <v>21906.74</v>
      </c>
      <c r="G141" s="2" t="inlineStr">
        <is>
          <t>EUR</t>
        </is>
      </c>
      <c r="H141" s="5" t="n">
        <v>1.0776</v>
      </c>
      <c r="I141" s="2" t="n">
        <v>30</v>
      </c>
      <c r="J141" s="5" t="inlineStr">
        <is>
          <t>FCA</t>
        </is>
      </c>
      <c r="K141" s="6" t="n">
        <v>45562</v>
      </c>
      <c r="L141" s="2" t="inlineStr">
        <is>
          <t>Kaybedildi</t>
        </is>
      </c>
      <c r="M141" s="2" t="inlineStr">
        <is>
          <t>Fiyat Yuksek</t>
        </is>
      </c>
    </row>
    <row r="142">
      <c r="A142" s="2" t="inlineStr">
        <is>
          <t>TKL-0141</t>
        </is>
      </c>
      <c r="B142" s="6" t="n">
        <v>45561</v>
      </c>
      <c r="C142" s="2" t="inlineStr">
        <is>
          <t>MUS-081</t>
        </is>
      </c>
      <c r="D142" s="2" t="inlineStr">
        <is>
          <t>ST-003</t>
        </is>
      </c>
      <c r="E142" s="2" t="inlineStr">
        <is>
          <t>Siparise Donustu</t>
        </is>
      </c>
      <c r="F142" s="3" t="n">
        <v>38064.42</v>
      </c>
      <c r="G142" s="2" t="inlineStr">
        <is>
          <t>USD</t>
        </is>
      </c>
      <c r="H142" s="5" t="n">
        <v>1</v>
      </c>
      <c r="I142" s="2" t="n">
        <v>45</v>
      </c>
      <c r="J142" s="5" t="inlineStr">
        <is>
          <t>CIF</t>
        </is>
      </c>
      <c r="K142" s="6" t="n">
        <v>45567</v>
      </c>
      <c r="L142" s="2" t="inlineStr">
        <is>
          <t>Kazanildi</t>
        </is>
      </c>
      <c r="M142" s="2" t="inlineStr"/>
    </row>
    <row r="143">
      <c r="A143" s="2" t="inlineStr">
        <is>
          <t>TKL-0142</t>
        </is>
      </c>
      <c r="B143" s="6" t="n">
        <v>45540</v>
      </c>
      <c r="C143" s="2" t="inlineStr">
        <is>
          <t>MUS-026</t>
        </is>
      </c>
      <c r="D143" s="2" t="inlineStr">
        <is>
          <t>ST-001</t>
        </is>
      </c>
      <c r="E143" s="2" t="inlineStr">
        <is>
          <t>Siparise Donustu</t>
        </is>
      </c>
      <c r="F143" s="3" t="n">
        <v>19796.88</v>
      </c>
      <c r="G143" s="2" t="inlineStr">
        <is>
          <t>EUR</t>
        </is>
      </c>
      <c r="H143" s="5" t="n">
        <v>1.0776</v>
      </c>
      <c r="I143" s="2" t="n">
        <v>15</v>
      </c>
      <c r="J143" s="5" t="inlineStr">
        <is>
          <t>FCA</t>
        </is>
      </c>
      <c r="K143" s="6" t="n">
        <v>45545</v>
      </c>
      <c r="L143" s="2" t="inlineStr">
        <is>
          <t>Kazanildi</t>
        </is>
      </c>
      <c r="M143" s="2" t="inlineStr"/>
    </row>
    <row r="144">
      <c r="A144" s="2" t="inlineStr">
        <is>
          <t>TKL-0143</t>
        </is>
      </c>
      <c r="B144" s="6" t="n">
        <v>45583</v>
      </c>
      <c r="C144" s="2" t="inlineStr">
        <is>
          <t>MUS-046</t>
        </is>
      </c>
      <c r="D144" s="2" t="inlineStr">
        <is>
          <t>ST-001</t>
        </is>
      </c>
      <c r="E144" s="2" t="inlineStr">
        <is>
          <t>Siparise Donustu</t>
        </is>
      </c>
      <c r="F144" s="3" t="n">
        <v>20743.35</v>
      </c>
      <c r="G144" s="2" t="inlineStr">
        <is>
          <t>EUR</t>
        </is>
      </c>
      <c r="H144" s="5" t="n">
        <v>1.1016</v>
      </c>
      <c r="I144" s="2" t="n">
        <v>30</v>
      </c>
      <c r="J144" s="5" t="inlineStr">
        <is>
          <t>FCA</t>
        </is>
      </c>
      <c r="K144" s="6" t="n">
        <v>45601</v>
      </c>
      <c r="L144" s="2" t="inlineStr">
        <is>
          <t>Kazanildi</t>
        </is>
      </c>
      <c r="M144" s="2" t="inlineStr"/>
    </row>
    <row r="145">
      <c r="A145" s="2" t="inlineStr">
        <is>
          <t>TKL-0144</t>
        </is>
      </c>
      <c r="B145" s="6" t="n">
        <v>45578</v>
      </c>
      <c r="C145" s="2" t="inlineStr">
        <is>
          <t>MUS-059</t>
        </is>
      </c>
      <c r="D145" s="2" t="inlineStr">
        <is>
          <t>ST-003</t>
        </is>
      </c>
      <c r="E145" s="2" t="inlineStr">
        <is>
          <t>Siparise Donustu</t>
        </is>
      </c>
      <c r="F145" s="3" t="n">
        <v>45587.66</v>
      </c>
      <c r="G145" s="2" t="inlineStr">
        <is>
          <t>USD</t>
        </is>
      </c>
      <c r="H145" s="5" t="n">
        <v>1</v>
      </c>
      <c r="I145" s="2" t="n">
        <v>45</v>
      </c>
      <c r="J145" s="5" t="inlineStr">
        <is>
          <t>CIF</t>
        </is>
      </c>
      <c r="K145" s="6" t="n">
        <v>45596</v>
      </c>
      <c r="L145" s="2" t="inlineStr">
        <is>
          <t>Kazanildi</t>
        </is>
      </c>
      <c r="M145" s="2" t="inlineStr"/>
    </row>
    <row r="146">
      <c r="A146" s="2" t="inlineStr">
        <is>
          <t>TKL-0145</t>
        </is>
      </c>
      <c r="B146" s="6" t="n">
        <v>45571</v>
      </c>
      <c r="C146" s="2" t="inlineStr">
        <is>
          <t>MUS-001</t>
        </is>
      </c>
      <c r="D146" s="2" t="inlineStr">
        <is>
          <t>ST-005</t>
        </is>
      </c>
      <c r="E146" s="2" t="inlineStr">
        <is>
          <t>Kaybedildi</t>
        </is>
      </c>
      <c r="F146" s="3" t="n">
        <v>1134</v>
      </c>
      <c r="G146" s="2" t="inlineStr">
        <is>
          <t>USD</t>
        </is>
      </c>
      <c r="H146" s="5" t="n">
        <v>1</v>
      </c>
      <c r="I146" s="2" t="n">
        <v>45</v>
      </c>
      <c r="J146" s="5" t="inlineStr">
        <is>
          <t>CFR</t>
        </is>
      </c>
      <c r="K146" s="6" t="n">
        <v>45601</v>
      </c>
      <c r="L146" s="2" t="inlineStr">
        <is>
          <t>Kaybedildi</t>
        </is>
      </c>
      <c r="M146" s="2" t="inlineStr">
        <is>
          <t>Termin Uzun</t>
        </is>
      </c>
    </row>
    <row r="147">
      <c r="A147" s="2" t="inlineStr">
        <is>
          <t>TKL-0146</t>
        </is>
      </c>
      <c r="B147" s="6" t="n">
        <v>45579</v>
      </c>
      <c r="C147" s="2" t="inlineStr">
        <is>
          <t>MUS-072</t>
        </is>
      </c>
      <c r="D147" s="2" t="inlineStr">
        <is>
          <t>ST-002</t>
        </is>
      </c>
      <c r="E147" s="2" t="inlineStr">
        <is>
          <t>Siparise Donustu</t>
        </is>
      </c>
      <c r="F147" s="3" t="n">
        <v>69744.95</v>
      </c>
      <c r="G147" s="2" t="inlineStr">
        <is>
          <t>EUR</t>
        </is>
      </c>
      <c r="H147" s="5" t="n">
        <v>1.1016</v>
      </c>
      <c r="I147" s="2" t="n">
        <v>15</v>
      </c>
      <c r="J147" s="5" t="inlineStr">
        <is>
          <t>DAP</t>
        </is>
      </c>
      <c r="K147" s="6" t="n">
        <v>45586</v>
      </c>
      <c r="L147" s="2" t="inlineStr">
        <is>
          <t>Kazanildi</t>
        </is>
      </c>
      <c r="M147" s="2" t="inlineStr"/>
    </row>
    <row r="148">
      <c r="A148" s="2" t="inlineStr">
        <is>
          <t>TKL-0147</t>
        </is>
      </c>
      <c r="B148" s="6" t="n">
        <v>45569</v>
      </c>
      <c r="C148" s="2" t="inlineStr">
        <is>
          <t>MUS-003</t>
        </is>
      </c>
      <c r="D148" s="2" t="inlineStr">
        <is>
          <t>ST-004</t>
        </is>
      </c>
      <c r="E148" s="2" t="inlineStr">
        <is>
          <t>Beklemede</t>
        </is>
      </c>
      <c r="F148" s="3" t="n">
        <v>16679.51</v>
      </c>
      <c r="G148" s="2" t="inlineStr">
        <is>
          <t>USD</t>
        </is>
      </c>
      <c r="H148" s="5" t="n">
        <v>1</v>
      </c>
      <c r="I148" s="2" t="n">
        <v>30</v>
      </c>
      <c r="J148" s="5" t="inlineStr">
        <is>
          <t>CIF</t>
        </is>
      </c>
      <c r="K148" s="6" t="n">
        <v>45577</v>
      </c>
      <c r="L148" s="2" t="inlineStr">
        <is>
          <t>Acik</t>
        </is>
      </c>
      <c r="M148" s="2" t="inlineStr"/>
    </row>
    <row r="149">
      <c r="A149" s="2" t="inlineStr">
        <is>
          <t>TKL-0148</t>
        </is>
      </c>
      <c r="B149" s="6" t="n">
        <v>45585</v>
      </c>
      <c r="C149" s="2" t="inlineStr">
        <is>
          <t>MUS-074</t>
        </is>
      </c>
      <c r="D149" s="2" t="inlineStr">
        <is>
          <t>ST-007</t>
        </is>
      </c>
      <c r="E149" s="2" t="inlineStr">
        <is>
          <t>Kaybedildi</t>
        </is>
      </c>
      <c r="F149" s="3" t="n">
        <v>37263.8</v>
      </c>
      <c r="G149" s="2" t="inlineStr">
        <is>
          <t>USD</t>
        </is>
      </c>
      <c r="H149" s="5" t="n">
        <v>1</v>
      </c>
      <c r="I149" s="2" t="n">
        <v>20</v>
      </c>
      <c r="J149" s="5" t="inlineStr">
        <is>
          <t>FCA</t>
        </is>
      </c>
      <c r="K149" s="6" t="n">
        <v>45592</v>
      </c>
      <c r="L149" s="2" t="inlineStr">
        <is>
          <t>Kaybedildi</t>
        </is>
      </c>
      <c r="M149" s="2" t="inlineStr">
        <is>
          <t>Termin Uzun</t>
        </is>
      </c>
    </row>
    <row r="150">
      <c r="A150" s="2" t="inlineStr">
        <is>
          <t>TKL-0149</t>
        </is>
      </c>
      <c r="B150" s="6" t="n">
        <v>45587</v>
      </c>
      <c r="C150" s="2" t="inlineStr">
        <is>
          <t>MUS-070</t>
        </is>
      </c>
      <c r="D150" s="2" t="inlineStr">
        <is>
          <t>ST-001</t>
        </is>
      </c>
      <c r="E150" s="2" t="inlineStr">
        <is>
          <t>Siparise Donustu</t>
        </is>
      </c>
      <c r="F150" s="3" t="n">
        <v>6142.76</v>
      </c>
      <c r="G150" s="2" t="inlineStr">
        <is>
          <t>EUR</t>
        </is>
      </c>
      <c r="H150" s="5" t="n">
        <v>1.1016</v>
      </c>
      <c r="I150" s="2" t="n">
        <v>20</v>
      </c>
      <c r="J150" s="5" t="inlineStr">
        <is>
          <t>DAP</t>
        </is>
      </c>
      <c r="K150" s="6" t="n">
        <v>45592</v>
      </c>
      <c r="L150" s="2" t="inlineStr">
        <is>
          <t>Kazanildi</t>
        </is>
      </c>
      <c r="M150" s="2" t="inlineStr"/>
    </row>
    <row r="151">
      <c r="A151" s="2" t="inlineStr">
        <is>
          <t>TKL-0150</t>
        </is>
      </c>
      <c r="B151" s="6" t="n">
        <v>45583</v>
      </c>
      <c r="C151" s="2" t="inlineStr">
        <is>
          <t>MUS-063</t>
        </is>
      </c>
      <c r="D151" s="2" t="inlineStr">
        <is>
          <t>ST-001</t>
        </is>
      </c>
      <c r="E151" s="2" t="inlineStr">
        <is>
          <t>Siparise Donustu</t>
        </is>
      </c>
      <c r="F151" s="3" t="n">
        <v>13300.46</v>
      </c>
      <c r="G151" s="2" t="inlineStr">
        <is>
          <t>EUR</t>
        </is>
      </c>
      <c r="H151" s="5" t="n">
        <v>1.1016</v>
      </c>
      <c r="I151" s="2" t="n">
        <v>45</v>
      </c>
      <c r="J151" s="5" t="inlineStr">
        <is>
          <t>DAP</t>
        </is>
      </c>
      <c r="K151" s="6" t="n">
        <v>45618</v>
      </c>
      <c r="L151" s="2" t="inlineStr">
        <is>
          <t>Kazanildi</t>
        </is>
      </c>
      <c r="M151" s="2" t="inlineStr"/>
    </row>
    <row r="152">
      <c r="A152" s="2" t="inlineStr">
        <is>
          <t>TKL-0151</t>
        </is>
      </c>
      <c r="B152" s="6" t="n">
        <v>45586</v>
      </c>
      <c r="C152" s="2" t="inlineStr">
        <is>
          <t>MUS-078</t>
        </is>
      </c>
      <c r="D152" s="2" t="inlineStr">
        <is>
          <t>ST-002</t>
        </is>
      </c>
      <c r="E152" s="2" t="inlineStr">
        <is>
          <t>Siparise Donustu</t>
        </is>
      </c>
      <c r="F152" s="3" t="n">
        <v>46244.6</v>
      </c>
      <c r="G152" s="2" t="inlineStr">
        <is>
          <t>EUR</t>
        </is>
      </c>
      <c r="H152" s="5" t="n">
        <v>1.1016</v>
      </c>
      <c r="I152" s="2" t="n">
        <v>30</v>
      </c>
      <c r="J152" s="5" t="inlineStr">
        <is>
          <t>DAP</t>
        </is>
      </c>
      <c r="K152" s="6" t="n">
        <v>45616</v>
      </c>
      <c r="L152" s="2" t="inlineStr">
        <is>
          <t>Kazanildi</t>
        </is>
      </c>
      <c r="M152" s="2" t="inlineStr"/>
    </row>
    <row r="153">
      <c r="A153" s="2" t="inlineStr">
        <is>
          <t>TKL-0152</t>
        </is>
      </c>
      <c r="B153" s="6" t="n">
        <v>45578</v>
      </c>
      <c r="C153" s="2" t="inlineStr">
        <is>
          <t>MUS-045</t>
        </is>
      </c>
      <c r="D153" s="2" t="inlineStr">
        <is>
          <t>ST-008</t>
        </is>
      </c>
      <c r="E153" s="2" t="inlineStr">
        <is>
          <t>Siparise Donustu</t>
        </is>
      </c>
      <c r="F153" s="3" t="n">
        <v>41458.7</v>
      </c>
      <c r="G153" s="2" t="inlineStr">
        <is>
          <t>USD</t>
        </is>
      </c>
      <c r="H153" s="5" t="n">
        <v>1</v>
      </c>
      <c r="I153" s="2" t="n">
        <v>45</v>
      </c>
      <c r="J153" s="5" t="inlineStr">
        <is>
          <t>FCA</t>
        </is>
      </c>
      <c r="K153" s="6" t="n">
        <v>45601</v>
      </c>
      <c r="L153" s="2" t="inlineStr">
        <is>
          <t>Kazanildi</t>
        </is>
      </c>
      <c r="M153" s="2" t="inlineStr"/>
    </row>
    <row r="154">
      <c r="A154" s="2" t="inlineStr">
        <is>
          <t>TKL-0153</t>
        </is>
      </c>
      <c r="B154" s="6" t="n">
        <v>45582</v>
      </c>
      <c r="C154" s="2" t="inlineStr">
        <is>
          <t>MUS-011</t>
        </is>
      </c>
      <c r="D154" s="2" t="inlineStr">
        <is>
          <t>ST-003</t>
        </is>
      </c>
      <c r="E154" s="2" t="inlineStr">
        <is>
          <t>Beklemede</t>
        </is>
      </c>
      <c r="F154" s="3" t="n">
        <v>10509.6</v>
      </c>
      <c r="G154" s="2" t="inlineStr">
        <is>
          <t>USD</t>
        </is>
      </c>
      <c r="H154" s="5" t="n">
        <v>1</v>
      </c>
      <c r="I154" s="2" t="n">
        <v>30</v>
      </c>
      <c r="J154" s="5" t="inlineStr">
        <is>
          <t>CIF</t>
        </is>
      </c>
      <c r="K154" s="6" t="n">
        <v>45595</v>
      </c>
      <c r="L154" s="2" t="inlineStr">
        <is>
          <t>Acik</t>
        </is>
      </c>
      <c r="M154" s="2" t="inlineStr"/>
    </row>
    <row r="155">
      <c r="A155" s="2" t="inlineStr">
        <is>
          <t>TKL-0154</t>
        </is>
      </c>
      <c r="B155" s="6" t="n">
        <v>45589</v>
      </c>
      <c r="C155" s="2" t="inlineStr">
        <is>
          <t>MUS-005</t>
        </is>
      </c>
      <c r="D155" s="2" t="inlineStr">
        <is>
          <t>ST-001</t>
        </is>
      </c>
      <c r="E155" s="2" t="inlineStr">
        <is>
          <t>Siparise Donustu</t>
        </is>
      </c>
      <c r="F155" s="3" t="n">
        <v>6387.2</v>
      </c>
      <c r="G155" s="2" t="inlineStr">
        <is>
          <t>EUR</t>
        </is>
      </c>
      <c r="H155" s="5" t="n">
        <v>1.1016</v>
      </c>
      <c r="I155" s="2" t="n">
        <v>45</v>
      </c>
      <c r="J155" s="5" t="inlineStr">
        <is>
          <t>DAP</t>
        </is>
      </c>
      <c r="K155" s="6" t="n">
        <v>45606</v>
      </c>
      <c r="L155" s="2" t="inlineStr">
        <is>
          <t>Kazanildi</t>
        </is>
      </c>
      <c r="M155" s="2" t="inlineStr"/>
    </row>
    <row r="156">
      <c r="A156" s="2" t="inlineStr">
        <is>
          <t>TKL-0155</t>
        </is>
      </c>
      <c r="B156" s="6" t="n">
        <v>45594</v>
      </c>
      <c r="C156" s="2" t="inlineStr">
        <is>
          <t>MUS-009</t>
        </is>
      </c>
      <c r="D156" s="2" t="inlineStr">
        <is>
          <t>ST-002</t>
        </is>
      </c>
      <c r="E156" s="2" t="inlineStr">
        <is>
          <t>Kaybedildi</t>
        </is>
      </c>
      <c r="F156" s="3" t="n">
        <v>24523.63</v>
      </c>
      <c r="G156" s="2" t="inlineStr">
        <is>
          <t>EUR</t>
        </is>
      </c>
      <c r="H156" s="5" t="n">
        <v>1.1016</v>
      </c>
      <c r="I156" s="2" t="n">
        <v>15</v>
      </c>
      <c r="J156" s="5" t="inlineStr">
        <is>
          <t>DAP</t>
        </is>
      </c>
      <c r="K156" s="6" t="n">
        <v>45602</v>
      </c>
      <c r="L156" s="2" t="inlineStr">
        <is>
          <t>Kaybedildi</t>
        </is>
      </c>
      <c r="M156" s="2" t="inlineStr">
        <is>
          <t>Fiyat Yuksek</t>
        </is>
      </c>
    </row>
    <row r="157">
      <c r="A157" s="2" t="inlineStr">
        <is>
          <t>TKL-0156</t>
        </is>
      </c>
      <c r="B157" s="6" t="n">
        <v>45566</v>
      </c>
      <c r="C157" s="2" t="inlineStr">
        <is>
          <t>MUS-067</t>
        </is>
      </c>
      <c r="D157" s="2" t="inlineStr">
        <is>
          <t>ST-004</t>
        </is>
      </c>
      <c r="E157" s="2" t="inlineStr">
        <is>
          <t>Siparise Donustu</t>
        </is>
      </c>
      <c r="F157" s="3" t="n">
        <v>40974.75</v>
      </c>
      <c r="G157" s="2" t="inlineStr">
        <is>
          <t>USD</t>
        </is>
      </c>
      <c r="H157" s="5" t="n">
        <v>1</v>
      </c>
      <c r="I157" s="2" t="n">
        <v>15</v>
      </c>
      <c r="J157" s="5" t="inlineStr">
        <is>
          <t>CIF</t>
        </is>
      </c>
      <c r="K157" s="6" t="n">
        <v>45575</v>
      </c>
      <c r="L157" s="2" t="inlineStr">
        <is>
          <t>Kazanildi</t>
        </is>
      </c>
      <c r="M157" s="2" t="inlineStr"/>
    </row>
    <row r="158">
      <c r="A158" s="2" t="inlineStr">
        <is>
          <t>TKL-0157</t>
        </is>
      </c>
      <c r="B158" s="6" t="n">
        <v>45570</v>
      </c>
      <c r="C158" s="2" t="inlineStr">
        <is>
          <t>MUS-036</t>
        </is>
      </c>
      <c r="D158" s="2" t="inlineStr">
        <is>
          <t>ST-006</t>
        </is>
      </c>
      <c r="E158" s="2" t="inlineStr">
        <is>
          <t>Kaybedildi</t>
        </is>
      </c>
      <c r="F158" s="3" t="n">
        <v>52377.35</v>
      </c>
      <c r="G158" s="2" t="inlineStr">
        <is>
          <t>USD</t>
        </is>
      </c>
      <c r="H158" s="5" t="n">
        <v>1</v>
      </c>
      <c r="I158" s="2" t="n">
        <v>15</v>
      </c>
      <c r="J158" s="5" t="inlineStr">
        <is>
          <t>CFR</t>
        </is>
      </c>
      <c r="K158" s="6" t="n">
        <v>45581</v>
      </c>
      <c r="L158" s="2" t="inlineStr">
        <is>
          <t>Kaybedildi</t>
        </is>
      </c>
      <c r="M158" s="2" t="inlineStr">
        <is>
          <t>Fiyat Yuksek</t>
        </is>
      </c>
    </row>
    <row r="159">
      <c r="A159" s="2" t="inlineStr">
        <is>
          <t>TKL-0158</t>
        </is>
      </c>
      <c r="B159" s="6" t="n">
        <v>45579</v>
      </c>
      <c r="C159" s="2" t="inlineStr">
        <is>
          <t>MUS-067</t>
        </is>
      </c>
      <c r="D159" s="2" t="inlineStr">
        <is>
          <t>ST-004</t>
        </is>
      </c>
      <c r="E159" s="2" t="inlineStr">
        <is>
          <t>Siparise Donustu</t>
        </is>
      </c>
      <c r="F159" s="3" t="n">
        <v>100418.48</v>
      </c>
      <c r="G159" s="2" t="inlineStr">
        <is>
          <t>USD</t>
        </is>
      </c>
      <c r="H159" s="5" t="n">
        <v>1</v>
      </c>
      <c r="I159" s="2" t="n">
        <v>45</v>
      </c>
      <c r="J159" s="5" t="inlineStr">
        <is>
          <t>CIF</t>
        </is>
      </c>
      <c r="K159" s="6" t="n">
        <v>45588</v>
      </c>
      <c r="L159" s="2" t="inlineStr">
        <is>
          <t>Kazanildi</t>
        </is>
      </c>
      <c r="M159" s="2" t="inlineStr"/>
    </row>
    <row r="160">
      <c r="A160" s="2" t="inlineStr">
        <is>
          <t>TKL-0159</t>
        </is>
      </c>
      <c r="B160" s="6" t="n">
        <v>45585</v>
      </c>
      <c r="C160" s="2" t="inlineStr">
        <is>
          <t>MUS-084</t>
        </is>
      </c>
      <c r="D160" s="2" t="inlineStr">
        <is>
          <t>ST-001</t>
        </is>
      </c>
      <c r="E160" s="2" t="inlineStr">
        <is>
          <t>Kaybedildi</t>
        </is>
      </c>
      <c r="F160" s="3" t="n">
        <v>25514.44</v>
      </c>
      <c r="G160" s="2" t="inlineStr">
        <is>
          <t>EUR</t>
        </is>
      </c>
      <c r="H160" s="5" t="n">
        <v>1.1016</v>
      </c>
      <c r="I160" s="2" t="n">
        <v>20</v>
      </c>
      <c r="J160" s="5" t="inlineStr">
        <is>
          <t>DAP</t>
        </is>
      </c>
      <c r="K160" s="6" t="n">
        <v>45592</v>
      </c>
      <c r="L160" s="2" t="inlineStr">
        <is>
          <t>Kaybedildi</t>
        </is>
      </c>
      <c r="M160" s="2" t="inlineStr">
        <is>
          <t>Termin Uzun</t>
        </is>
      </c>
    </row>
    <row r="161">
      <c r="A161" s="2" t="inlineStr">
        <is>
          <t>TKL-0160</t>
        </is>
      </c>
      <c r="B161" s="6" t="n">
        <v>45589</v>
      </c>
      <c r="C161" s="2" t="inlineStr">
        <is>
          <t>MUS-026</t>
        </is>
      </c>
      <c r="D161" s="2" t="inlineStr">
        <is>
          <t>ST-002</t>
        </is>
      </c>
      <c r="E161" s="2" t="inlineStr">
        <is>
          <t>Kaybedildi</t>
        </is>
      </c>
      <c r="F161" s="3" t="n">
        <v>11762.02</v>
      </c>
      <c r="G161" s="2" t="inlineStr">
        <is>
          <t>EUR</t>
        </is>
      </c>
      <c r="H161" s="5" t="n">
        <v>1.1016</v>
      </c>
      <c r="I161" s="2" t="n">
        <v>15</v>
      </c>
      <c r="J161" s="5" t="inlineStr">
        <is>
          <t>FCA</t>
        </is>
      </c>
      <c r="K161" s="6" t="n">
        <v>45595</v>
      </c>
      <c r="L161" s="2" t="inlineStr">
        <is>
          <t>Kaybedildi</t>
        </is>
      </c>
      <c r="M161" s="2" t="inlineStr">
        <is>
          <t>Butce Ertelendi</t>
        </is>
      </c>
    </row>
    <row r="162">
      <c r="A162" s="2" t="inlineStr">
        <is>
          <t>TKL-0161</t>
        </is>
      </c>
      <c r="B162" s="6" t="n">
        <v>45582</v>
      </c>
      <c r="C162" s="2" t="inlineStr">
        <is>
          <t>MUS-069</t>
        </is>
      </c>
      <c r="D162" s="2" t="inlineStr">
        <is>
          <t>ST-002</t>
        </is>
      </c>
      <c r="E162" s="2" t="inlineStr">
        <is>
          <t>Siparise Donustu</t>
        </is>
      </c>
      <c r="F162" s="3" t="n">
        <v>45673.33</v>
      </c>
      <c r="G162" s="2" t="inlineStr">
        <is>
          <t>EUR</t>
        </is>
      </c>
      <c r="H162" s="5" t="n">
        <v>1.1016</v>
      </c>
      <c r="I162" s="2" t="n">
        <v>30</v>
      </c>
      <c r="J162" s="5" t="inlineStr">
        <is>
          <t>FCA</t>
        </is>
      </c>
      <c r="K162" s="6" t="n">
        <v>45598</v>
      </c>
      <c r="L162" s="2" t="inlineStr">
        <is>
          <t>Kazanildi</t>
        </is>
      </c>
      <c r="M162" s="2" t="inlineStr"/>
    </row>
    <row r="163">
      <c r="A163" s="2" t="inlineStr">
        <is>
          <t>TKL-0162</t>
        </is>
      </c>
      <c r="B163" s="6" t="n">
        <v>45587</v>
      </c>
      <c r="C163" s="2" t="inlineStr">
        <is>
          <t>MUS-082</t>
        </is>
      </c>
      <c r="D163" s="2" t="inlineStr">
        <is>
          <t>ST-002</t>
        </is>
      </c>
      <c r="E163" s="2" t="inlineStr">
        <is>
          <t>Siparise Donustu</t>
        </is>
      </c>
      <c r="F163" s="3" t="n">
        <v>19502.43</v>
      </c>
      <c r="G163" s="2" t="inlineStr">
        <is>
          <t>EUR</t>
        </is>
      </c>
      <c r="H163" s="5" t="n">
        <v>1.1016</v>
      </c>
      <c r="I163" s="2" t="n">
        <v>30</v>
      </c>
      <c r="J163" s="5" t="inlineStr">
        <is>
          <t>DAP</t>
        </is>
      </c>
      <c r="K163" s="6" t="n">
        <v>45605</v>
      </c>
      <c r="L163" s="2" t="inlineStr">
        <is>
          <t>Kazanildi</t>
        </is>
      </c>
      <c r="M163" s="2" t="inlineStr"/>
    </row>
    <row r="164">
      <c r="A164" s="2" t="inlineStr">
        <is>
          <t>TKL-0163</t>
        </is>
      </c>
      <c r="B164" s="6" t="n">
        <v>45593</v>
      </c>
      <c r="C164" s="2" t="inlineStr">
        <is>
          <t>MUS-051</t>
        </is>
      </c>
      <c r="D164" s="2" t="inlineStr">
        <is>
          <t>ST-001</t>
        </is>
      </c>
      <c r="E164" s="2" t="inlineStr">
        <is>
          <t>Kaybedildi</t>
        </is>
      </c>
      <c r="F164" s="3" t="n">
        <v>35273.1</v>
      </c>
      <c r="G164" s="2" t="inlineStr">
        <is>
          <t>EUR</t>
        </is>
      </c>
      <c r="H164" s="5" t="n">
        <v>1.1016</v>
      </c>
      <c r="I164" s="2" t="n">
        <v>15</v>
      </c>
      <c r="J164" s="5" t="inlineStr">
        <is>
          <t>DAP</t>
        </is>
      </c>
      <c r="K164" s="6" t="n">
        <v>45598</v>
      </c>
      <c r="L164" s="2" t="inlineStr">
        <is>
          <t>Kaybedildi</t>
        </is>
      </c>
      <c r="M164" s="2" t="inlineStr">
        <is>
          <t>Fiyat Yuksek</t>
        </is>
      </c>
    </row>
    <row r="165">
      <c r="A165" s="2" t="inlineStr">
        <is>
          <t>TKL-0164</t>
        </is>
      </c>
      <c r="B165" s="6" t="n">
        <v>45566</v>
      </c>
      <c r="C165" s="2" t="inlineStr">
        <is>
          <t>MUS-022</t>
        </is>
      </c>
      <c r="D165" s="2" t="inlineStr">
        <is>
          <t>ST-001</t>
        </is>
      </c>
      <c r="E165" s="2" t="inlineStr">
        <is>
          <t>Siparise Donustu</t>
        </is>
      </c>
      <c r="F165" s="3" t="n">
        <v>28246.46</v>
      </c>
      <c r="G165" s="2" t="inlineStr">
        <is>
          <t>EUR</t>
        </is>
      </c>
      <c r="H165" s="5" t="n">
        <v>1.1016</v>
      </c>
      <c r="I165" s="2" t="n">
        <v>20</v>
      </c>
      <c r="J165" s="5" t="inlineStr">
        <is>
          <t>DAP</t>
        </is>
      </c>
      <c r="K165" s="6" t="n">
        <v>45584</v>
      </c>
      <c r="L165" s="2" t="inlineStr">
        <is>
          <t>Kazanildi</t>
        </is>
      </c>
      <c r="M165" s="2" t="inlineStr"/>
    </row>
    <row r="166">
      <c r="A166" s="2" t="inlineStr">
        <is>
          <t>TKL-0165</t>
        </is>
      </c>
      <c r="B166" s="6" t="n">
        <v>45569</v>
      </c>
      <c r="C166" s="2" t="inlineStr">
        <is>
          <t>MUS-045</t>
        </is>
      </c>
      <c r="D166" s="2" t="inlineStr">
        <is>
          <t>ST-007</t>
        </is>
      </c>
      <c r="E166" s="2" t="inlineStr">
        <is>
          <t>Kaybedildi</t>
        </is>
      </c>
      <c r="F166" s="3" t="n">
        <v>34708.3</v>
      </c>
      <c r="G166" s="2" t="inlineStr">
        <is>
          <t>USD</t>
        </is>
      </c>
      <c r="H166" s="5" t="n">
        <v>1</v>
      </c>
      <c r="I166" s="2" t="n">
        <v>30</v>
      </c>
      <c r="J166" s="5" t="inlineStr">
        <is>
          <t>FCA</t>
        </is>
      </c>
      <c r="K166" s="6" t="n">
        <v>45585</v>
      </c>
      <c r="L166" s="2" t="inlineStr">
        <is>
          <t>Kaybedildi</t>
        </is>
      </c>
      <c r="M166" s="2" t="inlineStr">
        <is>
          <t>Termin Uzun</t>
        </is>
      </c>
    </row>
    <row r="167">
      <c r="A167" s="2" t="inlineStr">
        <is>
          <t>TKL-0166</t>
        </is>
      </c>
      <c r="B167" s="6" t="n">
        <v>45585</v>
      </c>
      <c r="C167" s="2" t="inlineStr">
        <is>
          <t>MUS-071</t>
        </is>
      </c>
      <c r="D167" s="2" t="inlineStr">
        <is>
          <t>ST-008</t>
        </is>
      </c>
      <c r="E167" s="2" t="inlineStr">
        <is>
          <t>Kaybedildi</t>
        </is>
      </c>
      <c r="F167" s="3" t="n">
        <v>32296.59</v>
      </c>
      <c r="G167" s="2" t="inlineStr">
        <is>
          <t>USD</t>
        </is>
      </c>
      <c r="H167" s="5" t="n">
        <v>1</v>
      </c>
      <c r="I167" s="2" t="n">
        <v>45</v>
      </c>
      <c r="J167" s="5" t="inlineStr">
        <is>
          <t>FCA</t>
        </is>
      </c>
      <c r="K167" s="6" t="n">
        <v>45617</v>
      </c>
      <c r="L167" s="2" t="inlineStr">
        <is>
          <t>Kaybedildi</t>
        </is>
      </c>
      <c r="M167" s="2" t="inlineStr">
        <is>
          <t>Butce Ertelendi</t>
        </is>
      </c>
    </row>
    <row r="168">
      <c r="A168" s="2" t="inlineStr">
        <is>
          <t>TKL-0167</t>
        </is>
      </c>
      <c r="B168" s="6" t="n">
        <v>45594</v>
      </c>
      <c r="C168" s="2" t="inlineStr">
        <is>
          <t>MUS-045</t>
        </is>
      </c>
      <c r="D168" s="2" t="inlineStr">
        <is>
          <t>ST-007</t>
        </is>
      </c>
      <c r="E168" s="2" t="inlineStr">
        <is>
          <t>Kaybedildi</t>
        </is>
      </c>
      <c r="F168" s="3" t="n">
        <v>11156.56</v>
      </c>
      <c r="G168" s="2" t="inlineStr">
        <is>
          <t>USD</t>
        </is>
      </c>
      <c r="H168" s="5" t="n">
        <v>1</v>
      </c>
      <c r="I168" s="2" t="n">
        <v>15</v>
      </c>
      <c r="J168" s="5" t="inlineStr">
        <is>
          <t>FCA</t>
        </is>
      </c>
      <c r="K168" s="6" t="n">
        <v>45609</v>
      </c>
      <c r="L168" s="2" t="inlineStr">
        <is>
          <t>Kaybedildi</t>
        </is>
      </c>
      <c r="M168" s="2" t="inlineStr">
        <is>
          <t>Butce Ertelendi</t>
        </is>
      </c>
    </row>
    <row r="169">
      <c r="A169" s="2" t="inlineStr">
        <is>
          <t>TKL-0168</t>
        </is>
      </c>
      <c r="B169" s="6" t="n">
        <v>45573</v>
      </c>
      <c r="C169" s="2" t="inlineStr">
        <is>
          <t>MUS-068</t>
        </is>
      </c>
      <c r="D169" s="2" t="inlineStr">
        <is>
          <t>ST-002</t>
        </is>
      </c>
      <c r="E169" s="2" t="inlineStr">
        <is>
          <t>Siparise Donustu</t>
        </is>
      </c>
      <c r="F169" s="3" t="n">
        <v>23502.47</v>
      </c>
      <c r="G169" s="2" t="inlineStr">
        <is>
          <t>EUR</t>
        </is>
      </c>
      <c r="H169" s="5" t="n">
        <v>1.1016</v>
      </c>
      <c r="I169" s="2" t="n">
        <v>30</v>
      </c>
      <c r="J169" s="5" t="inlineStr">
        <is>
          <t>DAP</t>
        </is>
      </c>
      <c r="K169" s="6" t="n">
        <v>45589</v>
      </c>
      <c r="L169" s="2" t="inlineStr">
        <is>
          <t>Kazanildi</t>
        </is>
      </c>
      <c r="M169" s="2" t="inlineStr"/>
    </row>
    <row r="170">
      <c r="A170" s="2" t="inlineStr">
        <is>
          <t>TKL-0169</t>
        </is>
      </c>
      <c r="B170" s="6" t="n">
        <v>45586</v>
      </c>
      <c r="C170" s="2" t="inlineStr">
        <is>
          <t>MUS-025</t>
        </is>
      </c>
      <c r="D170" s="2" t="inlineStr">
        <is>
          <t>ST-001</t>
        </is>
      </c>
      <c r="E170" s="2" t="inlineStr">
        <is>
          <t>Siparise Donustu</t>
        </is>
      </c>
      <c r="F170" s="3" t="n">
        <v>37212.08</v>
      </c>
      <c r="G170" s="2" t="inlineStr">
        <is>
          <t>EUR</t>
        </is>
      </c>
      <c r="H170" s="5" t="n">
        <v>1.1016</v>
      </c>
      <c r="I170" s="2" t="n">
        <v>20</v>
      </c>
      <c r="J170" s="5" t="inlineStr">
        <is>
          <t>DAP</t>
        </is>
      </c>
      <c r="K170" s="6" t="n">
        <v>45594</v>
      </c>
      <c r="L170" s="2" t="inlineStr">
        <is>
          <t>Kazanildi</t>
        </is>
      </c>
      <c r="M170" s="2" t="inlineStr"/>
    </row>
    <row r="171">
      <c r="A171" s="2" t="inlineStr">
        <is>
          <t>TKL-0170</t>
        </is>
      </c>
      <c r="B171" s="6" t="n">
        <v>45571</v>
      </c>
      <c r="C171" s="2" t="inlineStr">
        <is>
          <t>MUS-009</t>
        </is>
      </c>
      <c r="D171" s="2" t="inlineStr">
        <is>
          <t>ST-002</t>
        </is>
      </c>
      <c r="E171" s="2" t="inlineStr">
        <is>
          <t>Siparise Donustu</t>
        </is>
      </c>
      <c r="F171" s="3" t="n">
        <v>70579.55</v>
      </c>
      <c r="G171" s="2" t="inlineStr">
        <is>
          <t>EUR</t>
        </is>
      </c>
      <c r="H171" s="5" t="n">
        <v>1.1016</v>
      </c>
      <c r="I171" s="2" t="n">
        <v>15</v>
      </c>
      <c r="J171" s="5" t="inlineStr">
        <is>
          <t>DAP</t>
        </is>
      </c>
      <c r="K171" s="6" t="n">
        <v>45583</v>
      </c>
      <c r="L171" s="2" t="inlineStr">
        <is>
          <t>Kazanildi</t>
        </is>
      </c>
      <c r="M171" s="2" t="inlineStr"/>
    </row>
    <row r="172">
      <c r="A172" s="2" t="inlineStr">
        <is>
          <t>TKL-0171</t>
        </is>
      </c>
      <c r="B172" s="6" t="n">
        <v>45580</v>
      </c>
      <c r="C172" s="2" t="inlineStr">
        <is>
          <t>MUS-025</t>
        </is>
      </c>
      <c r="D172" s="2" t="inlineStr">
        <is>
          <t>ST-002</t>
        </is>
      </c>
      <c r="E172" s="2" t="inlineStr">
        <is>
          <t>Kaybedildi</t>
        </is>
      </c>
      <c r="F172" s="3" t="n">
        <v>15213.52</v>
      </c>
      <c r="G172" s="2" t="inlineStr">
        <is>
          <t>EUR</t>
        </is>
      </c>
      <c r="H172" s="5" t="n">
        <v>1.1016</v>
      </c>
      <c r="I172" s="2" t="n">
        <v>30</v>
      </c>
      <c r="J172" s="5" t="inlineStr">
        <is>
          <t>DAP</t>
        </is>
      </c>
      <c r="K172" s="6" t="n">
        <v>45589</v>
      </c>
      <c r="L172" s="2" t="inlineStr">
        <is>
          <t>Kaybedildi</t>
        </is>
      </c>
      <c r="M172" s="2" t="inlineStr">
        <is>
          <t>Fiyat Yuksek</t>
        </is>
      </c>
    </row>
    <row r="173">
      <c r="A173" s="2" t="inlineStr">
        <is>
          <t>TKL-0172</t>
        </is>
      </c>
      <c r="B173" s="6" t="n">
        <v>45581</v>
      </c>
      <c r="C173" s="2" t="inlineStr">
        <is>
          <t>MUS-035</t>
        </is>
      </c>
      <c r="D173" s="2" t="inlineStr">
        <is>
          <t>ST-001</t>
        </is>
      </c>
      <c r="E173" s="2" t="inlineStr">
        <is>
          <t>Siparise Donustu</t>
        </is>
      </c>
      <c r="F173" s="3" t="n">
        <v>34804.34</v>
      </c>
      <c r="G173" s="2" t="inlineStr">
        <is>
          <t>EUR</t>
        </is>
      </c>
      <c r="H173" s="5" t="n">
        <v>1.1016</v>
      </c>
      <c r="I173" s="2" t="n">
        <v>45</v>
      </c>
      <c r="J173" s="5" t="inlineStr">
        <is>
          <t>FCA</t>
        </is>
      </c>
      <c r="K173" s="6" t="n">
        <v>45604</v>
      </c>
      <c r="L173" s="2" t="inlineStr">
        <is>
          <t>Kazanildi</t>
        </is>
      </c>
      <c r="M173" s="2" t="inlineStr"/>
    </row>
    <row r="174">
      <c r="A174" s="2" t="inlineStr">
        <is>
          <t>TKL-0173</t>
        </is>
      </c>
      <c r="B174" s="6" t="n">
        <v>45573</v>
      </c>
      <c r="C174" s="2" t="inlineStr">
        <is>
          <t>MUS-011</t>
        </is>
      </c>
      <c r="D174" s="2" t="inlineStr">
        <is>
          <t>ST-003</t>
        </is>
      </c>
      <c r="E174" s="2" t="inlineStr">
        <is>
          <t>Beklemede</t>
        </is>
      </c>
      <c r="F174" s="3" t="n">
        <v>31749.97</v>
      </c>
      <c r="G174" s="2" t="inlineStr">
        <is>
          <t>USD</t>
        </is>
      </c>
      <c r="H174" s="5" t="n">
        <v>1</v>
      </c>
      <c r="I174" s="2" t="n">
        <v>20</v>
      </c>
      <c r="J174" s="5" t="inlineStr">
        <is>
          <t>CIF</t>
        </is>
      </c>
      <c r="K174" s="6" t="n">
        <v>45580</v>
      </c>
      <c r="L174" s="2" t="inlineStr">
        <is>
          <t>Acik</t>
        </is>
      </c>
      <c r="M174" s="2" t="inlineStr"/>
    </row>
    <row r="175">
      <c r="A175" s="2" t="inlineStr">
        <is>
          <t>TKL-0174</t>
        </is>
      </c>
      <c r="B175" s="6" t="n">
        <v>45596</v>
      </c>
      <c r="C175" s="2" t="inlineStr">
        <is>
          <t>MUS-067</t>
        </is>
      </c>
      <c r="D175" s="2" t="inlineStr">
        <is>
          <t>ST-004</t>
        </is>
      </c>
      <c r="E175" s="2" t="inlineStr">
        <is>
          <t>Siparise Donustu</t>
        </is>
      </c>
      <c r="F175" s="3" t="n">
        <v>11334.14</v>
      </c>
      <c r="G175" s="2" t="inlineStr">
        <is>
          <t>USD</t>
        </is>
      </c>
      <c r="H175" s="5" t="n">
        <v>1</v>
      </c>
      <c r="I175" s="2" t="n">
        <v>20</v>
      </c>
      <c r="J175" s="5" t="inlineStr">
        <is>
          <t>CIF</t>
        </is>
      </c>
      <c r="K175" s="6" t="n">
        <v>45614</v>
      </c>
      <c r="L175" s="2" t="inlineStr">
        <is>
          <t>Kazanildi</t>
        </is>
      </c>
      <c r="M175" s="2" t="inlineStr"/>
    </row>
    <row r="176">
      <c r="A176" s="2" t="inlineStr">
        <is>
          <t>TKL-0175</t>
        </is>
      </c>
      <c r="B176" s="6" t="n">
        <v>45608</v>
      </c>
      <c r="C176" s="2" t="inlineStr">
        <is>
          <t>MUS-054</t>
        </is>
      </c>
      <c r="D176" s="2" t="inlineStr">
        <is>
          <t>ST-004</t>
        </is>
      </c>
      <c r="E176" s="2" t="inlineStr">
        <is>
          <t>Kaybedildi</t>
        </is>
      </c>
      <c r="F176" s="3" t="n">
        <v>41485.47</v>
      </c>
      <c r="G176" s="2" t="inlineStr">
        <is>
          <t>USD</t>
        </is>
      </c>
      <c r="H176" s="5" t="n">
        <v>1</v>
      </c>
      <c r="I176" s="2" t="n">
        <v>15</v>
      </c>
      <c r="J176" s="5" t="inlineStr">
        <is>
          <t>CIF</t>
        </is>
      </c>
      <c r="K176" s="6" t="n">
        <v>45622</v>
      </c>
      <c r="L176" s="2" t="inlineStr">
        <is>
          <t>Kaybedildi</t>
        </is>
      </c>
      <c r="M176" s="2" t="inlineStr">
        <is>
          <t>Fiyat Yuksek</t>
        </is>
      </c>
    </row>
    <row r="177">
      <c r="A177" s="2" t="inlineStr">
        <is>
          <t>TKL-0176</t>
        </is>
      </c>
      <c r="B177" s="6" t="n">
        <v>45612</v>
      </c>
      <c r="C177" s="2" t="inlineStr">
        <is>
          <t>MUS-029</t>
        </is>
      </c>
      <c r="D177" s="2" t="inlineStr">
        <is>
          <t>ST-005</t>
        </is>
      </c>
      <c r="E177" s="2" t="inlineStr">
        <is>
          <t>Beklemede</t>
        </is>
      </c>
      <c r="F177" s="3" t="n">
        <v>8738.799999999999</v>
      </c>
      <c r="G177" s="2" t="inlineStr">
        <is>
          <t>USD</t>
        </is>
      </c>
      <c r="H177" s="5" t="n">
        <v>1</v>
      </c>
      <c r="I177" s="2" t="n">
        <v>30</v>
      </c>
      <c r="J177" s="5" t="inlineStr">
        <is>
          <t>CFR</t>
        </is>
      </c>
      <c r="K177" s="6" t="n">
        <v>45629</v>
      </c>
      <c r="L177" s="2" t="inlineStr">
        <is>
          <t>Acik</t>
        </is>
      </c>
      <c r="M177" s="2" t="inlineStr"/>
    </row>
    <row r="178">
      <c r="A178" s="2" t="inlineStr">
        <is>
          <t>TKL-0177</t>
        </is>
      </c>
      <c r="B178" s="6" t="n">
        <v>45612</v>
      </c>
      <c r="C178" s="2" t="inlineStr">
        <is>
          <t>MUS-013</t>
        </is>
      </c>
      <c r="D178" s="2" t="inlineStr">
        <is>
          <t>ST-002</t>
        </is>
      </c>
      <c r="E178" s="2" t="inlineStr">
        <is>
          <t>Kaybedildi</t>
        </is>
      </c>
      <c r="F178" s="3" t="n">
        <v>37975.29</v>
      </c>
      <c r="G178" s="2" t="inlineStr">
        <is>
          <t>EUR</t>
        </is>
      </c>
      <c r="H178" s="5" t="n">
        <v>1.1037</v>
      </c>
      <c r="I178" s="2" t="n">
        <v>30</v>
      </c>
      <c r="J178" s="5" t="inlineStr">
        <is>
          <t>FCA</t>
        </is>
      </c>
      <c r="K178" s="6" t="n">
        <v>45632</v>
      </c>
      <c r="L178" s="2" t="inlineStr">
        <is>
          <t>Kaybedildi</t>
        </is>
      </c>
      <c r="M178" s="2" t="inlineStr">
        <is>
          <t>Fiyat Yuksek</t>
        </is>
      </c>
    </row>
    <row r="179">
      <c r="A179" s="2" t="inlineStr">
        <is>
          <t>TKL-0178</t>
        </is>
      </c>
      <c r="B179" s="6" t="n">
        <v>45626</v>
      </c>
      <c r="C179" s="2" t="inlineStr">
        <is>
          <t>MUS-079</t>
        </is>
      </c>
      <c r="D179" s="2" t="inlineStr">
        <is>
          <t>ST-004</t>
        </is>
      </c>
      <c r="E179" s="2" t="inlineStr">
        <is>
          <t>Kaybedildi</t>
        </is>
      </c>
      <c r="F179" s="3" t="n">
        <v>31982.55</v>
      </c>
      <c r="G179" s="2" t="inlineStr">
        <is>
          <t>USD</t>
        </is>
      </c>
      <c r="H179" s="5" t="n">
        <v>1</v>
      </c>
      <c r="I179" s="2" t="n">
        <v>45</v>
      </c>
      <c r="J179" s="5" t="inlineStr">
        <is>
          <t>CIF</t>
        </is>
      </c>
      <c r="K179" s="6" t="n">
        <v>45637</v>
      </c>
      <c r="L179" s="2" t="inlineStr">
        <is>
          <t>Kaybedildi</t>
        </is>
      </c>
      <c r="M179" s="2" t="inlineStr">
        <is>
          <t>Fiyat Yuksek</t>
        </is>
      </c>
    </row>
    <row r="180">
      <c r="A180" s="2" t="inlineStr">
        <is>
          <t>TKL-0179</t>
        </is>
      </c>
      <c r="B180" s="6" t="n">
        <v>45600</v>
      </c>
      <c r="C180" s="2" t="inlineStr">
        <is>
          <t>MUS-067</t>
        </is>
      </c>
      <c r="D180" s="2" t="inlineStr">
        <is>
          <t>ST-004</t>
        </is>
      </c>
      <c r="E180" s="2" t="inlineStr">
        <is>
          <t>Beklemede</t>
        </is>
      </c>
      <c r="F180" s="3" t="n">
        <v>20023.25</v>
      </c>
      <c r="G180" s="2" t="inlineStr">
        <is>
          <t>USD</t>
        </is>
      </c>
      <c r="H180" s="5" t="n">
        <v>1</v>
      </c>
      <c r="I180" s="2" t="n">
        <v>15</v>
      </c>
      <c r="J180" s="5" t="inlineStr">
        <is>
          <t>CIF</t>
        </is>
      </c>
      <c r="K180" s="6" t="n">
        <v>45606</v>
      </c>
      <c r="L180" s="2" t="inlineStr">
        <is>
          <t>Acik</t>
        </is>
      </c>
      <c r="M180" s="2" t="inlineStr"/>
    </row>
    <row r="181">
      <c r="A181" s="2" t="inlineStr">
        <is>
          <t>TKL-0180</t>
        </is>
      </c>
      <c r="B181" s="6" t="n">
        <v>45624</v>
      </c>
      <c r="C181" s="2" t="inlineStr">
        <is>
          <t>MUS-018</t>
        </is>
      </c>
      <c r="D181" s="2" t="inlineStr">
        <is>
          <t>ST-003</t>
        </is>
      </c>
      <c r="E181" s="2" t="inlineStr">
        <is>
          <t>Siparise Donustu</t>
        </is>
      </c>
      <c r="F181" s="3" t="n">
        <v>14745.94</v>
      </c>
      <c r="G181" s="2" t="inlineStr">
        <is>
          <t>USD</t>
        </is>
      </c>
      <c r="H181" s="5" t="n">
        <v>1</v>
      </c>
      <c r="I181" s="2" t="n">
        <v>15</v>
      </c>
      <c r="J181" s="5" t="inlineStr">
        <is>
          <t>CIF</t>
        </is>
      </c>
      <c r="K181" s="6" t="n">
        <v>45639</v>
      </c>
      <c r="L181" s="2" t="inlineStr">
        <is>
          <t>Kazanildi</t>
        </is>
      </c>
      <c r="M181" s="2" t="inlineStr"/>
    </row>
    <row r="182">
      <c r="A182" s="2" t="inlineStr">
        <is>
          <t>TKL-0181</t>
        </is>
      </c>
      <c r="B182" s="6" t="n">
        <v>45597</v>
      </c>
      <c r="C182" s="2" t="inlineStr">
        <is>
          <t>MUS-076</t>
        </is>
      </c>
      <c r="D182" s="2" t="inlineStr">
        <is>
          <t>ST-002</t>
        </is>
      </c>
      <c r="E182" s="2" t="inlineStr">
        <is>
          <t>Kaybedildi</t>
        </is>
      </c>
      <c r="F182" s="3" t="n">
        <v>14483.74</v>
      </c>
      <c r="G182" s="2" t="inlineStr">
        <is>
          <t>EUR</t>
        </is>
      </c>
      <c r="H182" s="5" t="n">
        <v>1.1037</v>
      </c>
      <c r="I182" s="2" t="n">
        <v>15</v>
      </c>
      <c r="J182" s="5" t="inlineStr">
        <is>
          <t>DAP</t>
        </is>
      </c>
      <c r="K182" s="6" t="n">
        <v>45602</v>
      </c>
      <c r="L182" s="2" t="inlineStr">
        <is>
          <t>Kaybedildi</t>
        </is>
      </c>
      <c r="M182" s="2" t="inlineStr">
        <is>
          <t>Fiyat Yuksek</t>
        </is>
      </c>
    </row>
    <row r="183">
      <c r="A183" s="2" t="inlineStr">
        <is>
          <t>TKL-0182</t>
        </is>
      </c>
      <c r="B183" s="6" t="n">
        <v>45618</v>
      </c>
      <c r="C183" s="2" t="inlineStr">
        <is>
          <t>MUS-024</t>
        </is>
      </c>
      <c r="D183" s="2" t="inlineStr">
        <is>
          <t>ST-003</t>
        </is>
      </c>
      <c r="E183" s="2" t="inlineStr">
        <is>
          <t>Siparise Donustu</t>
        </is>
      </c>
      <c r="F183" s="3" t="n">
        <v>37800.65</v>
      </c>
      <c r="G183" s="2" t="inlineStr">
        <is>
          <t>USD</t>
        </is>
      </c>
      <c r="H183" s="5" t="n">
        <v>1</v>
      </c>
      <c r="I183" s="2" t="n">
        <v>30</v>
      </c>
      <c r="J183" s="5" t="inlineStr">
        <is>
          <t>CIF</t>
        </is>
      </c>
      <c r="K183" s="6" t="n">
        <v>45635</v>
      </c>
      <c r="L183" s="2" t="inlineStr">
        <is>
          <t>Kazanildi</t>
        </is>
      </c>
      <c r="M183" s="2" t="inlineStr"/>
    </row>
    <row r="184">
      <c r="A184" s="2" t="inlineStr">
        <is>
          <t>TKL-0183</t>
        </is>
      </c>
      <c r="B184" s="6" t="n">
        <v>45625</v>
      </c>
      <c r="C184" s="2" t="inlineStr">
        <is>
          <t>MUS-040</t>
        </is>
      </c>
      <c r="D184" s="2" t="inlineStr">
        <is>
          <t>ST-003</t>
        </is>
      </c>
      <c r="E184" s="2" t="inlineStr">
        <is>
          <t>Siparise Donustu</t>
        </is>
      </c>
      <c r="F184" s="3" t="n">
        <v>13610.99</v>
      </c>
      <c r="G184" s="2" t="inlineStr">
        <is>
          <t>USD</t>
        </is>
      </c>
      <c r="H184" s="5" t="n">
        <v>1</v>
      </c>
      <c r="I184" s="2" t="n">
        <v>15</v>
      </c>
      <c r="J184" s="5" t="inlineStr">
        <is>
          <t>CIF</t>
        </is>
      </c>
      <c r="K184" s="6" t="n">
        <v>45634</v>
      </c>
      <c r="L184" s="2" t="inlineStr">
        <is>
          <t>Kazanildi</t>
        </is>
      </c>
      <c r="M184" s="2" t="inlineStr"/>
    </row>
    <row r="185">
      <c r="A185" s="2" t="inlineStr">
        <is>
          <t>TKL-0184</t>
        </is>
      </c>
      <c r="B185" s="6" t="n">
        <v>45615</v>
      </c>
      <c r="C185" s="2" t="inlineStr">
        <is>
          <t>MUS-040</t>
        </is>
      </c>
      <c r="D185" s="2" t="inlineStr">
        <is>
          <t>ST-003</t>
        </is>
      </c>
      <c r="E185" s="2" t="inlineStr">
        <is>
          <t>Kaybedildi</t>
        </is>
      </c>
      <c r="F185" s="3" t="n">
        <v>45777.31</v>
      </c>
      <c r="G185" s="2" t="inlineStr">
        <is>
          <t>USD</t>
        </is>
      </c>
      <c r="H185" s="5" t="n">
        <v>1</v>
      </c>
      <c r="I185" s="2" t="n">
        <v>15</v>
      </c>
      <c r="J185" s="5" t="inlineStr">
        <is>
          <t>CIF</t>
        </is>
      </c>
      <c r="K185" s="6" t="n">
        <v>45622</v>
      </c>
      <c r="L185" s="2" t="inlineStr">
        <is>
          <t>Kaybedildi</t>
        </is>
      </c>
      <c r="M185" s="2" t="inlineStr">
        <is>
          <t>Butce Ertelendi</t>
        </is>
      </c>
    </row>
    <row r="186">
      <c r="A186" s="2" t="inlineStr">
        <is>
          <t>TKL-0185</t>
        </is>
      </c>
      <c r="B186" s="6" t="n">
        <v>45618</v>
      </c>
      <c r="C186" s="2" t="inlineStr">
        <is>
          <t>MUS-029</t>
        </is>
      </c>
      <c r="D186" s="2" t="inlineStr">
        <is>
          <t>ST-005</t>
        </is>
      </c>
      <c r="E186" s="2" t="inlineStr">
        <is>
          <t>Siparise Donustu</t>
        </is>
      </c>
      <c r="F186" s="3" t="n">
        <v>10948.49</v>
      </c>
      <c r="G186" s="2" t="inlineStr">
        <is>
          <t>USD</t>
        </is>
      </c>
      <c r="H186" s="5" t="n">
        <v>1</v>
      </c>
      <c r="I186" s="2" t="n">
        <v>20</v>
      </c>
      <c r="J186" s="5" t="inlineStr">
        <is>
          <t>CFR</t>
        </is>
      </c>
      <c r="K186" s="6" t="n">
        <v>45626</v>
      </c>
      <c r="L186" s="2" t="inlineStr">
        <is>
          <t>Kazanildi</t>
        </is>
      </c>
      <c r="M186" s="2" t="inlineStr"/>
    </row>
    <row r="187">
      <c r="A187" s="2" t="inlineStr">
        <is>
          <t>TKL-0186</t>
        </is>
      </c>
      <c r="B187" s="6" t="n">
        <v>45625</v>
      </c>
      <c r="C187" s="2" t="inlineStr">
        <is>
          <t>MUS-074</t>
        </is>
      </c>
      <c r="D187" s="2" t="inlineStr">
        <is>
          <t>ST-008</t>
        </is>
      </c>
      <c r="E187" s="2" t="inlineStr">
        <is>
          <t>Siparise Donustu</t>
        </is>
      </c>
      <c r="F187" s="3" t="n">
        <v>32270.78</v>
      </c>
      <c r="G187" s="2" t="inlineStr">
        <is>
          <t>USD</t>
        </is>
      </c>
      <c r="H187" s="5" t="n">
        <v>1</v>
      </c>
      <c r="I187" s="2" t="n">
        <v>30</v>
      </c>
      <c r="J187" s="5" t="inlineStr">
        <is>
          <t>FCA</t>
        </is>
      </c>
      <c r="K187" s="6" t="n">
        <v>45631</v>
      </c>
      <c r="L187" s="2" t="inlineStr">
        <is>
          <t>Kazanildi</t>
        </is>
      </c>
      <c r="M187" s="2" t="inlineStr"/>
    </row>
    <row r="188">
      <c r="A188" s="2" t="inlineStr">
        <is>
          <t>TKL-0187</t>
        </is>
      </c>
      <c r="B188" s="6" t="n">
        <v>45599</v>
      </c>
      <c r="C188" s="2" t="inlineStr">
        <is>
          <t>MUS-065</t>
        </is>
      </c>
      <c r="D188" s="2" t="inlineStr">
        <is>
          <t>ST-006</t>
        </is>
      </c>
      <c r="E188" s="2" t="inlineStr">
        <is>
          <t>Beklemede</t>
        </is>
      </c>
      <c r="F188" s="3" t="n">
        <v>5496.3</v>
      </c>
      <c r="G188" s="2" t="inlineStr">
        <is>
          <t>USD</t>
        </is>
      </c>
      <c r="H188" s="5" t="n">
        <v>1</v>
      </c>
      <c r="I188" s="2" t="n">
        <v>15</v>
      </c>
      <c r="J188" s="5" t="inlineStr">
        <is>
          <t>CFR</t>
        </is>
      </c>
      <c r="K188" s="6" t="n">
        <v>45612</v>
      </c>
      <c r="L188" s="2" t="inlineStr">
        <is>
          <t>Acik</t>
        </is>
      </c>
      <c r="M188" s="2" t="inlineStr"/>
    </row>
    <row r="189">
      <c r="A189" s="2" t="inlineStr">
        <is>
          <t>TKL-0188</t>
        </is>
      </c>
      <c r="B189" s="6" t="n">
        <v>45604</v>
      </c>
      <c r="C189" s="2" t="inlineStr">
        <is>
          <t>MUS-041</t>
        </is>
      </c>
      <c r="D189" s="2" t="inlineStr">
        <is>
          <t>ST-001</t>
        </is>
      </c>
      <c r="E189" s="2" t="inlineStr">
        <is>
          <t>Kaybedildi</t>
        </is>
      </c>
      <c r="F189" s="3" t="n">
        <v>70407.83</v>
      </c>
      <c r="G189" s="2" t="inlineStr">
        <is>
          <t>EUR</t>
        </is>
      </c>
      <c r="H189" s="5" t="n">
        <v>1.1037</v>
      </c>
      <c r="I189" s="2" t="n">
        <v>30</v>
      </c>
      <c r="J189" s="5" t="inlineStr">
        <is>
          <t>DAP</t>
        </is>
      </c>
      <c r="K189" s="6" t="n">
        <v>45619</v>
      </c>
      <c r="L189" s="2" t="inlineStr">
        <is>
          <t>Kaybedildi</t>
        </is>
      </c>
      <c r="M189" s="2" t="inlineStr">
        <is>
          <t>Fiyat Yuksek</t>
        </is>
      </c>
    </row>
    <row r="190">
      <c r="A190" s="2" t="inlineStr">
        <is>
          <t>TKL-0189</t>
        </is>
      </c>
      <c r="B190" s="6" t="n">
        <v>45623</v>
      </c>
      <c r="C190" s="2" t="inlineStr">
        <is>
          <t>MUS-062</t>
        </is>
      </c>
      <c r="D190" s="2" t="inlineStr">
        <is>
          <t>ST-007</t>
        </is>
      </c>
      <c r="E190" s="2" t="inlineStr">
        <is>
          <t>Siparise Donustu</t>
        </is>
      </c>
      <c r="F190" s="3" t="n">
        <v>49378.54</v>
      </c>
      <c r="G190" s="2" t="inlineStr">
        <is>
          <t>USD</t>
        </is>
      </c>
      <c r="H190" s="5" t="n">
        <v>1</v>
      </c>
      <c r="I190" s="2" t="n">
        <v>15</v>
      </c>
      <c r="J190" s="5" t="inlineStr">
        <is>
          <t>FCA</t>
        </is>
      </c>
      <c r="K190" s="6" t="n">
        <v>45632</v>
      </c>
      <c r="L190" s="2" t="inlineStr">
        <is>
          <t>Kazanildi</t>
        </is>
      </c>
      <c r="M190" s="2" t="inlineStr"/>
    </row>
    <row r="191">
      <c r="A191" s="2" t="inlineStr">
        <is>
          <t>TKL-0190</t>
        </is>
      </c>
      <c r="B191" s="6" t="n">
        <v>45609</v>
      </c>
      <c r="C191" s="2" t="inlineStr">
        <is>
          <t>MUS-079</t>
        </is>
      </c>
      <c r="D191" s="2" t="inlineStr">
        <is>
          <t>ST-003</t>
        </is>
      </c>
      <c r="E191" s="2" t="inlineStr">
        <is>
          <t>Kaybedildi</t>
        </is>
      </c>
      <c r="F191" s="3" t="n">
        <v>38274.44</v>
      </c>
      <c r="G191" s="2" t="inlineStr">
        <is>
          <t>USD</t>
        </is>
      </c>
      <c r="H191" s="5" t="n">
        <v>1</v>
      </c>
      <c r="I191" s="2" t="n">
        <v>30</v>
      </c>
      <c r="J191" s="5" t="inlineStr">
        <is>
          <t>CIF</t>
        </is>
      </c>
      <c r="K191" s="6" t="n">
        <v>45635</v>
      </c>
      <c r="L191" s="2" t="inlineStr">
        <is>
          <t>Kaybedildi</t>
        </is>
      </c>
      <c r="M191" s="2" t="inlineStr">
        <is>
          <t>Termin Uzun</t>
        </is>
      </c>
    </row>
    <row r="192">
      <c r="A192" s="2" t="inlineStr">
        <is>
          <t>TKL-0191</t>
        </is>
      </c>
      <c r="B192" s="6" t="n">
        <v>45608</v>
      </c>
      <c r="C192" s="2" t="inlineStr">
        <is>
          <t>MUS-080</t>
        </is>
      </c>
      <c r="D192" s="2" t="inlineStr">
        <is>
          <t>ST-006</t>
        </is>
      </c>
      <c r="E192" s="2" t="inlineStr">
        <is>
          <t>Kaybedildi</t>
        </is>
      </c>
      <c r="F192" s="3" t="n">
        <v>60400.08</v>
      </c>
      <c r="G192" s="2" t="inlineStr">
        <is>
          <t>USD</t>
        </is>
      </c>
      <c r="H192" s="5" t="n">
        <v>1</v>
      </c>
      <c r="I192" s="2" t="n">
        <v>30</v>
      </c>
      <c r="J192" s="5" t="inlineStr">
        <is>
          <t>CFR</t>
        </is>
      </c>
      <c r="K192" s="6" t="n">
        <v>45620</v>
      </c>
      <c r="L192" s="2" t="inlineStr">
        <is>
          <t>Kaybedildi</t>
        </is>
      </c>
      <c r="M192" s="2" t="inlineStr">
        <is>
          <t>Fiyat Yuksek</t>
        </is>
      </c>
    </row>
    <row r="193">
      <c r="A193" s="2" t="inlineStr">
        <is>
          <t>TKL-0192</t>
        </is>
      </c>
      <c r="B193" s="6" t="n">
        <v>45597</v>
      </c>
      <c r="C193" s="2" t="inlineStr">
        <is>
          <t>MUS-003</t>
        </is>
      </c>
      <c r="D193" s="2" t="inlineStr">
        <is>
          <t>ST-004</t>
        </is>
      </c>
      <c r="E193" s="2" t="inlineStr">
        <is>
          <t>Kaybedildi</t>
        </is>
      </c>
      <c r="F193" s="3" t="n">
        <v>9931.92</v>
      </c>
      <c r="G193" s="2" t="inlineStr">
        <is>
          <t>USD</t>
        </is>
      </c>
      <c r="H193" s="5" t="n">
        <v>1</v>
      </c>
      <c r="I193" s="2" t="n">
        <v>45</v>
      </c>
      <c r="J193" s="5" t="inlineStr">
        <is>
          <t>CIF</t>
        </is>
      </c>
      <c r="K193" s="6" t="n">
        <v>45605</v>
      </c>
      <c r="L193" s="2" t="inlineStr">
        <is>
          <t>Kaybedildi</t>
        </is>
      </c>
      <c r="M193" s="2" t="inlineStr">
        <is>
          <t>Fiyat Yuksek</t>
        </is>
      </c>
    </row>
    <row r="194">
      <c r="A194" s="2" t="inlineStr">
        <is>
          <t>TKL-0193</t>
        </is>
      </c>
      <c r="B194" s="6" t="n">
        <v>45614</v>
      </c>
      <c r="C194" s="2" t="inlineStr">
        <is>
          <t>MUS-021</t>
        </is>
      </c>
      <c r="D194" s="2" t="inlineStr">
        <is>
          <t>ST-001</t>
        </is>
      </c>
      <c r="E194" s="2" t="inlineStr">
        <is>
          <t>Kaybedildi</t>
        </is>
      </c>
      <c r="F194" s="3" t="n">
        <v>26207.51</v>
      </c>
      <c r="G194" s="2" t="inlineStr">
        <is>
          <t>EUR</t>
        </is>
      </c>
      <c r="H194" s="5" t="n">
        <v>1.1037</v>
      </c>
      <c r="I194" s="2" t="n">
        <v>20</v>
      </c>
      <c r="J194" s="5" t="inlineStr">
        <is>
          <t>DAP</t>
        </is>
      </c>
      <c r="K194" s="6" t="n">
        <v>45625</v>
      </c>
      <c r="L194" s="2" t="inlineStr">
        <is>
          <t>Kaybedildi</t>
        </is>
      </c>
      <c r="M194" s="2" t="inlineStr">
        <is>
          <t>Termin Uzun</t>
        </is>
      </c>
    </row>
    <row r="195">
      <c r="A195" s="2" t="inlineStr">
        <is>
          <t>TKL-0194</t>
        </is>
      </c>
      <c r="B195" s="6" t="n">
        <v>45616</v>
      </c>
      <c r="C195" s="2" t="inlineStr">
        <is>
          <t>MUS-020</t>
        </is>
      </c>
      <c r="D195" s="2" t="inlineStr">
        <is>
          <t>ST-006</t>
        </is>
      </c>
      <c r="E195" s="2" t="inlineStr">
        <is>
          <t>Kaybedildi</t>
        </is>
      </c>
      <c r="F195" s="3" t="n">
        <v>42905.26</v>
      </c>
      <c r="G195" s="2" t="inlineStr">
        <is>
          <t>USD</t>
        </is>
      </c>
      <c r="H195" s="5" t="n">
        <v>1</v>
      </c>
      <c r="I195" s="2" t="n">
        <v>15</v>
      </c>
      <c r="J195" s="5" t="inlineStr">
        <is>
          <t>CFR</t>
        </is>
      </c>
      <c r="K195" s="6" t="n">
        <v>45630</v>
      </c>
      <c r="L195" s="2" t="inlineStr">
        <is>
          <t>Kaybedildi</t>
        </is>
      </c>
      <c r="M195" s="2" t="inlineStr">
        <is>
          <t>Termin Uzun</t>
        </is>
      </c>
    </row>
    <row r="196">
      <c r="A196" s="2" t="inlineStr">
        <is>
          <t>TKL-0195</t>
        </is>
      </c>
      <c r="B196" s="6" t="n">
        <v>45600</v>
      </c>
      <c r="C196" s="2" t="inlineStr">
        <is>
          <t>MUS-076</t>
        </is>
      </c>
      <c r="D196" s="2" t="inlineStr">
        <is>
          <t>ST-002</t>
        </is>
      </c>
      <c r="E196" s="2" t="inlineStr">
        <is>
          <t>Siparise Donustu</t>
        </is>
      </c>
      <c r="F196" s="3" t="n">
        <v>45938.38</v>
      </c>
      <c r="G196" s="2" t="inlineStr">
        <is>
          <t>EUR</t>
        </is>
      </c>
      <c r="H196" s="5" t="n">
        <v>1.1037</v>
      </c>
      <c r="I196" s="2" t="n">
        <v>15</v>
      </c>
      <c r="J196" s="5" t="inlineStr">
        <is>
          <t>DAP</t>
        </is>
      </c>
      <c r="K196" s="6" t="n">
        <v>45613</v>
      </c>
      <c r="L196" s="2" t="inlineStr">
        <is>
          <t>Kazanildi</t>
        </is>
      </c>
      <c r="M196" s="2" t="inlineStr"/>
    </row>
    <row r="197">
      <c r="A197" s="2" t="inlineStr">
        <is>
          <t>TKL-0196</t>
        </is>
      </c>
      <c r="B197" s="6" t="n">
        <v>45601</v>
      </c>
      <c r="C197" s="2" t="inlineStr">
        <is>
          <t>MUS-021</t>
        </is>
      </c>
      <c r="D197" s="2" t="inlineStr">
        <is>
          <t>ST-001</t>
        </is>
      </c>
      <c r="E197" s="2" t="inlineStr">
        <is>
          <t>Siparise Donustu</t>
        </is>
      </c>
      <c r="F197" s="3" t="n">
        <v>72756.81</v>
      </c>
      <c r="G197" s="2" t="inlineStr">
        <is>
          <t>EUR</t>
        </is>
      </c>
      <c r="H197" s="5" t="n">
        <v>1.1037</v>
      </c>
      <c r="I197" s="2" t="n">
        <v>15</v>
      </c>
      <c r="J197" s="5" t="inlineStr">
        <is>
          <t>DAP</t>
        </is>
      </c>
      <c r="K197" s="6" t="n">
        <v>45610</v>
      </c>
      <c r="L197" s="2" t="inlineStr">
        <is>
          <t>Kazanildi</t>
        </is>
      </c>
      <c r="M197" s="2" t="inlineStr"/>
    </row>
    <row r="198">
      <c r="A198" s="2" t="inlineStr">
        <is>
          <t>TKL-0197</t>
        </is>
      </c>
      <c r="B198" s="6" t="n">
        <v>45597</v>
      </c>
      <c r="C198" s="2" t="inlineStr">
        <is>
          <t>MUS-025</t>
        </is>
      </c>
      <c r="D198" s="2" t="inlineStr">
        <is>
          <t>ST-002</t>
        </is>
      </c>
      <c r="E198" s="2" t="inlineStr">
        <is>
          <t>Siparise Donustu</t>
        </is>
      </c>
      <c r="F198" s="3" t="n">
        <v>6437.18</v>
      </c>
      <c r="G198" s="2" t="inlineStr">
        <is>
          <t>EUR</t>
        </is>
      </c>
      <c r="H198" s="5" t="n">
        <v>1.1037</v>
      </c>
      <c r="I198" s="2" t="n">
        <v>15</v>
      </c>
      <c r="J198" s="5" t="inlineStr">
        <is>
          <t>DAP</t>
        </is>
      </c>
      <c r="K198" s="6" t="n">
        <v>45607</v>
      </c>
      <c r="L198" s="2" t="inlineStr">
        <is>
          <t>Kazanildi</t>
        </is>
      </c>
      <c r="M198" s="2" t="inlineStr"/>
    </row>
    <row r="199">
      <c r="A199" s="2" t="inlineStr">
        <is>
          <t>TKL-0198</t>
        </is>
      </c>
      <c r="B199" s="6" t="n">
        <v>45609</v>
      </c>
      <c r="C199" s="2" t="inlineStr">
        <is>
          <t>MUS-076</t>
        </is>
      </c>
      <c r="D199" s="2" t="inlineStr">
        <is>
          <t>ST-001</t>
        </is>
      </c>
      <c r="E199" s="2" t="inlineStr">
        <is>
          <t>Kaybedildi</t>
        </is>
      </c>
      <c r="F199" s="3" t="n">
        <v>8014.62</v>
      </c>
      <c r="G199" s="2" t="inlineStr">
        <is>
          <t>EUR</t>
        </is>
      </c>
      <c r="H199" s="5" t="n">
        <v>1.1037</v>
      </c>
      <c r="I199" s="2" t="n">
        <v>15</v>
      </c>
      <c r="J199" s="5" t="inlineStr">
        <is>
          <t>DAP</t>
        </is>
      </c>
      <c r="K199" s="6" t="n">
        <v>45620</v>
      </c>
      <c r="L199" s="2" t="inlineStr">
        <is>
          <t>Kaybedildi</t>
        </is>
      </c>
      <c r="M199" s="2" t="inlineStr">
        <is>
          <t>Fiyat Yuksek</t>
        </is>
      </c>
    </row>
    <row r="200">
      <c r="A200" s="2" t="inlineStr">
        <is>
          <t>TKL-0199</t>
        </is>
      </c>
      <c r="B200" s="6" t="n">
        <v>45618</v>
      </c>
      <c r="C200" s="2" t="inlineStr">
        <is>
          <t>MUS-017</t>
        </is>
      </c>
      <c r="D200" s="2" t="inlineStr">
        <is>
          <t>ST-001</t>
        </is>
      </c>
      <c r="E200" s="2" t="inlineStr">
        <is>
          <t>Kaybedildi</t>
        </is>
      </c>
      <c r="F200" s="3" t="n">
        <v>33407.42</v>
      </c>
      <c r="G200" s="2" t="inlineStr">
        <is>
          <t>EUR</t>
        </is>
      </c>
      <c r="H200" s="5" t="n">
        <v>1.1037</v>
      </c>
      <c r="I200" s="2" t="n">
        <v>45</v>
      </c>
      <c r="J200" s="5" t="inlineStr">
        <is>
          <t>DAP</t>
        </is>
      </c>
      <c r="K200" s="6" t="n">
        <v>45648</v>
      </c>
      <c r="L200" s="2" t="inlineStr">
        <is>
          <t>Kaybedildi</t>
        </is>
      </c>
      <c r="M200" s="2" t="inlineStr">
        <is>
          <t>Rakipte Teknik Onay</t>
        </is>
      </c>
    </row>
    <row r="201">
      <c r="A201" s="2" t="inlineStr">
        <is>
          <t>TKL-0200</t>
        </is>
      </c>
      <c r="B201" s="6" t="n">
        <v>45623</v>
      </c>
      <c r="C201" s="2" t="inlineStr">
        <is>
          <t>MUS-076</t>
        </is>
      </c>
      <c r="D201" s="2" t="inlineStr">
        <is>
          <t>ST-001</t>
        </is>
      </c>
      <c r="E201" s="2" t="inlineStr">
        <is>
          <t>Kaybedildi</t>
        </is>
      </c>
      <c r="F201" s="3" t="n">
        <v>27809.8</v>
      </c>
      <c r="G201" s="2" t="inlineStr">
        <is>
          <t>EUR</t>
        </is>
      </c>
      <c r="H201" s="5" t="n">
        <v>1.1037</v>
      </c>
      <c r="I201" s="2" t="n">
        <v>45</v>
      </c>
      <c r="J201" s="5" t="inlineStr">
        <is>
          <t>DAP</t>
        </is>
      </c>
      <c r="K201" s="6" t="n">
        <v>45645</v>
      </c>
      <c r="L201" s="2" t="inlineStr">
        <is>
          <t>Kaybedildi</t>
        </is>
      </c>
      <c r="M201" s="2" t="inlineStr">
        <is>
          <t>Fiyat Yuksek</t>
        </is>
      </c>
    </row>
    <row r="202">
      <c r="A202" s="2" t="inlineStr">
        <is>
          <t>TKL-0201</t>
        </is>
      </c>
      <c r="B202" s="6" t="n">
        <v>45621</v>
      </c>
      <c r="C202" s="2" t="inlineStr">
        <is>
          <t>MUS-028</t>
        </is>
      </c>
      <c r="D202" s="2" t="inlineStr">
        <is>
          <t>ST-001</t>
        </is>
      </c>
      <c r="E202" s="2" t="inlineStr">
        <is>
          <t>Kaybedildi</t>
        </is>
      </c>
      <c r="F202" s="3" t="n">
        <v>42518.6</v>
      </c>
      <c r="G202" s="2" t="inlineStr">
        <is>
          <t>EUR</t>
        </is>
      </c>
      <c r="H202" s="5" t="n">
        <v>1.1037</v>
      </c>
      <c r="I202" s="2" t="n">
        <v>45</v>
      </c>
      <c r="J202" s="5" t="inlineStr">
        <is>
          <t>DAP</t>
        </is>
      </c>
      <c r="K202" s="6" t="n">
        <v>45647</v>
      </c>
      <c r="L202" s="2" t="inlineStr">
        <is>
          <t>Kaybedildi</t>
        </is>
      </c>
      <c r="M202" s="2" t="inlineStr">
        <is>
          <t>Termin Uzun</t>
        </is>
      </c>
    </row>
    <row r="203">
      <c r="A203" s="2" t="inlineStr">
        <is>
          <t>TKL-0202</t>
        </is>
      </c>
      <c r="B203" s="6" t="n">
        <v>45615</v>
      </c>
      <c r="C203" s="2" t="inlineStr">
        <is>
          <t>MUS-059</t>
        </is>
      </c>
      <c r="D203" s="2" t="inlineStr">
        <is>
          <t>ST-003</t>
        </is>
      </c>
      <c r="E203" s="2" t="inlineStr">
        <is>
          <t>Kaybedildi</t>
        </is>
      </c>
      <c r="F203" s="3" t="n">
        <v>37053.56</v>
      </c>
      <c r="G203" s="2" t="inlineStr">
        <is>
          <t>USD</t>
        </is>
      </c>
      <c r="H203" s="5" t="n">
        <v>1</v>
      </c>
      <c r="I203" s="2" t="n">
        <v>30</v>
      </c>
      <c r="J203" s="5" t="inlineStr">
        <is>
          <t>CIF</t>
        </is>
      </c>
      <c r="K203" s="6" t="n">
        <v>45624</v>
      </c>
      <c r="L203" s="2" t="inlineStr">
        <is>
          <t>Kaybedildi</t>
        </is>
      </c>
      <c r="M203" s="2" t="inlineStr">
        <is>
          <t>Rakipte Teknik Onay</t>
        </is>
      </c>
    </row>
    <row r="204">
      <c r="A204" s="2" t="inlineStr">
        <is>
          <t>TKL-0203</t>
        </is>
      </c>
      <c r="B204" s="6" t="n">
        <v>45625</v>
      </c>
      <c r="C204" s="2" t="inlineStr">
        <is>
          <t>MUS-047</t>
        </is>
      </c>
      <c r="D204" s="2" t="inlineStr">
        <is>
          <t>ST-006</t>
        </is>
      </c>
      <c r="E204" s="2" t="inlineStr">
        <is>
          <t>Siparise Donustu</t>
        </is>
      </c>
      <c r="F204" s="3" t="n">
        <v>31504.2</v>
      </c>
      <c r="G204" s="2" t="inlineStr">
        <is>
          <t>USD</t>
        </is>
      </c>
      <c r="H204" s="5" t="n">
        <v>1</v>
      </c>
      <c r="I204" s="2" t="n">
        <v>45</v>
      </c>
      <c r="J204" s="5" t="inlineStr">
        <is>
          <t>CFR</t>
        </is>
      </c>
      <c r="K204" s="6" t="n">
        <v>45631</v>
      </c>
      <c r="L204" s="2" t="inlineStr">
        <is>
          <t>Kazanildi</t>
        </is>
      </c>
      <c r="M204" s="2" t="inlineStr"/>
    </row>
    <row r="205">
      <c r="A205" s="2" t="inlineStr">
        <is>
          <t>TKL-0204</t>
        </is>
      </c>
      <c r="B205" s="6" t="n">
        <v>45625</v>
      </c>
      <c r="C205" s="2" t="inlineStr">
        <is>
          <t>MUS-018</t>
        </is>
      </c>
      <c r="D205" s="2" t="inlineStr">
        <is>
          <t>ST-003</t>
        </is>
      </c>
      <c r="E205" s="2" t="inlineStr">
        <is>
          <t>Kaybedildi</t>
        </is>
      </c>
      <c r="F205" s="3" t="n">
        <v>32420.45</v>
      </c>
      <c r="G205" s="2" t="inlineStr">
        <is>
          <t>USD</t>
        </is>
      </c>
      <c r="H205" s="5" t="n">
        <v>1</v>
      </c>
      <c r="I205" s="2" t="n">
        <v>30</v>
      </c>
      <c r="J205" s="5" t="inlineStr">
        <is>
          <t>CIF</t>
        </is>
      </c>
      <c r="K205" s="6" t="n">
        <v>45635</v>
      </c>
      <c r="L205" s="2" t="inlineStr">
        <is>
          <t>Kaybedildi</t>
        </is>
      </c>
      <c r="M205" s="2" t="inlineStr">
        <is>
          <t>Rakipte Teknik Onay</t>
        </is>
      </c>
    </row>
    <row r="206">
      <c r="A206" s="2" t="inlineStr">
        <is>
          <t>TKL-0205</t>
        </is>
      </c>
      <c r="B206" s="6" t="n">
        <v>45602</v>
      </c>
      <c r="C206" s="2" t="inlineStr">
        <is>
          <t>MUS-011</t>
        </is>
      </c>
      <c r="D206" s="2" t="inlineStr">
        <is>
          <t>ST-004</t>
        </is>
      </c>
      <c r="E206" s="2" t="inlineStr">
        <is>
          <t>Kaybedildi</t>
        </is>
      </c>
      <c r="F206" s="3" t="n">
        <v>38587.71</v>
      </c>
      <c r="G206" s="2" t="inlineStr">
        <is>
          <t>USD</t>
        </is>
      </c>
      <c r="H206" s="5" t="n">
        <v>1</v>
      </c>
      <c r="I206" s="2" t="n">
        <v>45</v>
      </c>
      <c r="J206" s="5" t="inlineStr">
        <is>
          <t>CIF</t>
        </is>
      </c>
      <c r="K206" s="6" t="n">
        <v>45641</v>
      </c>
      <c r="L206" s="2" t="inlineStr">
        <is>
          <t>Kaybedildi</t>
        </is>
      </c>
      <c r="M206" s="2" t="inlineStr">
        <is>
          <t>Rakipte Teknik Onay</t>
        </is>
      </c>
    </row>
    <row r="207">
      <c r="A207" s="2" t="inlineStr">
        <is>
          <t>TKL-0206</t>
        </is>
      </c>
      <c r="B207" s="6" t="n">
        <v>45598</v>
      </c>
      <c r="C207" s="2" t="inlineStr">
        <is>
          <t>MUS-079</t>
        </is>
      </c>
      <c r="D207" s="2" t="inlineStr">
        <is>
          <t>ST-004</t>
        </is>
      </c>
      <c r="E207" s="2" t="inlineStr">
        <is>
          <t>Siparise Donustu</t>
        </is>
      </c>
      <c r="F207" s="3" t="n">
        <v>55333.51</v>
      </c>
      <c r="G207" s="2" t="inlineStr">
        <is>
          <t>USD</t>
        </is>
      </c>
      <c r="H207" s="5" t="n">
        <v>1</v>
      </c>
      <c r="I207" s="2" t="n">
        <v>30</v>
      </c>
      <c r="J207" s="5" t="inlineStr">
        <is>
          <t>CIF</t>
        </is>
      </c>
      <c r="K207" s="6" t="n">
        <v>45614</v>
      </c>
      <c r="L207" s="2" t="inlineStr">
        <is>
          <t>Kazanildi</t>
        </is>
      </c>
      <c r="M207" s="2" t="inlineStr"/>
    </row>
    <row r="208">
      <c r="A208" s="2" t="inlineStr">
        <is>
          <t>TKL-0207</t>
        </is>
      </c>
      <c r="B208" s="6" t="n">
        <v>45625</v>
      </c>
      <c r="C208" s="2" t="inlineStr">
        <is>
          <t>MUS-005</t>
        </is>
      </c>
      <c r="D208" s="2" t="inlineStr">
        <is>
          <t>ST-001</t>
        </is>
      </c>
      <c r="E208" s="2" t="inlineStr">
        <is>
          <t>Beklemede</t>
        </is>
      </c>
      <c r="F208" s="3" t="n">
        <v>95301.45</v>
      </c>
      <c r="G208" s="2" t="inlineStr">
        <is>
          <t>EUR</t>
        </is>
      </c>
      <c r="H208" s="5" t="n">
        <v>1.1037</v>
      </c>
      <c r="I208" s="2" t="n">
        <v>15</v>
      </c>
      <c r="J208" s="5" t="inlineStr">
        <is>
          <t>DAP</t>
        </is>
      </c>
      <c r="K208" s="6" t="n">
        <v>45634</v>
      </c>
      <c r="L208" s="2" t="inlineStr">
        <is>
          <t>Acik</t>
        </is>
      </c>
      <c r="M208" s="2" t="inlineStr"/>
    </row>
    <row r="209">
      <c r="A209" s="2" t="inlineStr">
        <is>
          <t>TKL-0208</t>
        </is>
      </c>
      <c r="B209" s="6" t="n">
        <v>45610</v>
      </c>
      <c r="C209" s="2" t="inlineStr">
        <is>
          <t>MUS-055</t>
        </is>
      </c>
      <c r="D209" s="2" t="inlineStr">
        <is>
          <t>ST-005</t>
        </is>
      </c>
      <c r="E209" s="2" t="inlineStr">
        <is>
          <t>Kaybedildi</t>
        </is>
      </c>
      <c r="F209" s="3" t="n">
        <v>25182.94</v>
      </c>
      <c r="G209" s="2" t="inlineStr">
        <is>
          <t>USD</t>
        </is>
      </c>
      <c r="H209" s="5" t="n">
        <v>1</v>
      </c>
      <c r="I209" s="2" t="n">
        <v>30</v>
      </c>
      <c r="J209" s="5" t="inlineStr">
        <is>
          <t>CFR</t>
        </is>
      </c>
      <c r="K209" s="6" t="n">
        <v>45617</v>
      </c>
      <c r="L209" s="2" t="inlineStr">
        <is>
          <t>Kaybedildi</t>
        </is>
      </c>
      <c r="M209" s="2" t="inlineStr">
        <is>
          <t>Termin Uzun</t>
        </is>
      </c>
    </row>
    <row r="210">
      <c r="A210" s="2" t="inlineStr">
        <is>
          <t>TKL-0209</t>
        </is>
      </c>
      <c r="B210" s="6" t="n">
        <v>45649</v>
      </c>
      <c r="C210" s="2" t="inlineStr">
        <is>
          <t>MUS-058</t>
        </is>
      </c>
      <c r="D210" s="2" t="inlineStr">
        <is>
          <t>ST-002</t>
        </is>
      </c>
      <c r="E210" s="2" t="inlineStr">
        <is>
          <t>Siparise Donustu</t>
        </is>
      </c>
      <c r="F210" s="3" t="n">
        <v>71439.41</v>
      </c>
      <c r="G210" s="2" t="inlineStr">
        <is>
          <t>EUR</t>
        </is>
      </c>
      <c r="H210" s="5" t="n">
        <v>1.1172</v>
      </c>
      <c r="I210" s="2" t="n">
        <v>20</v>
      </c>
      <c r="J210" s="5" t="inlineStr">
        <is>
          <t>DAP</t>
        </is>
      </c>
      <c r="K210" s="6" t="n">
        <v>45662</v>
      </c>
      <c r="L210" s="2" t="inlineStr">
        <is>
          <t>Kazanildi</t>
        </is>
      </c>
      <c r="M210" s="2" t="inlineStr"/>
    </row>
    <row r="211">
      <c r="A211" s="2" t="inlineStr">
        <is>
          <t>TKL-0210</t>
        </is>
      </c>
      <c r="B211" s="6" t="n">
        <v>45643</v>
      </c>
      <c r="C211" s="2" t="inlineStr">
        <is>
          <t>MUS-053</t>
        </is>
      </c>
      <c r="D211" s="2" t="inlineStr">
        <is>
          <t>ST-002</t>
        </is>
      </c>
      <c r="E211" s="2" t="inlineStr">
        <is>
          <t>Beklemede</t>
        </is>
      </c>
      <c r="F211" s="3" t="n">
        <v>9301.889999999999</v>
      </c>
      <c r="G211" s="2" t="inlineStr">
        <is>
          <t>EUR</t>
        </is>
      </c>
      <c r="H211" s="5" t="n">
        <v>1.1172</v>
      </c>
      <c r="I211" s="2" t="n">
        <v>20</v>
      </c>
      <c r="J211" s="5" t="inlineStr">
        <is>
          <t>DAP</t>
        </is>
      </c>
      <c r="K211" s="6" t="n">
        <v>45655</v>
      </c>
      <c r="L211" s="2" t="inlineStr">
        <is>
          <t>Acik</t>
        </is>
      </c>
      <c r="M211" s="2" t="inlineStr"/>
    </row>
    <row r="212">
      <c r="A212" s="2" t="inlineStr">
        <is>
          <t>TKL-0211</t>
        </is>
      </c>
      <c r="B212" s="6" t="n">
        <v>45650</v>
      </c>
      <c r="C212" s="2" t="inlineStr">
        <is>
          <t>MUS-010</t>
        </is>
      </c>
      <c r="D212" s="2" t="inlineStr">
        <is>
          <t>ST-003</t>
        </is>
      </c>
      <c r="E212" s="2" t="inlineStr">
        <is>
          <t>Siparise Donustu</t>
        </is>
      </c>
      <c r="F212" s="3" t="n">
        <v>12646.57</v>
      </c>
      <c r="G212" s="2" t="inlineStr">
        <is>
          <t>USD</t>
        </is>
      </c>
      <c r="H212" s="5" t="n">
        <v>1</v>
      </c>
      <c r="I212" s="2" t="n">
        <v>15</v>
      </c>
      <c r="J212" s="5" t="inlineStr">
        <is>
          <t>CIF</t>
        </is>
      </c>
      <c r="K212" s="6" t="n">
        <v>45663</v>
      </c>
      <c r="L212" s="2" t="inlineStr">
        <is>
          <t>Kazanildi</t>
        </is>
      </c>
      <c r="M212" s="2" t="inlineStr"/>
    </row>
    <row r="213">
      <c r="A213" s="2" t="inlineStr">
        <is>
          <t>TKL-0212</t>
        </is>
      </c>
      <c r="B213" s="6" t="n">
        <v>45628</v>
      </c>
      <c r="C213" s="2" t="inlineStr">
        <is>
          <t>MUS-039</t>
        </is>
      </c>
      <c r="D213" s="2" t="inlineStr">
        <is>
          <t>ST-003</t>
        </is>
      </c>
      <c r="E213" s="2" t="inlineStr">
        <is>
          <t>Kaybedildi</t>
        </is>
      </c>
      <c r="F213" s="3" t="n">
        <v>63550.11</v>
      </c>
      <c r="G213" s="2" t="inlineStr">
        <is>
          <t>USD</t>
        </is>
      </c>
      <c r="H213" s="5" t="n">
        <v>1</v>
      </c>
      <c r="I213" s="2" t="n">
        <v>30</v>
      </c>
      <c r="J213" s="5" t="inlineStr">
        <is>
          <t>CIF</t>
        </is>
      </c>
      <c r="K213" s="6" t="n">
        <v>45637</v>
      </c>
      <c r="L213" s="2" t="inlineStr">
        <is>
          <t>Kaybedildi</t>
        </is>
      </c>
      <c r="M213" s="2" t="inlineStr">
        <is>
          <t>Fiyat Yuksek</t>
        </is>
      </c>
    </row>
    <row r="214">
      <c r="A214" s="2" t="inlineStr">
        <is>
          <t>TKL-0213</t>
        </is>
      </c>
      <c r="B214" s="6" t="n">
        <v>45636</v>
      </c>
      <c r="C214" s="2" t="inlineStr">
        <is>
          <t>MUS-020</t>
        </is>
      </c>
      <c r="D214" s="2" t="inlineStr">
        <is>
          <t>ST-005</t>
        </is>
      </c>
      <c r="E214" s="2" t="inlineStr">
        <is>
          <t>Siparise Donustu</t>
        </is>
      </c>
      <c r="F214" s="3" t="n">
        <v>35512.56</v>
      </c>
      <c r="G214" s="2" t="inlineStr">
        <is>
          <t>USD</t>
        </is>
      </c>
      <c r="H214" s="5" t="n">
        <v>1</v>
      </c>
      <c r="I214" s="2" t="n">
        <v>30</v>
      </c>
      <c r="J214" s="5" t="inlineStr">
        <is>
          <t>CFR</t>
        </is>
      </c>
      <c r="K214" s="6" t="n">
        <v>45656</v>
      </c>
      <c r="L214" s="2" t="inlineStr">
        <is>
          <t>Kazanildi</t>
        </is>
      </c>
      <c r="M214" s="2" t="inlineStr"/>
    </row>
    <row r="215">
      <c r="A215" s="2" t="inlineStr">
        <is>
          <t>TKL-0214</t>
        </is>
      </c>
      <c r="B215" s="6" t="n">
        <v>45633</v>
      </c>
      <c r="C215" s="2" t="inlineStr">
        <is>
          <t>MUS-038</t>
        </is>
      </c>
      <c r="D215" s="2" t="inlineStr">
        <is>
          <t>ST-004</t>
        </is>
      </c>
      <c r="E215" s="2" t="inlineStr">
        <is>
          <t>Kaybedildi</t>
        </is>
      </c>
      <c r="F215" s="3" t="n">
        <v>57737.53</v>
      </c>
      <c r="G215" s="2" t="inlineStr">
        <is>
          <t>USD</t>
        </is>
      </c>
      <c r="H215" s="5" t="n">
        <v>1</v>
      </c>
      <c r="I215" s="2" t="n">
        <v>15</v>
      </c>
      <c r="J215" s="5" t="inlineStr">
        <is>
          <t>CIF</t>
        </is>
      </c>
      <c r="K215" s="6" t="n">
        <v>45647</v>
      </c>
      <c r="L215" s="2" t="inlineStr">
        <is>
          <t>Kaybedildi</t>
        </is>
      </c>
      <c r="M215" s="2" t="inlineStr">
        <is>
          <t>Termin Uzun</t>
        </is>
      </c>
    </row>
    <row r="216">
      <c r="A216" s="2" t="inlineStr">
        <is>
          <t>TKL-0215</t>
        </is>
      </c>
      <c r="B216" s="6" t="n">
        <v>45649</v>
      </c>
      <c r="C216" s="2" t="inlineStr">
        <is>
          <t>MUS-070</t>
        </is>
      </c>
      <c r="D216" s="2" t="inlineStr">
        <is>
          <t>ST-002</t>
        </is>
      </c>
      <c r="E216" s="2" t="inlineStr">
        <is>
          <t>Siparise Donustu</t>
        </is>
      </c>
      <c r="F216" s="3" t="n">
        <v>71467.42</v>
      </c>
      <c r="G216" s="2" t="inlineStr">
        <is>
          <t>EUR</t>
        </is>
      </c>
      <c r="H216" s="5" t="n">
        <v>1.1172</v>
      </c>
      <c r="I216" s="2" t="n">
        <v>30</v>
      </c>
      <c r="J216" s="5" t="inlineStr">
        <is>
          <t>DAP</t>
        </is>
      </c>
      <c r="K216" s="6" t="n">
        <v>45657</v>
      </c>
      <c r="L216" s="2" t="inlineStr">
        <is>
          <t>Kazanildi</t>
        </is>
      </c>
      <c r="M216" s="2" t="inlineStr"/>
    </row>
    <row r="217">
      <c r="A217" s="2" t="inlineStr">
        <is>
          <t>TKL-0216</t>
        </is>
      </c>
      <c r="B217" s="6" t="n">
        <v>45629</v>
      </c>
      <c r="C217" s="2" t="inlineStr">
        <is>
          <t>MUS-038</t>
        </is>
      </c>
      <c r="D217" s="2" t="inlineStr">
        <is>
          <t>ST-003</t>
        </is>
      </c>
      <c r="E217" s="2" t="inlineStr">
        <is>
          <t>Siparise Donustu</t>
        </is>
      </c>
      <c r="F217" s="3" t="n">
        <v>18119</v>
      </c>
      <c r="G217" s="2" t="inlineStr">
        <is>
          <t>USD</t>
        </is>
      </c>
      <c r="H217" s="5" t="n">
        <v>1</v>
      </c>
      <c r="I217" s="2" t="n">
        <v>20</v>
      </c>
      <c r="J217" s="5" t="inlineStr">
        <is>
          <t>CIF</t>
        </is>
      </c>
      <c r="K217" s="6" t="n">
        <v>45636</v>
      </c>
      <c r="L217" s="2" t="inlineStr">
        <is>
          <t>Kazanildi</t>
        </is>
      </c>
      <c r="M217" s="2" t="inlineStr"/>
    </row>
    <row r="218">
      <c r="A218" s="2" t="inlineStr">
        <is>
          <t>TKL-0217</t>
        </is>
      </c>
      <c r="B218" s="6" t="n">
        <v>45643</v>
      </c>
      <c r="C218" s="2" t="inlineStr">
        <is>
          <t>MUS-006</t>
        </is>
      </c>
      <c r="D218" s="2" t="inlineStr">
        <is>
          <t>ST-007</t>
        </is>
      </c>
      <c r="E218" s="2" t="inlineStr">
        <is>
          <t>Kaybedildi</t>
        </is>
      </c>
      <c r="F218" s="3" t="n">
        <v>17386.64</v>
      </c>
      <c r="G218" s="2" t="inlineStr">
        <is>
          <t>USD</t>
        </is>
      </c>
      <c r="H218" s="5" t="n">
        <v>1</v>
      </c>
      <c r="I218" s="2" t="n">
        <v>20</v>
      </c>
      <c r="J218" s="5" t="inlineStr">
        <is>
          <t>FCA</t>
        </is>
      </c>
      <c r="K218" s="6" t="n">
        <v>45662</v>
      </c>
      <c r="L218" s="2" t="inlineStr">
        <is>
          <t>Kaybedildi</t>
        </is>
      </c>
      <c r="M218" s="2" t="inlineStr">
        <is>
          <t>Fiyat Yuksek</t>
        </is>
      </c>
    </row>
    <row r="219">
      <c r="A219" s="2" t="inlineStr">
        <is>
          <t>TKL-0218</t>
        </is>
      </c>
      <c r="B219" s="6" t="n">
        <v>45633</v>
      </c>
      <c r="C219" s="2" t="inlineStr">
        <is>
          <t>MUS-033</t>
        </is>
      </c>
      <c r="D219" s="2" t="inlineStr">
        <is>
          <t>ST-005</t>
        </is>
      </c>
      <c r="E219" s="2" t="inlineStr">
        <is>
          <t>Siparise Donustu</t>
        </is>
      </c>
      <c r="F219" s="3" t="n">
        <v>61499.41</v>
      </c>
      <c r="G219" s="2" t="inlineStr">
        <is>
          <t>USD</t>
        </is>
      </c>
      <c r="H219" s="5" t="n">
        <v>1</v>
      </c>
      <c r="I219" s="2" t="n">
        <v>20</v>
      </c>
      <c r="J219" s="5" t="inlineStr">
        <is>
          <t>CFR</t>
        </is>
      </c>
      <c r="K219" s="6" t="n">
        <v>45642</v>
      </c>
      <c r="L219" s="2" t="inlineStr">
        <is>
          <t>Kazanildi</t>
        </is>
      </c>
      <c r="M219" s="2" t="inlineStr"/>
    </row>
    <row r="220">
      <c r="A220" s="2" t="inlineStr">
        <is>
          <t>TKL-0219</t>
        </is>
      </c>
      <c r="B220" s="6" t="n">
        <v>45638</v>
      </c>
      <c r="C220" s="2" t="inlineStr">
        <is>
          <t>MUS-035</t>
        </is>
      </c>
      <c r="D220" s="2" t="inlineStr">
        <is>
          <t>ST-002</t>
        </is>
      </c>
      <c r="E220" s="2" t="inlineStr">
        <is>
          <t>Siparise Donustu</t>
        </is>
      </c>
      <c r="F220" s="3" t="n">
        <v>20720.5</v>
      </c>
      <c r="G220" s="2" t="inlineStr">
        <is>
          <t>EUR</t>
        </is>
      </c>
      <c r="H220" s="5" t="n">
        <v>1.1172</v>
      </c>
      <c r="I220" s="2" t="n">
        <v>15</v>
      </c>
      <c r="J220" s="5" t="inlineStr">
        <is>
          <t>FCA</t>
        </is>
      </c>
      <c r="K220" s="6" t="n">
        <v>45643</v>
      </c>
      <c r="L220" s="2" t="inlineStr">
        <is>
          <t>Kazanildi</t>
        </is>
      </c>
      <c r="M220" s="2" t="inlineStr"/>
    </row>
    <row r="221">
      <c r="A221" s="2" t="inlineStr">
        <is>
          <t>TKL-0220</t>
        </is>
      </c>
      <c r="B221" s="6" t="n">
        <v>45657</v>
      </c>
      <c r="C221" s="2" t="inlineStr">
        <is>
          <t>MUS-033</t>
        </is>
      </c>
      <c r="D221" s="2" t="inlineStr">
        <is>
          <t>ST-006</t>
        </is>
      </c>
      <c r="E221" s="2" t="inlineStr">
        <is>
          <t>Siparise Donustu</t>
        </is>
      </c>
      <c r="F221" s="3" t="n">
        <v>49352.54</v>
      </c>
      <c r="G221" s="2" t="inlineStr">
        <is>
          <t>USD</t>
        </is>
      </c>
      <c r="H221" s="5" t="n">
        <v>1</v>
      </c>
      <c r="I221" s="2" t="n">
        <v>20</v>
      </c>
      <c r="J221" s="5" t="inlineStr">
        <is>
          <t>CFR</t>
        </is>
      </c>
      <c r="K221" s="6" t="n">
        <v>45675</v>
      </c>
      <c r="L221" s="2" t="inlineStr">
        <is>
          <t>Kazanildi</t>
        </is>
      </c>
      <c r="M221" s="2" t="inlineStr"/>
    </row>
    <row r="222">
      <c r="A222" s="2" t="inlineStr">
        <is>
          <t>TKL-0221</t>
        </is>
      </c>
      <c r="B222" s="6" t="n">
        <v>45636</v>
      </c>
      <c r="C222" s="2" t="inlineStr">
        <is>
          <t>MUS-029</t>
        </is>
      </c>
      <c r="D222" s="2" t="inlineStr">
        <is>
          <t>ST-006</t>
        </is>
      </c>
      <c r="E222" s="2" t="inlineStr">
        <is>
          <t>Siparise Donustu</t>
        </is>
      </c>
      <c r="F222" s="3" t="n">
        <v>80050.07000000001</v>
      </c>
      <c r="G222" s="2" t="inlineStr">
        <is>
          <t>USD</t>
        </is>
      </c>
      <c r="H222" s="5" t="n">
        <v>1</v>
      </c>
      <c r="I222" s="2" t="n">
        <v>20</v>
      </c>
      <c r="J222" s="5" t="inlineStr">
        <is>
          <t>CFR</t>
        </is>
      </c>
      <c r="K222" s="6" t="n">
        <v>45643</v>
      </c>
      <c r="L222" s="2" t="inlineStr">
        <is>
          <t>Kazanildi</t>
        </is>
      </c>
      <c r="M222" s="2" t="inlineStr"/>
    </row>
    <row r="223">
      <c r="A223" s="2" t="inlineStr">
        <is>
          <t>TKL-0222</t>
        </is>
      </c>
      <c r="B223" s="6" t="n">
        <v>45650</v>
      </c>
      <c r="C223" s="2" t="inlineStr">
        <is>
          <t>MUS-064</t>
        </is>
      </c>
      <c r="D223" s="2" t="inlineStr">
        <is>
          <t>ST-001</t>
        </is>
      </c>
      <c r="E223" s="2" t="inlineStr">
        <is>
          <t>Siparise Donustu</t>
        </is>
      </c>
      <c r="F223" s="3" t="n">
        <v>32632.08</v>
      </c>
      <c r="G223" s="2" t="inlineStr">
        <is>
          <t>EUR</t>
        </is>
      </c>
      <c r="H223" s="5" t="n">
        <v>1.1172</v>
      </c>
      <c r="I223" s="2" t="n">
        <v>20</v>
      </c>
      <c r="J223" s="5" t="inlineStr">
        <is>
          <t>FCA</t>
        </is>
      </c>
      <c r="K223" s="6" t="n">
        <v>45662</v>
      </c>
      <c r="L223" s="2" t="inlineStr">
        <is>
          <t>Kazanildi</t>
        </is>
      </c>
      <c r="M223" s="2" t="inlineStr"/>
    </row>
    <row r="224">
      <c r="A224" s="2" t="inlineStr">
        <is>
          <t>TKL-0223</t>
        </is>
      </c>
      <c r="B224" s="6" t="n">
        <v>45641</v>
      </c>
      <c r="C224" s="2" t="inlineStr">
        <is>
          <t>MUS-054</t>
        </is>
      </c>
      <c r="D224" s="2" t="inlineStr">
        <is>
          <t>ST-004</t>
        </is>
      </c>
      <c r="E224" s="2" t="inlineStr">
        <is>
          <t>Siparise Donustu</t>
        </is>
      </c>
      <c r="F224" s="3" t="n">
        <v>32392.55</v>
      </c>
      <c r="G224" s="2" t="inlineStr">
        <is>
          <t>USD</t>
        </is>
      </c>
      <c r="H224" s="5" t="n">
        <v>1</v>
      </c>
      <c r="I224" s="2" t="n">
        <v>30</v>
      </c>
      <c r="J224" s="5" t="inlineStr">
        <is>
          <t>CIF</t>
        </is>
      </c>
      <c r="K224" s="6" t="n">
        <v>45671</v>
      </c>
      <c r="L224" s="2" t="inlineStr">
        <is>
          <t>Kazanildi</t>
        </is>
      </c>
      <c r="M224" s="2" t="inlineStr"/>
    </row>
    <row r="225">
      <c r="A225" s="2" t="inlineStr">
        <is>
          <t>TKL-0224</t>
        </is>
      </c>
      <c r="B225" s="6" t="n">
        <v>45641</v>
      </c>
      <c r="C225" s="2" t="inlineStr">
        <is>
          <t>MUS-079</t>
        </is>
      </c>
      <c r="D225" s="2" t="inlineStr">
        <is>
          <t>ST-003</t>
        </is>
      </c>
      <c r="E225" s="2" t="inlineStr">
        <is>
          <t>Kaybedildi</t>
        </is>
      </c>
      <c r="F225" s="3" t="n">
        <v>57727.55</v>
      </c>
      <c r="G225" s="2" t="inlineStr">
        <is>
          <t>USD</t>
        </is>
      </c>
      <c r="H225" s="5" t="n">
        <v>1</v>
      </c>
      <c r="I225" s="2" t="n">
        <v>15</v>
      </c>
      <c r="J225" s="5" t="inlineStr">
        <is>
          <t>CIF</t>
        </is>
      </c>
      <c r="K225" s="6" t="n">
        <v>45646</v>
      </c>
      <c r="L225" s="2" t="inlineStr">
        <is>
          <t>Kaybedildi</t>
        </is>
      </c>
      <c r="M225" s="2" t="inlineStr">
        <is>
          <t>Fiyat Yuksek</t>
        </is>
      </c>
    </row>
    <row r="226">
      <c r="A226" s="2" t="inlineStr">
        <is>
          <t>TKL-0225</t>
        </is>
      </c>
      <c r="B226" s="6" t="n">
        <v>45642</v>
      </c>
      <c r="C226" s="2" t="inlineStr">
        <is>
          <t>MUS-065</t>
        </is>
      </c>
      <c r="D226" s="2" t="inlineStr">
        <is>
          <t>ST-006</t>
        </is>
      </c>
      <c r="E226" s="2" t="inlineStr">
        <is>
          <t>Siparise Donustu</t>
        </is>
      </c>
      <c r="F226" s="3" t="n">
        <v>54597.12</v>
      </c>
      <c r="G226" s="2" t="inlineStr">
        <is>
          <t>USD</t>
        </is>
      </c>
      <c r="H226" s="5" t="n">
        <v>1</v>
      </c>
      <c r="I226" s="2" t="n">
        <v>15</v>
      </c>
      <c r="J226" s="5" t="inlineStr">
        <is>
          <t>CFR</t>
        </is>
      </c>
      <c r="K226" s="6" t="n">
        <v>45651</v>
      </c>
      <c r="L226" s="2" t="inlineStr">
        <is>
          <t>Kazanildi</t>
        </is>
      </c>
      <c r="M226" s="2" t="inlineStr"/>
    </row>
    <row r="227">
      <c r="A227" s="2" t="inlineStr">
        <is>
          <t>TKL-0226</t>
        </is>
      </c>
      <c r="B227" s="6" t="n">
        <v>45651</v>
      </c>
      <c r="C227" s="2" t="inlineStr">
        <is>
          <t>MUS-080</t>
        </is>
      </c>
      <c r="D227" s="2" t="inlineStr">
        <is>
          <t>ST-006</t>
        </is>
      </c>
      <c r="E227" s="2" t="inlineStr">
        <is>
          <t>Kaybedildi</t>
        </is>
      </c>
      <c r="F227" s="3" t="n">
        <v>27300.88</v>
      </c>
      <c r="G227" s="2" t="inlineStr">
        <is>
          <t>USD</t>
        </is>
      </c>
      <c r="H227" s="5" t="n">
        <v>1</v>
      </c>
      <c r="I227" s="2" t="n">
        <v>30</v>
      </c>
      <c r="J227" s="5" t="inlineStr">
        <is>
          <t>CFR</t>
        </is>
      </c>
      <c r="K227" s="6" t="n">
        <v>45656</v>
      </c>
      <c r="L227" s="2" t="inlineStr">
        <is>
          <t>Kaybedildi</t>
        </is>
      </c>
      <c r="M227" s="2" t="inlineStr">
        <is>
          <t>Fiyat Yuksek</t>
        </is>
      </c>
    </row>
    <row r="228">
      <c r="A228" s="2" t="inlineStr">
        <is>
          <t>TKL-0227</t>
        </is>
      </c>
      <c r="B228" s="6" t="n">
        <v>45649</v>
      </c>
      <c r="C228" s="2" t="inlineStr">
        <is>
          <t>MUS-017</t>
        </is>
      </c>
      <c r="D228" s="2" t="inlineStr">
        <is>
          <t>ST-002</t>
        </is>
      </c>
      <c r="E228" s="2" t="inlineStr">
        <is>
          <t>Siparise Donustu</t>
        </is>
      </c>
      <c r="F228" s="3" t="n">
        <v>22961.17</v>
      </c>
      <c r="G228" s="2" t="inlineStr">
        <is>
          <t>EUR</t>
        </is>
      </c>
      <c r="H228" s="5" t="n">
        <v>1.1172</v>
      </c>
      <c r="I228" s="2" t="n">
        <v>15</v>
      </c>
      <c r="J228" s="5" t="inlineStr">
        <is>
          <t>DAP</t>
        </is>
      </c>
      <c r="K228" s="6" t="n">
        <v>45655</v>
      </c>
      <c r="L228" s="2" t="inlineStr">
        <is>
          <t>Kazanildi</t>
        </is>
      </c>
      <c r="M228" s="2" t="inlineStr"/>
    </row>
    <row r="229">
      <c r="A229" s="2" t="inlineStr">
        <is>
          <t>TKL-0228</t>
        </is>
      </c>
      <c r="B229" s="6" t="n">
        <v>45640</v>
      </c>
      <c r="C229" s="2" t="inlineStr">
        <is>
          <t>MUS-025</t>
        </is>
      </c>
      <c r="D229" s="2" t="inlineStr">
        <is>
          <t>ST-002</t>
        </is>
      </c>
      <c r="E229" s="2" t="inlineStr">
        <is>
          <t>Siparise Donustu</t>
        </is>
      </c>
      <c r="F229" s="3" t="n">
        <v>23430.28</v>
      </c>
      <c r="G229" s="2" t="inlineStr">
        <is>
          <t>EUR</t>
        </is>
      </c>
      <c r="H229" s="5" t="n">
        <v>1.1172</v>
      </c>
      <c r="I229" s="2" t="n">
        <v>15</v>
      </c>
      <c r="J229" s="5" t="inlineStr">
        <is>
          <t>DAP</t>
        </is>
      </c>
      <c r="K229" s="6" t="n">
        <v>45654</v>
      </c>
      <c r="L229" s="2" t="inlineStr">
        <is>
          <t>Kazanildi</t>
        </is>
      </c>
      <c r="M229" s="2" t="inlineStr"/>
    </row>
    <row r="230">
      <c r="A230" s="2" t="inlineStr">
        <is>
          <t>TKL-0229</t>
        </is>
      </c>
      <c r="B230" s="6" t="n">
        <v>45633</v>
      </c>
      <c r="C230" s="2" t="inlineStr">
        <is>
          <t>MUS-024</t>
        </is>
      </c>
      <c r="D230" s="2" t="inlineStr">
        <is>
          <t>ST-004</t>
        </is>
      </c>
      <c r="E230" s="2" t="inlineStr">
        <is>
          <t>Siparise Donustu</t>
        </is>
      </c>
      <c r="F230" s="3" t="n">
        <v>56199.88</v>
      </c>
      <c r="G230" s="2" t="inlineStr">
        <is>
          <t>USD</t>
        </is>
      </c>
      <c r="H230" s="5" t="n">
        <v>1</v>
      </c>
      <c r="I230" s="2" t="n">
        <v>20</v>
      </c>
      <c r="J230" s="5" t="inlineStr">
        <is>
          <t>CIF</t>
        </is>
      </c>
      <c r="K230" s="6" t="n">
        <v>45638</v>
      </c>
      <c r="L230" s="2" t="inlineStr">
        <is>
          <t>Kazanildi</t>
        </is>
      </c>
      <c r="M230" s="2" t="inlineStr"/>
    </row>
    <row r="231">
      <c r="A231" s="2" t="inlineStr">
        <is>
          <t>TKL-0230</t>
        </is>
      </c>
      <c r="B231" s="6" t="n">
        <v>45630</v>
      </c>
      <c r="C231" s="2" t="inlineStr">
        <is>
          <t>MUS-082</t>
        </is>
      </c>
      <c r="D231" s="2" t="inlineStr">
        <is>
          <t>ST-002</t>
        </is>
      </c>
      <c r="E231" s="2" t="inlineStr">
        <is>
          <t>Beklemede</t>
        </is>
      </c>
      <c r="F231" s="3" t="n">
        <v>25291.94</v>
      </c>
      <c r="G231" s="2" t="inlineStr">
        <is>
          <t>EUR</t>
        </is>
      </c>
      <c r="H231" s="5" t="n">
        <v>1.1172</v>
      </c>
      <c r="I231" s="2" t="n">
        <v>30</v>
      </c>
      <c r="J231" s="5" t="inlineStr">
        <is>
          <t>DAP</t>
        </is>
      </c>
      <c r="K231" s="6" t="n">
        <v>45642</v>
      </c>
      <c r="L231" s="2" t="inlineStr">
        <is>
          <t>Acik</t>
        </is>
      </c>
      <c r="M231" s="2" t="inlineStr"/>
    </row>
    <row r="232">
      <c r="A232" s="2" t="inlineStr">
        <is>
          <t>TKL-0231</t>
        </is>
      </c>
      <c r="B232" s="6" t="n">
        <v>45637</v>
      </c>
      <c r="C232" s="2" t="inlineStr">
        <is>
          <t>MUS-009</t>
        </is>
      </c>
      <c r="D232" s="2" t="inlineStr">
        <is>
          <t>ST-001</t>
        </is>
      </c>
      <c r="E232" s="2" t="inlineStr">
        <is>
          <t>Beklemede</t>
        </is>
      </c>
      <c r="F232" s="3" t="n">
        <v>24689.72</v>
      </c>
      <c r="G232" s="2" t="inlineStr">
        <is>
          <t>EUR</t>
        </is>
      </c>
      <c r="H232" s="5" t="n">
        <v>1.1172</v>
      </c>
      <c r="I232" s="2" t="n">
        <v>15</v>
      </c>
      <c r="J232" s="5" t="inlineStr">
        <is>
          <t>DAP</t>
        </is>
      </c>
      <c r="K232" s="6" t="n">
        <v>45642</v>
      </c>
      <c r="L232" s="2" t="inlineStr">
        <is>
          <t>Acik</t>
        </is>
      </c>
      <c r="M232" s="2" t="inlineStr"/>
    </row>
    <row r="233">
      <c r="A233" s="2" t="inlineStr">
        <is>
          <t>TKL-0232</t>
        </is>
      </c>
      <c r="B233" s="6" t="n">
        <v>45641</v>
      </c>
      <c r="C233" s="2" t="inlineStr">
        <is>
          <t>MUS-020</t>
        </is>
      </c>
      <c r="D233" s="2" t="inlineStr">
        <is>
          <t>ST-005</t>
        </is>
      </c>
      <c r="E233" s="2" t="inlineStr">
        <is>
          <t>Siparise Donustu</t>
        </is>
      </c>
      <c r="F233" s="3" t="n">
        <v>31520.52</v>
      </c>
      <c r="G233" s="2" t="inlineStr">
        <is>
          <t>USD</t>
        </is>
      </c>
      <c r="H233" s="5" t="n">
        <v>1</v>
      </c>
      <c r="I233" s="2" t="n">
        <v>15</v>
      </c>
      <c r="J233" s="5" t="inlineStr">
        <is>
          <t>CFR</t>
        </is>
      </c>
      <c r="K233" s="6" t="n">
        <v>45649</v>
      </c>
      <c r="L233" s="2" t="inlineStr">
        <is>
          <t>Kazanildi</t>
        </is>
      </c>
      <c r="M233" s="2" t="inlineStr"/>
    </row>
    <row r="234">
      <c r="A234" s="2" t="inlineStr">
        <is>
          <t>TKL-0233</t>
        </is>
      </c>
      <c r="B234" s="6" t="n">
        <v>45688</v>
      </c>
      <c r="C234" s="2" t="inlineStr">
        <is>
          <t>MUS-074</t>
        </is>
      </c>
      <c r="D234" s="2" t="inlineStr">
        <is>
          <t>ST-007</t>
        </is>
      </c>
      <c r="E234" s="2" t="inlineStr">
        <is>
          <t>Siparise Donustu</t>
        </is>
      </c>
      <c r="F234" s="3" t="n">
        <v>18026.48</v>
      </c>
      <c r="G234" s="2" t="inlineStr">
        <is>
          <t>USD</t>
        </is>
      </c>
      <c r="H234" s="5" t="n">
        <v>1</v>
      </c>
      <c r="I234" s="2" t="n">
        <v>30</v>
      </c>
      <c r="J234" s="5" t="inlineStr">
        <is>
          <t>FCA</t>
        </is>
      </c>
      <c r="K234" s="6" t="n">
        <v>45696</v>
      </c>
      <c r="L234" s="2" t="inlineStr">
        <is>
          <t>Kazanildi</t>
        </is>
      </c>
      <c r="M234" s="2" t="inlineStr"/>
    </row>
    <row r="235">
      <c r="A235" s="2" t="inlineStr">
        <is>
          <t>TKL-0234</t>
        </is>
      </c>
      <c r="B235" s="6" t="n">
        <v>45682</v>
      </c>
      <c r="C235" s="2" t="inlineStr">
        <is>
          <t>MUS-033</t>
        </is>
      </c>
      <c r="D235" s="2" t="inlineStr">
        <is>
          <t>ST-005</t>
        </is>
      </c>
      <c r="E235" s="2" t="inlineStr">
        <is>
          <t>Beklemede</t>
        </is>
      </c>
      <c r="F235" s="3" t="n">
        <v>52077.12</v>
      </c>
      <c r="G235" s="2" t="inlineStr">
        <is>
          <t>USD</t>
        </is>
      </c>
      <c r="H235" s="5" t="n">
        <v>1</v>
      </c>
      <c r="I235" s="2" t="n">
        <v>30</v>
      </c>
      <c r="J235" s="5" t="inlineStr">
        <is>
          <t>CFR</t>
        </is>
      </c>
      <c r="K235" s="6" t="n">
        <v>45703</v>
      </c>
      <c r="L235" s="2" t="inlineStr">
        <is>
          <t>Acik</t>
        </is>
      </c>
      <c r="M235" s="2" t="inlineStr"/>
    </row>
    <row r="236">
      <c r="A236" s="2" t="inlineStr">
        <is>
          <t>TKL-0235</t>
        </is>
      </c>
      <c r="B236" s="6" t="n">
        <v>45662</v>
      </c>
      <c r="C236" s="2" t="inlineStr">
        <is>
          <t>MUS-029</t>
        </is>
      </c>
      <c r="D236" s="2" t="inlineStr">
        <is>
          <t>ST-006</t>
        </is>
      </c>
      <c r="E236" s="2" t="inlineStr">
        <is>
          <t>Beklemede</t>
        </is>
      </c>
      <c r="F236" s="3" t="n">
        <v>19675.32</v>
      </c>
      <c r="G236" s="2" t="inlineStr">
        <is>
          <t>USD</t>
        </is>
      </c>
      <c r="H236" s="5" t="n">
        <v>1</v>
      </c>
      <c r="I236" s="2" t="n">
        <v>20</v>
      </c>
      <c r="J236" s="5" t="inlineStr">
        <is>
          <t>CFR</t>
        </is>
      </c>
      <c r="K236" s="6" t="n">
        <v>45679</v>
      </c>
      <c r="L236" s="2" t="inlineStr">
        <is>
          <t>Acik</t>
        </is>
      </c>
      <c r="M236" s="2" t="inlineStr"/>
    </row>
    <row r="237">
      <c r="A237" s="2" t="inlineStr">
        <is>
          <t>TKL-0236</t>
        </is>
      </c>
      <c r="B237" s="6" t="n">
        <v>45672</v>
      </c>
      <c r="C237" s="2" t="inlineStr">
        <is>
          <t>MUS-007</t>
        </is>
      </c>
      <c r="D237" s="2" t="inlineStr">
        <is>
          <t>ST-004</t>
        </is>
      </c>
      <c r="E237" s="2" t="inlineStr">
        <is>
          <t>Beklemede</t>
        </is>
      </c>
      <c r="F237" s="3" t="n">
        <v>45002.94</v>
      </c>
      <c r="G237" s="2" t="inlineStr">
        <is>
          <t>USD</t>
        </is>
      </c>
      <c r="H237" s="5" t="n">
        <v>1</v>
      </c>
      <c r="I237" s="2" t="n">
        <v>15</v>
      </c>
      <c r="J237" s="5" t="inlineStr">
        <is>
          <t>CIF</t>
        </is>
      </c>
      <c r="K237" s="6" t="n">
        <v>45678</v>
      </c>
      <c r="L237" s="2" t="inlineStr">
        <is>
          <t>Acik</t>
        </is>
      </c>
      <c r="M237" s="2" t="inlineStr"/>
    </row>
    <row r="238">
      <c r="A238" s="2" t="inlineStr">
        <is>
          <t>TKL-0237</t>
        </is>
      </c>
      <c r="B238" s="6" t="n">
        <v>45677</v>
      </c>
      <c r="C238" s="2" t="inlineStr">
        <is>
          <t>MUS-041</t>
        </is>
      </c>
      <c r="D238" s="2" t="inlineStr">
        <is>
          <t>ST-002</t>
        </is>
      </c>
      <c r="E238" s="2" t="inlineStr">
        <is>
          <t>Siparise Donustu</t>
        </is>
      </c>
      <c r="F238" s="3" t="n">
        <v>43667.58</v>
      </c>
      <c r="G238" s="2" t="inlineStr">
        <is>
          <t>EUR</t>
        </is>
      </c>
      <c r="H238" s="5" t="n">
        <v>1.1251</v>
      </c>
      <c r="I238" s="2" t="n">
        <v>20</v>
      </c>
      <c r="J238" s="5" t="inlineStr">
        <is>
          <t>DAP</t>
        </is>
      </c>
      <c r="K238" s="6" t="n">
        <v>45690</v>
      </c>
      <c r="L238" s="2" t="inlineStr">
        <is>
          <t>Kazanildi</t>
        </is>
      </c>
      <c r="M238" s="2" t="inlineStr"/>
    </row>
    <row r="239">
      <c r="A239" s="2" t="inlineStr">
        <is>
          <t>TKL-0238</t>
        </is>
      </c>
      <c r="B239" s="6" t="n">
        <v>45666</v>
      </c>
      <c r="C239" s="2" t="inlineStr">
        <is>
          <t>MUS-066</t>
        </is>
      </c>
      <c r="D239" s="2" t="inlineStr">
        <is>
          <t>ST-007</t>
        </is>
      </c>
      <c r="E239" s="2" t="inlineStr">
        <is>
          <t>Beklemede</t>
        </is>
      </c>
      <c r="F239" s="3" t="n">
        <v>21416.33</v>
      </c>
      <c r="G239" s="2" t="inlineStr">
        <is>
          <t>USD</t>
        </is>
      </c>
      <c r="H239" s="5" t="n">
        <v>1</v>
      </c>
      <c r="I239" s="2" t="n">
        <v>30</v>
      </c>
      <c r="J239" s="5" t="inlineStr">
        <is>
          <t>FCA</t>
        </is>
      </c>
      <c r="K239" s="6" t="n">
        <v>45671</v>
      </c>
      <c r="L239" s="2" t="inlineStr">
        <is>
          <t>Acik</t>
        </is>
      </c>
      <c r="M239" s="2" t="inlineStr"/>
    </row>
    <row r="240">
      <c r="A240" s="2" t="inlineStr">
        <is>
          <t>TKL-0239</t>
        </is>
      </c>
      <c r="B240" s="6" t="n">
        <v>45674</v>
      </c>
      <c r="C240" s="2" t="inlineStr">
        <is>
          <t>MUS-003</t>
        </is>
      </c>
      <c r="D240" s="2" t="inlineStr">
        <is>
          <t>ST-004</t>
        </is>
      </c>
      <c r="E240" s="2" t="inlineStr">
        <is>
          <t>Kaybedildi</t>
        </is>
      </c>
      <c r="F240" s="3" t="n">
        <v>47268.2</v>
      </c>
      <c r="G240" s="2" t="inlineStr">
        <is>
          <t>USD</t>
        </is>
      </c>
      <c r="H240" s="5" t="n">
        <v>1</v>
      </c>
      <c r="I240" s="2" t="n">
        <v>45</v>
      </c>
      <c r="J240" s="5" t="inlineStr">
        <is>
          <t>CIF</t>
        </is>
      </c>
      <c r="K240" s="6" t="n">
        <v>45696</v>
      </c>
      <c r="L240" s="2" t="inlineStr">
        <is>
          <t>Kaybedildi</t>
        </is>
      </c>
      <c r="M240" s="2" t="inlineStr">
        <is>
          <t>Fiyat Yuksek</t>
        </is>
      </c>
    </row>
    <row r="241">
      <c r="A241" s="2" t="inlineStr">
        <is>
          <t>TKL-0240</t>
        </is>
      </c>
      <c r="B241" s="6" t="n">
        <v>45664</v>
      </c>
      <c r="C241" s="2" t="inlineStr">
        <is>
          <t>MUS-061</t>
        </is>
      </c>
      <c r="D241" s="2" t="inlineStr">
        <is>
          <t>ST-007</t>
        </is>
      </c>
      <c r="E241" s="2" t="inlineStr">
        <is>
          <t>Siparise Donustu</t>
        </is>
      </c>
      <c r="F241" s="3" t="n">
        <v>38472.5</v>
      </c>
      <c r="G241" s="2" t="inlineStr">
        <is>
          <t>USD</t>
        </is>
      </c>
      <c r="H241" s="5" t="n">
        <v>1</v>
      </c>
      <c r="I241" s="2" t="n">
        <v>20</v>
      </c>
      <c r="J241" s="5" t="inlineStr">
        <is>
          <t>FCA</t>
        </is>
      </c>
      <c r="K241" s="6" t="n">
        <v>45670</v>
      </c>
      <c r="L241" s="2" t="inlineStr">
        <is>
          <t>Kazanildi</t>
        </is>
      </c>
      <c r="M241" s="2" t="inlineStr"/>
    </row>
    <row r="242">
      <c r="A242" s="2" t="inlineStr">
        <is>
          <t>TKL-0241</t>
        </is>
      </c>
      <c r="B242" s="6" t="n">
        <v>45688</v>
      </c>
      <c r="C242" s="2" t="inlineStr">
        <is>
          <t>MUS-035</t>
        </is>
      </c>
      <c r="D242" s="2" t="inlineStr">
        <is>
          <t>ST-002</t>
        </is>
      </c>
      <c r="E242" s="2" t="inlineStr">
        <is>
          <t>Kaybedildi</t>
        </is>
      </c>
      <c r="F242" s="3" t="n">
        <v>57033.15</v>
      </c>
      <c r="G242" s="2" t="inlineStr">
        <is>
          <t>EUR</t>
        </is>
      </c>
      <c r="H242" s="5" t="n">
        <v>1.1251</v>
      </c>
      <c r="I242" s="2" t="n">
        <v>45</v>
      </c>
      <c r="J242" s="5" t="inlineStr">
        <is>
          <t>FCA</t>
        </is>
      </c>
      <c r="K242" s="6" t="n">
        <v>45721</v>
      </c>
      <c r="L242" s="2" t="inlineStr">
        <is>
          <t>Kaybedildi</t>
        </is>
      </c>
      <c r="M242" s="2" t="inlineStr">
        <is>
          <t>Rakipte Teknik Onay</t>
        </is>
      </c>
    </row>
    <row r="243">
      <c r="A243" s="2" t="inlineStr">
        <is>
          <t>TKL-0242</t>
        </is>
      </c>
      <c r="B243" s="6" t="n">
        <v>45686</v>
      </c>
      <c r="C243" s="2" t="inlineStr">
        <is>
          <t>MUS-007</t>
        </is>
      </c>
      <c r="D243" s="2" t="inlineStr">
        <is>
          <t>ST-004</t>
        </is>
      </c>
      <c r="E243" s="2" t="inlineStr">
        <is>
          <t>Beklemede</t>
        </is>
      </c>
      <c r="F243" s="3" t="n">
        <v>55754.27</v>
      </c>
      <c r="G243" s="2" t="inlineStr">
        <is>
          <t>USD</t>
        </is>
      </c>
      <c r="H243" s="5" t="n">
        <v>1</v>
      </c>
      <c r="I243" s="2" t="n">
        <v>20</v>
      </c>
      <c r="J243" s="5" t="inlineStr">
        <is>
          <t>CIF</t>
        </is>
      </c>
      <c r="K243" s="6" t="n">
        <v>45695</v>
      </c>
      <c r="L243" s="2" t="inlineStr">
        <is>
          <t>Acik</t>
        </is>
      </c>
      <c r="M243" s="2" t="inlineStr"/>
    </row>
    <row r="244">
      <c r="A244" s="2" t="inlineStr">
        <is>
          <t>TKL-0243</t>
        </is>
      </c>
      <c r="B244" s="6" t="n">
        <v>45688</v>
      </c>
      <c r="C244" s="2" t="inlineStr">
        <is>
          <t>MUS-043</t>
        </is>
      </c>
      <c r="D244" s="2" t="inlineStr">
        <is>
          <t>ST-002</t>
        </is>
      </c>
      <c r="E244" s="2" t="inlineStr">
        <is>
          <t>Kaybedildi</t>
        </is>
      </c>
      <c r="F244" s="3" t="n">
        <v>13357.72</v>
      </c>
      <c r="G244" s="2" t="inlineStr">
        <is>
          <t>EUR</t>
        </is>
      </c>
      <c r="H244" s="5" t="n">
        <v>1.1251</v>
      </c>
      <c r="I244" s="2" t="n">
        <v>45</v>
      </c>
      <c r="J244" s="5" t="inlineStr">
        <is>
          <t>DAP</t>
        </is>
      </c>
      <c r="K244" s="6" t="n">
        <v>45722</v>
      </c>
      <c r="L244" s="2" t="inlineStr">
        <is>
          <t>Kaybedildi</t>
        </is>
      </c>
      <c r="M244" s="2" t="inlineStr">
        <is>
          <t>Termin Uzun</t>
        </is>
      </c>
    </row>
    <row r="245">
      <c r="A245" s="2" t="inlineStr">
        <is>
          <t>TKL-0244</t>
        </is>
      </c>
      <c r="B245" s="6" t="n">
        <v>45667</v>
      </c>
      <c r="C245" s="2" t="inlineStr">
        <is>
          <t>MUS-007</t>
        </is>
      </c>
      <c r="D245" s="2" t="inlineStr">
        <is>
          <t>ST-004</t>
        </is>
      </c>
      <c r="E245" s="2" t="inlineStr">
        <is>
          <t>Siparise Donustu</t>
        </is>
      </c>
      <c r="F245" s="3" t="n">
        <v>7969.38</v>
      </c>
      <c r="G245" s="2" t="inlineStr">
        <is>
          <t>USD</t>
        </is>
      </c>
      <c r="H245" s="5" t="n">
        <v>1</v>
      </c>
      <c r="I245" s="2" t="n">
        <v>45</v>
      </c>
      <c r="J245" s="5" t="inlineStr">
        <is>
          <t>CIF</t>
        </is>
      </c>
      <c r="K245" s="6" t="n">
        <v>45697</v>
      </c>
      <c r="L245" s="2" t="inlineStr">
        <is>
          <t>Kazanildi</t>
        </is>
      </c>
      <c r="M245" s="2" t="inlineStr"/>
    </row>
    <row r="246">
      <c r="A246" s="2" t="inlineStr">
        <is>
          <t>TKL-0245</t>
        </is>
      </c>
      <c r="B246" s="6" t="n">
        <v>45668</v>
      </c>
      <c r="C246" s="2" t="inlineStr">
        <is>
          <t>MUS-054</t>
        </is>
      </c>
      <c r="D246" s="2" t="inlineStr">
        <is>
          <t>ST-004</t>
        </is>
      </c>
      <c r="E246" s="2" t="inlineStr">
        <is>
          <t>Kaybedildi</t>
        </is>
      </c>
      <c r="F246" s="3" t="n">
        <v>15192.8</v>
      </c>
      <c r="G246" s="2" t="inlineStr">
        <is>
          <t>USD</t>
        </is>
      </c>
      <c r="H246" s="5" t="n">
        <v>1</v>
      </c>
      <c r="I246" s="2" t="n">
        <v>15</v>
      </c>
      <c r="J246" s="5" t="inlineStr">
        <is>
          <t>CIF</t>
        </is>
      </c>
      <c r="K246" s="6" t="n">
        <v>45674</v>
      </c>
      <c r="L246" s="2" t="inlineStr">
        <is>
          <t>Kaybedildi</t>
        </is>
      </c>
      <c r="M246" s="2" t="inlineStr">
        <is>
          <t>Fiyat Yuksek</t>
        </is>
      </c>
    </row>
    <row r="247">
      <c r="A247" s="2" t="inlineStr">
        <is>
          <t>TKL-0246</t>
        </is>
      </c>
      <c r="B247" s="6" t="n">
        <v>45668</v>
      </c>
      <c r="C247" s="2" t="inlineStr">
        <is>
          <t>MUS-031</t>
        </is>
      </c>
      <c r="D247" s="2" t="inlineStr">
        <is>
          <t>ST-002</t>
        </is>
      </c>
      <c r="E247" s="2" t="inlineStr">
        <is>
          <t>Siparise Donustu</t>
        </is>
      </c>
      <c r="F247" s="3" t="n">
        <v>39339.07</v>
      </c>
      <c r="G247" s="2" t="inlineStr">
        <is>
          <t>EUR</t>
        </is>
      </c>
      <c r="H247" s="5" t="n">
        <v>1.1251</v>
      </c>
      <c r="I247" s="2" t="n">
        <v>20</v>
      </c>
      <c r="J247" s="5" t="inlineStr">
        <is>
          <t>DAP</t>
        </is>
      </c>
      <c r="K247" s="6" t="n">
        <v>45678</v>
      </c>
      <c r="L247" s="2" t="inlineStr">
        <is>
          <t>Kazanildi</t>
        </is>
      </c>
      <c r="M247" s="2" t="inlineStr"/>
    </row>
    <row r="248">
      <c r="A248" s="2" t="inlineStr">
        <is>
          <t>TKL-0247</t>
        </is>
      </c>
      <c r="B248" s="6" t="n">
        <v>45679</v>
      </c>
      <c r="C248" s="2" t="inlineStr">
        <is>
          <t>MUS-006</t>
        </is>
      </c>
      <c r="D248" s="2" t="inlineStr">
        <is>
          <t>ST-007</t>
        </is>
      </c>
      <c r="E248" s="2" t="inlineStr">
        <is>
          <t>Siparise Donustu</t>
        </is>
      </c>
      <c r="F248" s="3" t="n">
        <v>24587.47</v>
      </c>
      <c r="G248" s="2" t="inlineStr">
        <is>
          <t>USD</t>
        </is>
      </c>
      <c r="H248" s="5" t="n">
        <v>1</v>
      </c>
      <c r="I248" s="2" t="n">
        <v>30</v>
      </c>
      <c r="J248" s="5" t="inlineStr">
        <is>
          <t>FCA</t>
        </is>
      </c>
      <c r="K248" s="6" t="n">
        <v>45701</v>
      </c>
      <c r="L248" s="2" t="inlineStr">
        <is>
          <t>Kazanildi</t>
        </is>
      </c>
      <c r="M248" s="2" t="inlineStr"/>
    </row>
    <row r="249">
      <c r="A249" s="2" t="inlineStr">
        <is>
          <t>TKL-0248</t>
        </is>
      </c>
      <c r="B249" s="6" t="n">
        <v>45674</v>
      </c>
      <c r="C249" s="2" t="inlineStr">
        <is>
          <t>MUS-040</t>
        </is>
      </c>
      <c r="D249" s="2" t="inlineStr">
        <is>
          <t>ST-004</t>
        </is>
      </c>
      <c r="E249" s="2" t="inlineStr">
        <is>
          <t>Beklemede</t>
        </is>
      </c>
      <c r="F249" s="3" t="n">
        <v>47111.34</v>
      </c>
      <c r="G249" s="2" t="inlineStr">
        <is>
          <t>USD</t>
        </is>
      </c>
      <c r="H249" s="5" t="n">
        <v>1</v>
      </c>
      <c r="I249" s="2" t="n">
        <v>30</v>
      </c>
      <c r="J249" s="5" t="inlineStr">
        <is>
          <t>CIF</t>
        </is>
      </c>
      <c r="K249" s="6" t="n">
        <v>45690</v>
      </c>
      <c r="L249" s="2" t="inlineStr">
        <is>
          <t>Acik</t>
        </is>
      </c>
      <c r="M249" s="2" t="inlineStr"/>
    </row>
    <row r="250">
      <c r="A250" s="2" t="inlineStr">
        <is>
          <t>TKL-0249</t>
        </is>
      </c>
      <c r="B250" s="6" t="n">
        <v>45666</v>
      </c>
      <c r="C250" s="2" t="inlineStr">
        <is>
          <t>MUS-040</t>
        </is>
      </c>
      <c r="D250" s="2" t="inlineStr">
        <is>
          <t>ST-003</t>
        </is>
      </c>
      <c r="E250" s="2" t="inlineStr">
        <is>
          <t>Kaybedildi</t>
        </is>
      </c>
      <c r="F250" s="3" t="n">
        <v>7802.35</v>
      </c>
      <c r="G250" s="2" t="inlineStr">
        <is>
          <t>USD</t>
        </is>
      </c>
      <c r="H250" s="5" t="n">
        <v>1</v>
      </c>
      <c r="I250" s="2" t="n">
        <v>30</v>
      </c>
      <c r="J250" s="5" t="inlineStr">
        <is>
          <t>CIF</t>
        </is>
      </c>
      <c r="K250" s="6" t="n">
        <v>45680</v>
      </c>
      <c r="L250" s="2" t="inlineStr">
        <is>
          <t>Kaybedildi</t>
        </is>
      </c>
      <c r="M250" s="2" t="inlineStr">
        <is>
          <t>Termin Uzun</t>
        </is>
      </c>
    </row>
    <row r="251">
      <c r="A251" s="2" t="inlineStr">
        <is>
          <t>TKL-0250</t>
        </is>
      </c>
      <c r="B251" s="6" t="n">
        <v>45716</v>
      </c>
      <c r="C251" s="2" t="inlineStr">
        <is>
          <t>MUS-012</t>
        </is>
      </c>
      <c r="D251" s="2" t="inlineStr">
        <is>
          <t>ST-002</t>
        </is>
      </c>
      <c r="E251" s="2" t="inlineStr">
        <is>
          <t>Kaybedildi</t>
        </is>
      </c>
      <c r="F251" s="3" t="n">
        <v>47655.06</v>
      </c>
      <c r="G251" s="2" t="inlineStr">
        <is>
          <t>EUR</t>
        </is>
      </c>
      <c r="H251" s="5" t="n">
        <v>1.1185</v>
      </c>
      <c r="I251" s="2" t="n">
        <v>30</v>
      </c>
      <c r="J251" s="5" t="inlineStr">
        <is>
          <t>DAP</t>
        </is>
      </c>
      <c r="K251" s="6" t="n">
        <v>45743</v>
      </c>
      <c r="L251" s="2" t="inlineStr">
        <is>
          <t>Kaybedildi</t>
        </is>
      </c>
      <c r="M251" s="2" t="inlineStr">
        <is>
          <t>Fiyat Yuksek</t>
        </is>
      </c>
    </row>
    <row r="252">
      <c r="A252" s="2" t="inlineStr">
        <is>
          <t>TKL-0251</t>
        </is>
      </c>
      <c r="B252" s="6" t="n">
        <v>45705</v>
      </c>
      <c r="C252" s="2" t="inlineStr">
        <is>
          <t>MUS-025</t>
        </is>
      </c>
      <c r="D252" s="2" t="inlineStr">
        <is>
          <t>ST-001</t>
        </is>
      </c>
      <c r="E252" s="2" t="inlineStr">
        <is>
          <t>Siparise Donustu</t>
        </is>
      </c>
      <c r="F252" s="3" t="n">
        <v>73785.28999999999</v>
      </c>
      <c r="G252" s="2" t="inlineStr">
        <is>
          <t>EUR</t>
        </is>
      </c>
      <c r="H252" s="5" t="n">
        <v>1.1185</v>
      </c>
      <c r="I252" s="2" t="n">
        <v>20</v>
      </c>
      <c r="J252" s="5" t="inlineStr">
        <is>
          <t>DAP</t>
        </is>
      </c>
      <c r="K252" s="6" t="n">
        <v>45715</v>
      </c>
      <c r="L252" s="2" t="inlineStr">
        <is>
          <t>Kazanildi</t>
        </is>
      </c>
      <c r="M252" s="2" t="inlineStr"/>
    </row>
    <row r="253">
      <c r="A253" s="2" t="inlineStr">
        <is>
          <t>TKL-0252</t>
        </is>
      </c>
      <c r="B253" s="6" t="n">
        <v>45709</v>
      </c>
      <c r="C253" s="2" t="inlineStr">
        <is>
          <t>MUS-061</t>
        </is>
      </c>
      <c r="D253" s="2" t="inlineStr">
        <is>
          <t>ST-008</t>
        </is>
      </c>
      <c r="E253" s="2" t="inlineStr">
        <is>
          <t>Beklemede</t>
        </is>
      </c>
      <c r="F253" s="3" t="n">
        <v>31858.76</v>
      </c>
      <c r="G253" s="2" t="inlineStr">
        <is>
          <t>USD</t>
        </is>
      </c>
      <c r="H253" s="5" t="n">
        <v>1</v>
      </c>
      <c r="I253" s="2" t="n">
        <v>45</v>
      </c>
      <c r="J253" s="5" t="inlineStr">
        <is>
          <t>FCA</t>
        </is>
      </c>
      <c r="K253" s="6" t="n">
        <v>45715</v>
      </c>
      <c r="L253" s="2" t="inlineStr">
        <is>
          <t>Acik</t>
        </is>
      </c>
      <c r="M253" s="2" t="inlineStr"/>
    </row>
    <row r="254">
      <c r="A254" s="2" t="inlineStr">
        <is>
          <t>TKL-0253</t>
        </is>
      </c>
      <c r="B254" s="6" t="n">
        <v>45708</v>
      </c>
      <c r="C254" s="2" t="inlineStr">
        <is>
          <t>MUS-044</t>
        </is>
      </c>
      <c r="D254" s="2" t="inlineStr">
        <is>
          <t>ST-002</t>
        </is>
      </c>
      <c r="E254" s="2" t="inlineStr">
        <is>
          <t>Kaybedildi</t>
        </is>
      </c>
      <c r="F254" s="3" t="n">
        <v>43235.14</v>
      </c>
      <c r="G254" s="2" t="inlineStr">
        <is>
          <t>EUR</t>
        </is>
      </c>
      <c r="H254" s="5" t="n">
        <v>1.1185</v>
      </c>
      <c r="I254" s="2" t="n">
        <v>30</v>
      </c>
      <c r="J254" s="5" t="inlineStr">
        <is>
          <t>DAP</t>
        </is>
      </c>
      <c r="K254" s="6" t="n">
        <v>45722</v>
      </c>
      <c r="L254" s="2" t="inlineStr">
        <is>
          <t>Kaybedildi</t>
        </is>
      </c>
      <c r="M254" s="2" t="inlineStr">
        <is>
          <t>Butce Ertelendi</t>
        </is>
      </c>
    </row>
    <row r="255">
      <c r="A255" s="2" t="inlineStr">
        <is>
          <t>TKL-0254</t>
        </is>
      </c>
      <c r="B255" s="6" t="n">
        <v>45714</v>
      </c>
      <c r="C255" s="2" t="inlineStr">
        <is>
          <t>MUS-006</t>
        </is>
      </c>
      <c r="D255" s="2" t="inlineStr">
        <is>
          <t>ST-007</t>
        </is>
      </c>
      <c r="E255" s="2" t="inlineStr">
        <is>
          <t>Kaybedildi</t>
        </is>
      </c>
      <c r="F255" s="3" t="n">
        <v>73634.38</v>
      </c>
      <c r="G255" s="2" t="inlineStr">
        <is>
          <t>USD</t>
        </is>
      </c>
      <c r="H255" s="5" t="n">
        <v>1</v>
      </c>
      <c r="I255" s="2" t="n">
        <v>20</v>
      </c>
      <c r="J255" s="5" t="inlineStr">
        <is>
          <t>FCA</t>
        </is>
      </c>
      <c r="K255" s="6" t="n">
        <v>45719</v>
      </c>
      <c r="L255" s="2" t="inlineStr">
        <is>
          <t>Kaybedildi</t>
        </is>
      </c>
      <c r="M255" s="2" t="inlineStr">
        <is>
          <t>Termin Uzun</t>
        </is>
      </c>
    </row>
    <row r="256">
      <c r="A256" s="2" t="inlineStr">
        <is>
          <t>TKL-0255</t>
        </is>
      </c>
      <c r="B256" s="6" t="n">
        <v>45701</v>
      </c>
      <c r="C256" s="2" t="inlineStr">
        <is>
          <t>MUS-032</t>
        </is>
      </c>
      <c r="D256" s="2" t="inlineStr">
        <is>
          <t>ST-003</t>
        </is>
      </c>
      <c r="E256" s="2" t="inlineStr">
        <is>
          <t>Kaybedildi</t>
        </is>
      </c>
      <c r="F256" s="3" t="n">
        <v>43160.91</v>
      </c>
      <c r="G256" s="2" t="inlineStr">
        <is>
          <t>USD</t>
        </is>
      </c>
      <c r="H256" s="5" t="n">
        <v>1</v>
      </c>
      <c r="I256" s="2" t="n">
        <v>15</v>
      </c>
      <c r="J256" s="5" t="inlineStr">
        <is>
          <t>CIF</t>
        </is>
      </c>
      <c r="K256" s="6" t="n">
        <v>45715</v>
      </c>
      <c r="L256" s="2" t="inlineStr">
        <is>
          <t>Kaybedildi</t>
        </is>
      </c>
      <c r="M256" s="2" t="inlineStr">
        <is>
          <t>Fiyat Yuksek</t>
        </is>
      </c>
    </row>
    <row r="257">
      <c r="A257" s="2" t="inlineStr">
        <is>
          <t>TKL-0256</t>
        </is>
      </c>
      <c r="B257" s="6" t="n">
        <v>45707</v>
      </c>
      <c r="C257" s="2" t="inlineStr">
        <is>
          <t>MUS-016</t>
        </is>
      </c>
      <c r="D257" s="2" t="inlineStr">
        <is>
          <t>ST-001</t>
        </is>
      </c>
      <c r="E257" s="2" t="inlineStr">
        <is>
          <t>Kaybedildi</t>
        </is>
      </c>
      <c r="F257" s="3" t="n">
        <v>7066.46</v>
      </c>
      <c r="G257" s="2" t="inlineStr">
        <is>
          <t>EUR</t>
        </is>
      </c>
      <c r="H257" s="5" t="n">
        <v>1.1185</v>
      </c>
      <c r="I257" s="2" t="n">
        <v>45</v>
      </c>
      <c r="J257" s="5" t="inlineStr">
        <is>
          <t>DAP</t>
        </is>
      </c>
      <c r="K257" s="6" t="n">
        <v>45731</v>
      </c>
      <c r="L257" s="2" t="inlineStr">
        <is>
          <t>Kaybedildi</t>
        </is>
      </c>
      <c r="M257" s="2" t="inlineStr">
        <is>
          <t>Fiyat Yuksek</t>
        </is>
      </c>
    </row>
    <row r="258">
      <c r="A258" s="2" t="inlineStr">
        <is>
          <t>TKL-0257</t>
        </is>
      </c>
      <c r="B258" s="6" t="n">
        <v>45716</v>
      </c>
      <c r="C258" s="2" t="inlineStr">
        <is>
          <t>MUS-015</t>
        </is>
      </c>
      <c r="D258" s="2" t="inlineStr">
        <is>
          <t>ST-002</t>
        </is>
      </c>
      <c r="E258" s="2" t="inlineStr">
        <is>
          <t>Kaybedildi</t>
        </is>
      </c>
      <c r="F258" s="3" t="n">
        <v>30090.76</v>
      </c>
      <c r="G258" s="2" t="inlineStr">
        <is>
          <t>EUR</t>
        </is>
      </c>
      <c r="H258" s="5" t="n">
        <v>1.1185</v>
      </c>
      <c r="I258" s="2" t="n">
        <v>15</v>
      </c>
      <c r="J258" s="5" t="inlineStr">
        <is>
          <t>DAP</t>
        </is>
      </c>
      <c r="K258" s="6" t="n">
        <v>45721</v>
      </c>
      <c r="L258" s="2" t="inlineStr">
        <is>
          <t>Kaybedildi</t>
        </is>
      </c>
      <c r="M258" s="2" t="inlineStr">
        <is>
          <t>Butce Ertelendi</t>
        </is>
      </c>
    </row>
    <row r="259">
      <c r="A259" s="2" t="inlineStr">
        <is>
          <t>TKL-0258</t>
        </is>
      </c>
      <c r="B259" s="6" t="n">
        <v>45696</v>
      </c>
      <c r="C259" s="2" t="inlineStr">
        <is>
          <t>MUS-053</t>
        </is>
      </c>
      <c r="D259" s="2" t="inlineStr">
        <is>
          <t>ST-002</t>
        </is>
      </c>
      <c r="E259" s="2" t="inlineStr">
        <is>
          <t>Kaybedildi</t>
        </is>
      </c>
      <c r="F259" s="3" t="n">
        <v>17767.47</v>
      </c>
      <c r="G259" s="2" t="inlineStr">
        <is>
          <t>EUR</t>
        </is>
      </c>
      <c r="H259" s="5" t="n">
        <v>1.1185</v>
      </c>
      <c r="I259" s="2" t="n">
        <v>15</v>
      </c>
      <c r="J259" s="5" t="inlineStr">
        <is>
          <t>DAP</t>
        </is>
      </c>
      <c r="K259" s="6" t="n">
        <v>45707</v>
      </c>
      <c r="L259" s="2" t="inlineStr">
        <is>
          <t>Kaybedildi</t>
        </is>
      </c>
      <c r="M259" s="2" t="inlineStr">
        <is>
          <t>Fiyat Yuksek</t>
        </is>
      </c>
    </row>
    <row r="260">
      <c r="A260" s="2" t="inlineStr">
        <is>
          <t>TKL-0259</t>
        </is>
      </c>
      <c r="B260" s="6" t="n">
        <v>45714</v>
      </c>
      <c r="C260" s="2" t="inlineStr">
        <is>
          <t>MUS-039</t>
        </is>
      </c>
      <c r="D260" s="2" t="inlineStr">
        <is>
          <t>ST-003</t>
        </is>
      </c>
      <c r="E260" s="2" t="inlineStr">
        <is>
          <t>Kaybedildi</t>
        </is>
      </c>
      <c r="F260" s="3" t="n">
        <v>34770.56</v>
      </c>
      <c r="G260" s="2" t="inlineStr">
        <is>
          <t>USD</t>
        </is>
      </c>
      <c r="H260" s="5" t="n">
        <v>1</v>
      </c>
      <c r="I260" s="2" t="n">
        <v>20</v>
      </c>
      <c r="J260" s="5" t="inlineStr">
        <is>
          <t>CIF</t>
        </is>
      </c>
      <c r="K260" s="6" t="n">
        <v>45731</v>
      </c>
      <c r="L260" s="2" t="inlineStr">
        <is>
          <t>Kaybedildi</t>
        </is>
      </c>
      <c r="M260" s="2" t="inlineStr">
        <is>
          <t>Butce Ertelendi</t>
        </is>
      </c>
    </row>
    <row r="261">
      <c r="A261" s="2" t="inlineStr">
        <is>
          <t>TKL-0260</t>
        </is>
      </c>
      <c r="B261" s="6" t="n">
        <v>45692</v>
      </c>
      <c r="C261" s="2" t="inlineStr">
        <is>
          <t>MUS-019</t>
        </is>
      </c>
      <c r="D261" s="2" t="inlineStr">
        <is>
          <t>ST-004</t>
        </is>
      </c>
      <c r="E261" s="2" t="inlineStr">
        <is>
          <t>Beklemede</t>
        </is>
      </c>
      <c r="F261" s="3" t="n">
        <v>46355.94</v>
      </c>
      <c r="G261" s="2" t="inlineStr">
        <is>
          <t>USD</t>
        </is>
      </c>
      <c r="H261" s="5" t="n">
        <v>1</v>
      </c>
      <c r="I261" s="2" t="n">
        <v>15</v>
      </c>
      <c r="J261" s="5" t="inlineStr">
        <is>
          <t>CIF</t>
        </is>
      </c>
      <c r="K261" s="6" t="n">
        <v>45699</v>
      </c>
      <c r="L261" s="2" t="inlineStr">
        <is>
          <t>Acik</t>
        </is>
      </c>
      <c r="M261" s="2" t="inlineStr"/>
    </row>
    <row r="262">
      <c r="A262" s="2" t="inlineStr">
        <is>
          <t>TKL-0261</t>
        </is>
      </c>
      <c r="B262" s="6" t="n">
        <v>45713</v>
      </c>
      <c r="C262" s="2" t="inlineStr">
        <is>
          <t>MUS-011</t>
        </is>
      </c>
      <c r="D262" s="2" t="inlineStr">
        <is>
          <t>ST-004</t>
        </is>
      </c>
      <c r="E262" s="2" t="inlineStr">
        <is>
          <t>Kaybedildi</t>
        </is>
      </c>
      <c r="F262" s="3" t="n">
        <v>41750.64</v>
      </c>
      <c r="G262" s="2" t="inlineStr">
        <is>
          <t>USD</t>
        </is>
      </c>
      <c r="H262" s="5" t="n">
        <v>1</v>
      </c>
      <c r="I262" s="2" t="n">
        <v>15</v>
      </c>
      <c r="J262" s="5" t="inlineStr">
        <is>
          <t>CIF</t>
        </is>
      </c>
      <c r="K262" s="6" t="n">
        <v>45726</v>
      </c>
      <c r="L262" s="2" t="inlineStr">
        <is>
          <t>Kaybedildi</t>
        </is>
      </c>
      <c r="M262" s="2" t="inlineStr">
        <is>
          <t>Fiyat Yuksek</t>
        </is>
      </c>
    </row>
    <row r="263">
      <c r="A263" s="2" t="inlineStr">
        <is>
          <t>TKL-0262</t>
        </is>
      </c>
      <c r="B263" s="6" t="n">
        <v>45713</v>
      </c>
      <c r="C263" s="2" t="inlineStr">
        <is>
          <t>MUS-053</t>
        </is>
      </c>
      <c r="D263" s="2" t="inlineStr">
        <is>
          <t>ST-001</t>
        </is>
      </c>
      <c r="E263" s="2" t="inlineStr">
        <is>
          <t>Siparise Donustu</t>
        </is>
      </c>
      <c r="F263" s="3" t="n">
        <v>49333.39</v>
      </c>
      <c r="G263" s="2" t="inlineStr">
        <is>
          <t>EUR</t>
        </is>
      </c>
      <c r="H263" s="5" t="n">
        <v>1.1185</v>
      </c>
      <c r="I263" s="2" t="n">
        <v>20</v>
      </c>
      <c r="J263" s="5" t="inlineStr">
        <is>
          <t>DAP</t>
        </is>
      </c>
      <c r="K263" s="6" t="n">
        <v>45721</v>
      </c>
      <c r="L263" s="2" t="inlineStr">
        <is>
          <t>Kazanildi</t>
        </is>
      </c>
      <c r="M263" s="2" t="inlineStr"/>
    </row>
    <row r="264">
      <c r="A264" s="2" t="inlineStr">
        <is>
          <t>TKL-0263</t>
        </is>
      </c>
      <c r="B264" s="6" t="n">
        <v>45703</v>
      </c>
      <c r="C264" s="2" t="inlineStr">
        <is>
          <t>MUS-056</t>
        </is>
      </c>
      <c r="D264" s="2" t="inlineStr">
        <is>
          <t>ST-001</t>
        </is>
      </c>
      <c r="E264" s="2" t="inlineStr">
        <is>
          <t>Siparise Donustu</t>
        </is>
      </c>
      <c r="F264" s="3" t="n">
        <v>2676.54</v>
      </c>
      <c r="G264" s="2" t="inlineStr">
        <is>
          <t>EUR</t>
        </is>
      </c>
      <c r="H264" s="5" t="n">
        <v>1.1185</v>
      </c>
      <c r="I264" s="2" t="n">
        <v>30</v>
      </c>
      <c r="J264" s="5" t="inlineStr">
        <is>
          <t>DAP</t>
        </is>
      </c>
      <c r="K264" s="6" t="n">
        <v>45732</v>
      </c>
      <c r="L264" s="2" t="inlineStr">
        <is>
          <t>Kazanildi</t>
        </is>
      </c>
      <c r="M264" s="2" t="inlineStr"/>
    </row>
    <row r="265">
      <c r="A265" s="2" t="inlineStr">
        <is>
          <t>TKL-0264</t>
        </is>
      </c>
      <c r="B265" s="6" t="n">
        <v>45734</v>
      </c>
      <c r="C265" s="2" t="inlineStr">
        <is>
          <t>MUS-040</t>
        </is>
      </c>
      <c r="D265" s="2" t="inlineStr">
        <is>
          <t>ST-004</t>
        </is>
      </c>
      <c r="E265" s="2" t="inlineStr">
        <is>
          <t>Kaybedildi</t>
        </is>
      </c>
      <c r="F265" s="3" t="n">
        <v>30236.38</v>
      </c>
      <c r="G265" s="2" t="inlineStr">
        <is>
          <t>USD</t>
        </is>
      </c>
      <c r="H265" s="5" t="n">
        <v>1</v>
      </c>
      <c r="I265" s="2" t="n">
        <v>20</v>
      </c>
      <c r="J265" s="5" t="inlineStr">
        <is>
          <t>CIF</t>
        </is>
      </c>
      <c r="K265" s="6" t="n">
        <v>45753</v>
      </c>
      <c r="L265" s="2" t="inlineStr">
        <is>
          <t>Kaybedildi</t>
        </is>
      </c>
      <c r="M265" s="2" t="inlineStr">
        <is>
          <t>Rakipte Teknik Onay</t>
        </is>
      </c>
    </row>
    <row r="266">
      <c r="A266" s="2" t="inlineStr">
        <is>
          <t>TKL-0265</t>
        </is>
      </c>
      <c r="B266" s="6" t="n">
        <v>45733</v>
      </c>
      <c r="C266" s="2" t="inlineStr">
        <is>
          <t>MUS-007</t>
        </is>
      </c>
      <c r="D266" s="2" t="inlineStr">
        <is>
          <t>ST-004</t>
        </is>
      </c>
      <c r="E266" s="2" t="inlineStr">
        <is>
          <t>Kaybedildi</t>
        </is>
      </c>
      <c r="F266" s="3" t="n">
        <v>51030.87</v>
      </c>
      <c r="G266" s="2" t="inlineStr">
        <is>
          <t>USD</t>
        </is>
      </c>
      <c r="H266" s="5" t="n">
        <v>1</v>
      </c>
      <c r="I266" s="2" t="n">
        <v>20</v>
      </c>
      <c r="J266" s="5" t="inlineStr">
        <is>
          <t>CIF</t>
        </is>
      </c>
      <c r="K266" s="6" t="n">
        <v>45747</v>
      </c>
      <c r="L266" s="2" t="inlineStr">
        <is>
          <t>Kaybedildi</t>
        </is>
      </c>
      <c r="M266" s="2" t="inlineStr">
        <is>
          <t>Termin Uzun</t>
        </is>
      </c>
    </row>
    <row r="267">
      <c r="A267" s="2" t="inlineStr">
        <is>
          <t>TKL-0266</t>
        </is>
      </c>
      <c r="B267" s="6" t="n">
        <v>45730</v>
      </c>
      <c r="C267" s="2" t="inlineStr">
        <is>
          <t>MUS-070</t>
        </is>
      </c>
      <c r="D267" s="2" t="inlineStr">
        <is>
          <t>ST-001</t>
        </is>
      </c>
      <c r="E267" s="2" t="inlineStr">
        <is>
          <t>Siparise Donustu</t>
        </is>
      </c>
      <c r="F267" s="3" t="n">
        <v>21859.51</v>
      </c>
      <c r="G267" s="2" t="inlineStr">
        <is>
          <t>EUR</t>
        </is>
      </c>
      <c r="H267" s="5" t="n">
        <v>1.143</v>
      </c>
      <c r="I267" s="2" t="n">
        <v>30</v>
      </c>
      <c r="J267" s="5" t="inlineStr">
        <is>
          <t>DAP</t>
        </is>
      </c>
      <c r="K267" s="6" t="n">
        <v>45746</v>
      </c>
      <c r="L267" s="2" t="inlineStr">
        <is>
          <t>Kazanildi</t>
        </is>
      </c>
      <c r="M267" s="2" t="inlineStr"/>
    </row>
    <row r="268">
      <c r="A268" s="2" t="inlineStr">
        <is>
          <t>TKL-0267</t>
        </is>
      </c>
      <c r="B268" s="6" t="n">
        <v>45726</v>
      </c>
      <c r="C268" s="2" t="inlineStr">
        <is>
          <t>MUS-074</t>
        </is>
      </c>
      <c r="D268" s="2" t="inlineStr">
        <is>
          <t>ST-007</t>
        </is>
      </c>
      <c r="E268" s="2" t="inlineStr">
        <is>
          <t>Kaybedildi</t>
        </is>
      </c>
      <c r="F268" s="3" t="n">
        <v>31649.09</v>
      </c>
      <c r="G268" s="2" t="inlineStr">
        <is>
          <t>USD</t>
        </is>
      </c>
      <c r="H268" s="5" t="n">
        <v>1</v>
      </c>
      <c r="I268" s="2" t="n">
        <v>45</v>
      </c>
      <c r="J268" s="5" t="inlineStr">
        <is>
          <t>FCA</t>
        </is>
      </c>
      <c r="K268" s="6" t="n">
        <v>45767</v>
      </c>
      <c r="L268" s="2" t="inlineStr">
        <is>
          <t>Kaybedildi</t>
        </is>
      </c>
      <c r="M268" s="2" t="inlineStr">
        <is>
          <t>Fiyat Yuksek</t>
        </is>
      </c>
    </row>
    <row r="269">
      <c r="A269" s="2" t="inlineStr">
        <is>
          <t>TKL-0268</t>
        </is>
      </c>
      <c r="B269" s="6" t="n">
        <v>45721</v>
      </c>
      <c r="C269" s="2" t="inlineStr">
        <is>
          <t>MUS-053</t>
        </is>
      </c>
      <c r="D269" s="2" t="inlineStr">
        <is>
          <t>ST-002</t>
        </is>
      </c>
      <c r="E269" s="2" t="inlineStr">
        <is>
          <t>Beklemede</t>
        </is>
      </c>
      <c r="F269" s="3" t="n">
        <v>56046.91</v>
      </c>
      <c r="G269" s="2" t="inlineStr">
        <is>
          <t>EUR</t>
        </is>
      </c>
      <c r="H269" s="5" t="n">
        <v>1.143</v>
      </c>
      <c r="I269" s="2" t="n">
        <v>30</v>
      </c>
      <c r="J269" s="5" t="inlineStr">
        <is>
          <t>DAP</t>
        </is>
      </c>
      <c r="K269" s="6" t="n">
        <v>45740</v>
      </c>
      <c r="L269" s="2" t="inlineStr">
        <is>
          <t>Acik</t>
        </is>
      </c>
      <c r="M269" s="2" t="inlineStr"/>
    </row>
    <row r="270">
      <c r="A270" s="2" t="inlineStr">
        <is>
          <t>TKL-0269</t>
        </is>
      </c>
      <c r="B270" s="6" t="n">
        <v>45722</v>
      </c>
      <c r="C270" s="2" t="inlineStr">
        <is>
          <t>MUS-066</t>
        </is>
      </c>
      <c r="D270" s="2" t="inlineStr">
        <is>
          <t>ST-008</t>
        </is>
      </c>
      <c r="E270" s="2" t="inlineStr">
        <is>
          <t>Siparise Donustu</t>
        </is>
      </c>
      <c r="F270" s="3" t="n">
        <v>2233.2</v>
      </c>
      <c r="G270" s="2" t="inlineStr">
        <is>
          <t>USD</t>
        </is>
      </c>
      <c r="H270" s="5" t="n">
        <v>1</v>
      </c>
      <c r="I270" s="2" t="n">
        <v>30</v>
      </c>
      <c r="J270" s="5" t="inlineStr">
        <is>
          <t>FCA</t>
        </is>
      </c>
      <c r="K270" s="6" t="n">
        <v>45737</v>
      </c>
      <c r="L270" s="2" t="inlineStr">
        <is>
          <t>Kazanildi</t>
        </is>
      </c>
      <c r="M270" s="2" t="inlineStr"/>
    </row>
    <row r="271">
      <c r="A271" s="2" t="inlineStr">
        <is>
          <t>TKL-0270</t>
        </is>
      </c>
      <c r="B271" s="6" t="n">
        <v>45745</v>
      </c>
      <c r="C271" s="2" t="inlineStr">
        <is>
          <t>MUS-017</t>
        </is>
      </c>
      <c r="D271" s="2" t="inlineStr">
        <is>
          <t>ST-002</t>
        </is>
      </c>
      <c r="E271" s="2" t="inlineStr">
        <is>
          <t>Kaybedildi</t>
        </is>
      </c>
      <c r="F271" s="3" t="n">
        <v>50907.16</v>
      </c>
      <c r="G271" s="2" t="inlineStr">
        <is>
          <t>EUR</t>
        </is>
      </c>
      <c r="H271" s="5" t="n">
        <v>1.143</v>
      </c>
      <c r="I271" s="2" t="n">
        <v>45</v>
      </c>
      <c r="J271" s="5" t="inlineStr">
        <is>
          <t>DAP</t>
        </is>
      </c>
      <c r="K271" s="6" t="n">
        <v>45768</v>
      </c>
      <c r="L271" s="2" t="inlineStr">
        <is>
          <t>Kaybedildi</t>
        </is>
      </c>
      <c r="M271" s="2" t="inlineStr">
        <is>
          <t>Termin Uzun</t>
        </is>
      </c>
    </row>
    <row r="272">
      <c r="A272" s="2" t="inlineStr">
        <is>
          <t>TKL-0271</t>
        </is>
      </c>
      <c r="B272" s="6" t="n">
        <v>45746</v>
      </c>
      <c r="C272" s="2" t="inlineStr">
        <is>
          <t>MUS-042</t>
        </is>
      </c>
      <c r="D272" s="2" t="inlineStr">
        <is>
          <t>ST-005</t>
        </is>
      </c>
      <c r="E272" s="2" t="inlineStr">
        <is>
          <t>Kaybedildi</t>
        </is>
      </c>
      <c r="F272" s="3" t="n">
        <v>32022.63</v>
      </c>
      <c r="G272" s="2" t="inlineStr">
        <is>
          <t>USD</t>
        </is>
      </c>
      <c r="H272" s="5" t="n">
        <v>1</v>
      </c>
      <c r="I272" s="2" t="n">
        <v>15</v>
      </c>
      <c r="J272" s="5" t="inlineStr">
        <is>
          <t>CFR</t>
        </is>
      </c>
      <c r="K272" s="6" t="n">
        <v>45753</v>
      </c>
      <c r="L272" s="2" t="inlineStr">
        <is>
          <t>Kaybedildi</t>
        </is>
      </c>
      <c r="M272" s="2" t="inlineStr">
        <is>
          <t>Fiyat Yuksek</t>
        </is>
      </c>
    </row>
    <row r="273">
      <c r="A273" s="2" t="inlineStr">
        <is>
          <t>TKL-0272</t>
        </is>
      </c>
      <c r="B273" s="6" t="n">
        <v>45745</v>
      </c>
      <c r="C273" s="2" t="inlineStr">
        <is>
          <t>MUS-082</t>
        </is>
      </c>
      <c r="D273" s="2" t="inlineStr">
        <is>
          <t>ST-001</t>
        </is>
      </c>
      <c r="E273" s="2" t="inlineStr">
        <is>
          <t>Siparise Donustu</t>
        </is>
      </c>
      <c r="F273" s="3" t="n">
        <v>21359.8</v>
      </c>
      <c r="G273" s="2" t="inlineStr">
        <is>
          <t>EUR</t>
        </is>
      </c>
      <c r="H273" s="5" t="n">
        <v>1.143</v>
      </c>
      <c r="I273" s="2" t="n">
        <v>20</v>
      </c>
      <c r="J273" s="5" t="inlineStr">
        <is>
          <t>DAP</t>
        </is>
      </c>
      <c r="K273" s="6" t="n">
        <v>45757</v>
      </c>
      <c r="L273" s="2" t="inlineStr">
        <is>
          <t>Kazanildi</t>
        </is>
      </c>
      <c r="M273" s="2" t="inlineStr"/>
    </row>
    <row r="274">
      <c r="A274" s="2" t="inlineStr">
        <is>
          <t>TKL-0273</t>
        </is>
      </c>
      <c r="B274" s="6" t="n">
        <v>45741</v>
      </c>
      <c r="C274" s="2" t="inlineStr">
        <is>
          <t>MUS-038</t>
        </is>
      </c>
      <c r="D274" s="2" t="inlineStr">
        <is>
          <t>ST-003</t>
        </is>
      </c>
      <c r="E274" s="2" t="inlineStr">
        <is>
          <t>Siparise Donustu</t>
        </is>
      </c>
      <c r="F274" s="3" t="n">
        <v>78880.25999999999</v>
      </c>
      <c r="G274" s="2" t="inlineStr">
        <is>
          <t>USD</t>
        </is>
      </c>
      <c r="H274" s="5" t="n">
        <v>1</v>
      </c>
      <c r="I274" s="2" t="n">
        <v>30</v>
      </c>
      <c r="J274" s="5" t="inlineStr">
        <is>
          <t>CIF</t>
        </is>
      </c>
      <c r="K274" s="6" t="n">
        <v>45746</v>
      </c>
      <c r="L274" s="2" t="inlineStr">
        <is>
          <t>Kazanildi</t>
        </is>
      </c>
      <c r="M274" s="2" t="inlineStr"/>
    </row>
    <row r="275">
      <c r="A275" s="2" t="inlineStr">
        <is>
          <t>TKL-0274</t>
        </is>
      </c>
      <c r="B275" s="6" t="n">
        <v>45734</v>
      </c>
      <c r="C275" s="2" t="inlineStr">
        <is>
          <t>MUS-079</t>
        </is>
      </c>
      <c r="D275" s="2" t="inlineStr">
        <is>
          <t>ST-004</t>
        </is>
      </c>
      <c r="E275" s="2" t="inlineStr">
        <is>
          <t>Siparise Donustu</t>
        </is>
      </c>
      <c r="F275" s="3" t="n">
        <v>41333.76</v>
      </c>
      <c r="G275" s="2" t="inlineStr">
        <is>
          <t>USD</t>
        </is>
      </c>
      <c r="H275" s="5" t="n">
        <v>1</v>
      </c>
      <c r="I275" s="2" t="n">
        <v>45</v>
      </c>
      <c r="J275" s="5" t="inlineStr">
        <is>
          <t>CIF</t>
        </is>
      </c>
      <c r="K275" s="6" t="n">
        <v>45743</v>
      </c>
      <c r="L275" s="2" t="inlineStr">
        <is>
          <t>Kazanildi</t>
        </is>
      </c>
      <c r="M275" s="2" t="inlineStr"/>
    </row>
    <row r="276">
      <c r="A276" s="2" t="inlineStr">
        <is>
          <t>TKL-0275</t>
        </is>
      </c>
      <c r="B276" s="6" t="n">
        <v>45746</v>
      </c>
      <c r="C276" s="2" t="inlineStr">
        <is>
          <t>MUS-022</t>
        </is>
      </c>
      <c r="D276" s="2" t="inlineStr">
        <is>
          <t>ST-001</t>
        </is>
      </c>
      <c r="E276" s="2" t="inlineStr">
        <is>
          <t>Kaybedildi</t>
        </is>
      </c>
      <c r="F276" s="3" t="n">
        <v>29058.08</v>
      </c>
      <c r="G276" s="2" t="inlineStr">
        <is>
          <t>EUR</t>
        </is>
      </c>
      <c r="H276" s="5" t="n">
        <v>1.143</v>
      </c>
      <c r="I276" s="2" t="n">
        <v>45</v>
      </c>
      <c r="J276" s="5" t="inlineStr">
        <is>
          <t>DAP</t>
        </is>
      </c>
      <c r="K276" s="6" t="n">
        <v>45761</v>
      </c>
      <c r="L276" s="2" t="inlineStr">
        <is>
          <t>Kaybedildi</t>
        </is>
      </c>
      <c r="M276" s="2" t="inlineStr">
        <is>
          <t>Fiyat Yuksek</t>
        </is>
      </c>
    </row>
    <row r="277">
      <c r="A277" s="2" t="inlineStr">
        <is>
          <t>TKL-0276</t>
        </is>
      </c>
      <c r="B277" s="6" t="n">
        <v>45747</v>
      </c>
      <c r="C277" s="2" t="inlineStr">
        <is>
          <t>MUS-051</t>
        </is>
      </c>
      <c r="D277" s="2" t="inlineStr">
        <is>
          <t>ST-002</t>
        </is>
      </c>
      <c r="E277" s="2" t="inlineStr">
        <is>
          <t>Siparise Donustu</t>
        </is>
      </c>
      <c r="F277" s="3" t="n">
        <v>19374.11</v>
      </c>
      <c r="G277" s="2" t="inlineStr">
        <is>
          <t>EUR</t>
        </is>
      </c>
      <c r="H277" s="5" t="n">
        <v>1.143</v>
      </c>
      <c r="I277" s="2" t="n">
        <v>30</v>
      </c>
      <c r="J277" s="5" t="inlineStr">
        <is>
          <t>DAP</t>
        </is>
      </c>
      <c r="K277" s="6" t="n">
        <v>45767</v>
      </c>
      <c r="L277" s="2" t="inlineStr">
        <is>
          <t>Kazanildi</t>
        </is>
      </c>
      <c r="M277" s="2" t="inlineStr"/>
    </row>
    <row r="278">
      <c r="A278" s="2" t="inlineStr">
        <is>
          <t>TKL-0277</t>
        </is>
      </c>
      <c r="B278" s="6" t="n">
        <v>45747</v>
      </c>
      <c r="C278" s="2" t="inlineStr">
        <is>
          <t>MUS-074</t>
        </is>
      </c>
      <c r="D278" s="2" t="inlineStr">
        <is>
          <t>ST-008</t>
        </is>
      </c>
      <c r="E278" s="2" t="inlineStr">
        <is>
          <t>Siparise Donustu</t>
        </is>
      </c>
      <c r="F278" s="3" t="n">
        <v>45079.72</v>
      </c>
      <c r="G278" s="2" t="inlineStr">
        <is>
          <t>USD</t>
        </is>
      </c>
      <c r="H278" s="5" t="n">
        <v>1</v>
      </c>
      <c r="I278" s="2" t="n">
        <v>15</v>
      </c>
      <c r="J278" s="5" t="inlineStr">
        <is>
          <t>FCA</t>
        </is>
      </c>
      <c r="K278" s="6" t="n">
        <v>45756</v>
      </c>
      <c r="L278" s="2" t="inlineStr">
        <is>
          <t>Kazanildi</t>
        </is>
      </c>
      <c r="M278" s="2" t="inlineStr"/>
    </row>
    <row r="279">
      <c r="A279" s="2" t="inlineStr">
        <is>
          <t>TKL-0278</t>
        </is>
      </c>
      <c r="B279" s="6" t="n">
        <v>45717</v>
      </c>
      <c r="C279" s="2" t="inlineStr">
        <is>
          <t>MUS-073</t>
        </is>
      </c>
      <c r="D279" s="2" t="inlineStr">
        <is>
          <t>ST-004</t>
        </is>
      </c>
      <c r="E279" s="2" t="inlineStr">
        <is>
          <t>Siparise Donustu</t>
        </is>
      </c>
      <c r="F279" s="3" t="n">
        <v>22851.06</v>
      </c>
      <c r="G279" s="2" t="inlineStr">
        <is>
          <t>USD</t>
        </is>
      </c>
      <c r="H279" s="5" t="n">
        <v>1</v>
      </c>
      <c r="I279" s="2" t="n">
        <v>30</v>
      </c>
      <c r="J279" s="5" t="inlineStr">
        <is>
          <t>CIF</t>
        </is>
      </c>
      <c r="K279" s="6" t="n">
        <v>45723</v>
      </c>
      <c r="L279" s="2" t="inlineStr">
        <is>
          <t>Kazanildi</t>
        </is>
      </c>
      <c r="M279" s="2" t="inlineStr"/>
    </row>
    <row r="280">
      <c r="A280" s="2" t="inlineStr">
        <is>
          <t>TKL-0279</t>
        </is>
      </c>
      <c r="B280" s="6" t="n">
        <v>45731</v>
      </c>
      <c r="C280" s="2" t="inlineStr">
        <is>
          <t>MUS-019</t>
        </is>
      </c>
      <c r="D280" s="2" t="inlineStr">
        <is>
          <t>ST-004</t>
        </is>
      </c>
      <c r="E280" s="2" t="inlineStr">
        <is>
          <t>Siparise Donustu</t>
        </is>
      </c>
      <c r="F280" s="3" t="n">
        <v>12834.94</v>
      </c>
      <c r="G280" s="2" t="inlineStr">
        <is>
          <t>USD</t>
        </is>
      </c>
      <c r="H280" s="5" t="n">
        <v>1</v>
      </c>
      <c r="I280" s="2" t="n">
        <v>20</v>
      </c>
      <c r="J280" s="5" t="inlineStr">
        <is>
          <t>CIF</t>
        </is>
      </c>
      <c r="K280" s="6" t="n">
        <v>45747</v>
      </c>
      <c r="L280" s="2" t="inlineStr">
        <is>
          <t>Kazanildi</t>
        </is>
      </c>
      <c r="M280" s="2" t="inlineStr"/>
    </row>
    <row r="281">
      <c r="A281" s="2" t="inlineStr">
        <is>
          <t>TKL-0280</t>
        </is>
      </c>
      <c r="B281" s="6" t="n">
        <v>45719</v>
      </c>
      <c r="C281" s="2" t="inlineStr">
        <is>
          <t>MUS-070</t>
        </is>
      </c>
      <c r="D281" s="2" t="inlineStr">
        <is>
          <t>ST-001</t>
        </is>
      </c>
      <c r="E281" s="2" t="inlineStr">
        <is>
          <t>Siparise Donustu</t>
        </is>
      </c>
      <c r="F281" s="3" t="n">
        <v>7877.74</v>
      </c>
      <c r="G281" s="2" t="inlineStr">
        <is>
          <t>EUR</t>
        </is>
      </c>
      <c r="H281" s="5" t="n">
        <v>1.143</v>
      </c>
      <c r="I281" s="2" t="n">
        <v>45</v>
      </c>
      <c r="J281" s="5" t="inlineStr">
        <is>
          <t>DAP</t>
        </is>
      </c>
      <c r="K281" s="6" t="n">
        <v>45744</v>
      </c>
      <c r="L281" s="2" t="inlineStr">
        <is>
          <t>Kazanildi</t>
        </is>
      </c>
      <c r="M281" s="2" t="inlineStr"/>
    </row>
    <row r="282">
      <c r="A282" s="2" t="inlineStr">
        <is>
          <t>TKL-0281</t>
        </is>
      </c>
      <c r="B282" s="6" t="n">
        <v>45745</v>
      </c>
      <c r="C282" s="2" t="inlineStr">
        <is>
          <t>MUS-005</t>
        </is>
      </c>
      <c r="D282" s="2" t="inlineStr">
        <is>
          <t>ST-002</t>
        </is>
      </c>
      <c r="E282" s="2" t="inlineStr">
        <is>
          <t>Siparise Donustu</t>
        </is>
      </c>
      <c r="F282" s="3" t="n">
        <v>37084.79</v>
      </c>
      <c r="G282" s="2" t="inlineStr">
        <is>
          <t>EUR</t>
        </is>
      </c>
      <c r="H282" s="5" t="n">
        <v>1.143</v>
      </c>
      <c r="I282" s="2" t="n">
        <v>30</v>
      </c>
      <c r="J282" s="5" t="inlineStr">
        <is>
          <t>DAP</t>
        </is>
      </c>
      <c r="K282" s="6" t="n">
        <v>45774</v>
      </c>
      <c r="L282" s="2" t="inlineStr">
        <is>
          <t>Kazanildi</t>
        </is>
      </c>
      <c r="M282" s="2" t="inlineStr"/>
    </row>
    <row r="283">
      <c r="A283" s="2" t="inlineStr">
        <is>
          <t>TKL-0282</t>
        </is>
      </c>
      <c r="B283" s="6" t="n">
        <v>45742</v>
      </c>
      <c r="C283" s="2" t="inlineStr">
        <is>
          <t>MUS-043</t>
        </is>
      </c>
      <c r="D283" s="2" t="inlineStr">
        <is>
          <t>ST-002</t>
        </is>
      </c>
      <c r="E283" s="2" t="inlineStr">
        <is>
          <t>Kaybedildi</t>
        </is>
      </c>
      <c r="F283" s="3" t="n">
        <v>37542.52</v>
      </c>
      <c r="G283" s="2" t="inlineStr">
        <is>
          <t>EUR</t>
        </is>
      </c>
      <c r="H283" s="5" t="n">
        <v>1.143</v>
      </c>
      <c r="I283" s="2" t="n">
        <v>15</v>
      </c>
      <c r="J283" s="5" t="inlineStr">
        <is>
          <t>DAP</t>
        </is>
      </c>
      <c r="K283" s="6" t="n">
        <v>45757</v>
      </c>
      <c r="L283" s="2" t="inlineStr">
        <is>
          <t>Kaybedildi</t>
        </is>
      </c>
      <c r="M283" s="2" t="inlineStr">
        <is>
          <t>Fiyat Yuksek</t>
        </is>
      </c>
    </row>
    <row r="284">
      <c r="A284" s="2" t="inlineStr">
        <is>
          <t>TKL-0283</t>
        </is>
      </c>
      <c r="B284" s="6" t="n">
        <v>45737</v>
      </c>
      <c r="C284" s="2" t="inlineStr">
        <is>
          <t>MUS-084</t>
        </is>
      </c>
      <c r="D284" s="2" t="inlineStr">
        <is>
          <t>ST-002</t>
        </is>
      </c>
      <c r="E284" s="2" t="inlineStr">
        <is>
          <t>Kaybedildi</t>
        </is>
      </c>
      <c r="F284" s="3" t="n">
        <v>48409.77</v>
      </c>
      <c r="G284" s="2" t="inlineStr">
        <is>
          <t>EUR</t>
        </is>
      </c>
      <c r="H284" s="5" t="n">
        <v>1.143</v>
      </c>
      <c r="I284" s="2" t="n">
        <v>15</v>
      </c>
      <c r="J284" s="5" t="inlineStr">
        <is>
          <t>DAP</t>
        </is>
      </c>
      <c r="K284" s="6" t="n">
        <v>45750</v>
      </c>
      <c r="L284" s="2" t="inlineStr">
        <is>
          <t>Kaybedildi</t>
        </is>
      </c>
      <c r="M284" s="2" t="inlineStr">
        <is>
          <t>Fiyat Yuksek</t>
        </is>
      </c>
    </row>
    <row r="285">
      <c r="A285" s="2" t="inlineStr">
        <is>
          <t>TKL-0284</t>
        </is>
      </c>
      <c r="B285" s="6" t="n">
        <v>45729</v>
      </c>
      <c r="C285" s="2" t="inlineStr">
        <is>
          <t>MUS-083</t>
        </is>
      </c>
      <c r="D285" s="2" t="inlineStr">
        <is>
          <t>ST-001</t>
        </is>
      </c>
      <c r="E285" s="2" t="inlineStr">
        <is>
          <t>Kaybedildi</t>
        </is>
      </c>
      <c r="F285" s="3" t="n">
        <v>38050.33</v>
      </c>
      <c r="G285" s="2" t="inlineStr">
        <is>
          <t>EUR</t>
        </is>
      </c>
      <c r="H285" s="5" t="n">
        <v>1.143</v>
      </c>
      <c r="I285" s="2" t="n">
        <v>45</v>
      </c>
      <c r="J285" s="5" t="inlineStr">
        <is>
          <t>DAP</t>
        </is>
      </c>
      <c r="K285" s="6" t="n">
        <v>45750</v>
      </c>
      <c r="L285" s="2" t="inlineStr">
        <is>
          <t>Kaybedildi</t>
        </is>
      </c>
      <c r="M285" s="2" t="inlineStr">
        <is>
          <t>Termin Uzun</t>
        </is>
      </c>
    </row>
    <row r="286">
      <c r="A286" s="2" t="inlineStr">
        <is>
          <t>TKL-0285</t>
        </is>
      </c>
      <c r="B286" s="6" t="n">
        <v>45745</v>
      </c>
      <c r="C286" s="2" t="inlineStr">
        <is>
          <t>MUS-012</t>
        </is>
      </c>
      <c r="D286" s="2" t="inlineStr">
        <is>
          <t>ST-001</t>
        </is>
      </c>
      <c r="E286" s="2" t="inlineStr">
        <is>
          <t>Kaybedildi</t>
        </is>
      </c>
      <c r="F286" s="3" t="n">
        <v>69137.03</v>
      </c>
      <c r="G286" s="2" t="inlineStr">
        <is>
          <t>EUR</t>
        </is>
      </c>
      <c r="H286" s="5" t="n">
        <v>1.143</v>
      </c>
      <c r="I286" s="2" t="n">
        <v>20</v>
      </c>
      <c r="J286" s="5" t="inlineStr">
        <is>
          <t>DAP</t>
        </is>
      </c>
      <c r="K286" s="6" t="n">
        <v>45757</v>
      </c>
      <c r="L286" s="2" t="inlineStr">
        <is>
          <t>Kaybedildi</t>
        </is>
      </c>
      <c r="M286" s="2" t="inlineStr">
        <is>
          <t>Termin Uzun</t>
        </is>
      </c>
    </row>
    <row r="287">
      <c r="A287" s="2" t="inlineStr">
        <is>
          <t>TKL-0286</t>
        </is>
      </c>
      <c r="B287" s="6" t="n">
        <v>45731</v>
      </c>
      <c r="C287" s="2" t="inlineStr">
        <is>
          <t>MUS-027</t>
        </is>
      </c>
      <c r="D287" s="2" t="inlineStr">
        <is>
          <t>ST-003</t>
        </is>
      </c>
      <c r="E287" s="2" t="inlineStr">
        <is>
          <t>Kaybedildi</t>
        </is>
      </c>
      <c r="F287" s="3" t="n">
        <v>41082.89</v>
      </c>
      <c r="G287" s="2" t="inlineStr">
        <is>
          <t>USD</t>
        </is>
      </c>
      <c r="H287" s="5" t="n">
        <v>1</v>
      </c>
      <c r="I287" s="2" t="n">
        <v>20</v>
      </c>
      <c r="J287" s="5" t="inlineStr">
        <is>
          <t>CIF</t>
        </is>
      </c>
      <c r="K287" s="6" t="n">
        <v>45741</v>
      </c>
      <c r="L287" s="2" t="inlineStr">
        <is>
          <t>Kaybedildi</t>
        </is>
      </c>
      <c r="M287" s="2" t="inlineStr">
        <is>
          <t>Butce Ertelendi</t>
        </is>
      </c>
    </row>
    <row r="288">
      <c r="A288" s="2" t="inlineStr">
        <is>
          <t>TKL-0287</t>
        </is>
      </c>
      <c r="B288" s="6" t="n">
        <v>45725</v>
      </c>
      <c r="C288" s="2" t="inlineStr">
        <is>
          <t>MUS-043</t>
        </is>
      </c>
      <c r="D288" s="2" t="inlineStr">
        <is>
          <t>ST-002</t>
        </is>
      </c>
      <c r="E288" s="2" t="inlineStr">
        <is>
          <t>Kaybedildi</t>
        </is>
      </c>
      <c r="F288" s="3" t="n">
        <v>19122.64</v>
      </c>
      <c r="G288" s="2" t="inlineStr">
        <is>
          <t>EUR</t>
        </is>
      </c>
      <c r="H288" s="5" t="n">
        <v>1.143</v>
      </c>
      <c r="I288" s="2" t="n">
        <v>20</v>
      </c>
      <c r="J288" s="5" t="inlineStr">
        <is>
          <t>DAP</t>
        </is>
      </c>
      <c r="K288" s="6" t="n">
        <v>45743</v>
      </c>
      <c r="L288" s="2" t="inlineStr">
        <is>
          <t>Kaybedildi</t>
        </is>
      </c>
      <c r="M288" s="2" t="inlineStr">
        <is>
          <t>Fiyat Yuksek</t>
        </is>
      </c>
    </row>
    <row r="289">
      <c r="A289" s="2" t="inlineStr">
        <is>
          <t>TKL-0288</t>
        </is>
      </c>
      <c r="B289" s="6" t="n">
        <v>45754</v>
      </c>
      <c r="C289" s="2" t="inlineStr">
        <is>
          <t>MUS-019</t>
        </is>
      </c>
      <c r="D289" s="2" t="inlineStr">
        <is>
          <t>ST-003</t>
        </is>
      </c>
      <c r="E289" s="2" t="inlineStr">
        <is>
          <t>Kaybedildi</t>
        </is>
      </c>
      <c r="F289" s="3" t="n">
        <v>13199.5</v>
      </c>
      <c r="G289" s="2" t="inlineStr">
        <is>
          <t>USD</t>
        </is>
      </c>
      <c r="H289" s="5" t="n">
        <v>1</v>
      </c>
      <c r="I289" s="2" t="n">
        <v>45</v>
      </c>
      <c r="J289" s="5" t="inlineStr">
        <is>
          <t>CIF</t>
        </is>
      </c>
      <c r="K289" s="6" t="n">
        <v>45761</v>
      </c>
      <c r="L289" s="2" t="inlineStr">
        <is>
          <t>Kaybedildi</t>
        </is>
      </c>
      <c r="M289" s="2" t="inlineStr">
        <is>
          <t>Termin Uzun</t>
        </is>
      </c>
    </row>
    <row r="290">
      <c r="A290" s="2" t="inlineStr">
        <is>
          <t>TKL-0289</t>
        </is>
      </c>
      <c r="B290" s="6" t="n">
        <v>45774</v>
      </c>
      <c r="C290" s="2" t="inlineStr">
        <is>
          <t>MUS-077</t>
        </is>
      </c>
      <c r="D290" s="2" t="inlineStr">
        <is>
          <t>ST-002</t>
        </is>
      </c>
      <c r="E290" s="2" t="inlineStr">
        <is>
          <t>Kaybedildi</t>
        </is>
      </c>
      <c r="F290" s="3" t="n">
        <v>40541.44</v>
      </c>
      <c r="G290" s="2" t="inlineStr">
        <is>
          <t>EUR</t>
        </is>
      </c>
      <c r="H290" s="5" t="n">
        <v>1.1556</v>
      </c>
      <c r="I290" s="2" t="n">
        <v>20</v>
      </c>
      <c r="J290" s="5" t="inlineStr">
        <is>
          <t>DAP</t>
        </is>
      </c>
      <c r="K290" s="6" t="n">
        <v>45779</v>
      </c>
      <c r="L290" s="2" t="inlineStr">
        <is>
          <t>Kaybedildi</t>
        </is>
      </c>
      <c r="M290" s="2" t="inlineStr">
        <is>
          <t>Fiyat Yuksek</t>
        </is>
      </c>
    </row>
    <row r="291">
      <c r="A291" s="2" t="inlineStr">
        <is>
          <t>TKL-0290</t>
        </is>
      </c>
      <c r="B291" s="6" t="n">
        <v>45770</v>
      </c>
      <c r="C291" s="2" t="inlineStr">
        <is>
          <t>MUS-041</t>
        </is>
      </c>
      <c r="D291" s="2" t="inlineStr">
        <is>
          <t>ST-001</t>
        </is>
      </c>
      <c r="E291" s="2" t="inlineStr">
        <is>
          <t>Beklemede</t>
        </is>
      </c>
      <c r="F291" s="3" t="n">
        <v>39559.23</v>
      </c>
      <c r="G291" s="2" t="inlineStr">
        <is>
          <t>EUR</t>
        </is>
      </c>
      <c r="H291" s="5" t="n">
        <v>1.1556</v>
      </c>
      <c r="I291" s="2" t="n">
        <v>30</v>
      </c>
      <c r="J291" s="5" t="inlineStr">
        <is>
          <t>DAP</t>
        </is>
      </c>
      <c r="K291" s="6" t="n">
        <v>45787</v>
      </c>
      <c r="L291" s="2" t="inlineStr">
        <is>
          <t>Acik</t>
        </is>
      </c>
      <c r="M291" s="2" t="inlineStr"/>
    </row>
    <row r="292">
      <c r="A292" s="2" t="inlineStr">
        <is>
          <t>TKL-0291</t>
        </is>
      </c>
      <c r="B292" s="6" t="n">
        <v>45757</v>
      </c>
      <c r="C292" s="2" t="inlineStr">
        <is>
          <t>MUS-074</t>
        </is>
      </c>
      <c r="D292" s="2" t="inlineStr">
        <is>
          <t>ST-007</t>
        </is>
      </c>
      <c r="E292" s="2" t="inlineStr">
        <is>
          <t>Siparise Donustu</t>
        </is>
      </c>
      <c r="F292" s="3" t="n">
        <v>38410.68</v>
      </c>
      <c r="G292" s="2" t="inlineStr">
        <is>
          <t>USD</t>
        </is>
      </c>
      <c r="H292" s="5" t="n">
        <v>1</v>
      </c>
      <c r="I292" s="2" t="n">
        <v>20</v>
      </c>
      <c r="J292" s="5" t="inlineStr">
        <is>
          <t>FCA</t>
        </is>
      </c>
      <c r="K292" s="6" t="n">
        <v>45765</v>
      </c>
      <c r="L292" s="2" t="inlineStr">
        <is>
          <t>Kazanildi</t>
        </is>
      </c>
      <c r="M292" s="2" t="inlineStr"/>
    </row>
    <row r="293">
      <c r="A293" s="2" t="inlineStr">
        <is>
          <t>TKL-0292</t>
        </is>
      </c>
      <c r="B293" s="6" t="n">
        <v>45776</v>
      </c>
      <c r="C293" s="2" t="inlineStr">
        <is>
          <t>MUS-039</t>
        </is>
      </c>
      <c r="D293" s="2" t="inlineStr">
        <is>
          <t>ST-004</t>
        </is>
      </c>
      <c r="E293" s="2" t="inlineStr">
        <is>
          <t>Siparise Donustu</t>
        </is>
      </c>
      <c r="F293" s="3" t="n">
        <v>16284.1</v>
      </c>
      <c r="G293" s="2" t="inlineStr">
        <is>
          <t>USD</t>
        </is>
      </c>
      <c r="H293" s="5" t="n">
        <v>1</v>
      </c>
      <c r="I293" s="2" t="n">
        <v>30</v>
      </c>
      <c r="J293" s="5" t="inlineStr">
        <is>
          <t>CIF</t>
        </is>
      </c>
      <c r="K293" s="6" t="n">
        <v>45796</v>
      </c>
      <c r="L293" s="2" t="inlineStr">
        <is>
          <t>Kazanildi</t>
        </is>
      </c>
      <c r="M293" s="2" t="inlineStr"/>
    </row>
    <row r="294">
      <c r="A294" s="2" t="inlineStr">
        <is>
          <t>TKL-0293</t>
        </is>
      </c>
      <c r="B294" s="6" t="n">
        <v>45752</v>
      </c>
      <c r="C294" s="2" t="inlineStr">
        <is>
          <t>MUS-044</t>
        </is>
      </c>
      <c r="D294" s="2" t="inlineStr">
        <is>
          <t>ST-001</t>
        </is>
      </c>
      <c r="E294" s="2" t="inlineStr">
        <is>
          <t>Siparise Donustu</t>
        </is>
      </c>
      <c r="F294" s="3" t="n">
        <v>40518.13</v>
      </c>
      <c r="G294" s="2" t="inlineStr">
        <is>
          <t>EUR</t>
        </is>
      </c>
      <c r="H294" s="5" t="n">
        <v>1.1556</v>
      </c>
      <c r="I294" s="2" t="n">
        <v>20</v>
      </c>
      <c r="J294" s="5" t="inlineStr">
        <is>
          <t>DAP</t>
        </is>
      </c>
      <c r="K294" s="6" t="n">
        <v>45764</v>
      </c>
      <c r="L294" s="2" t="inlineStr">
        <is>
          <t>Kazanildi</t>
        </is>
      </c>
      <c r="M294" s="2" t="inlineStr"/>
    </row>
    <row r="295">
      <c r="A295" s="2" t="inlineStr">
        <is>
          <t>TKL-0294</t>
        </is>
      </c>
      <c r="B295" s="6" t="n">
        <v>45748</v>
      </c>
      <c r="C295" s="2" t="inlineStr">
        <is>
          <t>MUS-079</t>
        </is>
      </c>
      <c r="D295" s="2" t="inlineStr">
        <is>
          <t>ST-004</t>
        </is>
      </c>
      <c r="E295" s="2" t="inlineStr">
        <is>
          <t>Siparise Donustu</t>
        </is>
      </c>
      <c r="F295" s="3" t="n">
        <v>63866.58</v>
      </c>
      <c r="G295" s="2" t="inlineStr">
        <is>
          <t>USD</t>
        </is>
      </c>
      <c r="H295" s="5" t="n">
        <v>1</v>
      </c>
      <c r="I295" s="2" t="n">
        <v>30</v>
      </c>
      <c r="J295" s="5" t="inlineStr">
        <is>
          <t>CIF</t>
        </is>
      </c>
      <c r="K295" s="6" t="n">
        <v>45763</v>
      </c>
      <c r="L295" s="2" t="inlineStr">
        <is>
          <t>Kazanildi</t>
        </is>
      </c>
      <c r="M295" s="2" t="inlineStr"/>
    </row>
    <row r="296">
      <c r="A296" s="2" t="inlineStr">
        <is>
          <t>TKL-0295</t>
        </is>
      </c>
      <c r="B296" s="6" t="n">
        <v>45748</v>
      </c>
      <c r="C296" s="2" t="inlineStr">
        <is>
          <t>MUS-061</t>
        </is>
      </c>
      <c r="D296" s="2" t="inlineStr">
        <is>
          <t>ST-008</t>
        </is>
      </c>
      <c r="E296" s="2" t="inlineStr">
        <is>
          <t>Siparise Donustu</t>
        </is>
      </c>
      <c r="F296" s="3" t="n">
        <v>14009.36</v>
      </c>
      <c r="G296" s="2" t="inlineStr">
        <is>
          <t>USD</t>
        </is>
      </c>
      <c r="H296" s="5" t="n">
        <v>1</v>
      </c>
      <c r="I296" s="2" t="n">
        <v>45</v>
      </c>
      <c r="J296" s="5" t="inlineStr">
        <is>
          <t>FCA</t>
        </is>
      </c>
      <c r="K296" s="6" t="n">
        <v>45766</v>
      </c>
      <c r="L296" s="2" t="inlineStr">
        <is>
          <t>Kazanildi</t>
        </is>
      </c>
      <c r="M296" s="2" t="inlineStr"/>
    </row>
    <row r="297">
      <c r="A297" s="2" t="inlineStr">
        <is>
          <t>TKL-0296</t>
        </is>
      </c>
      <c r="B297" s="6" t="n">
        <v>45763</v>
      </c>
      <c r="C297" s="2" t="inlineStr">
        <is>
          <t>MUS-061</t>
        </is>
      </c>
      <c r="D297" s="2" t="inlineStr">
        <is>
          <t>ST-008</t>
        </is>
      </c>
      <c r="E297" s="2" t="inlineStr">
        <is>
          <t>Kaybedildi</t>
        </is>
      </c>
      <c r="F297" s="3" t="n">
        <v>13646.58</v>
      </c>
      <c r="G297" s="2" t="inlineStr">
        <is>
          <t>USD</t>
        </is>
      </c>
      <c r="H297" s="5" t="n">
        <v>1</v>
      </c>
      <c r="I297" s="2" t="n">
        <v>45</v>
      </c>
      <c r="J297" s="5" t="inlineStr">
        <is>
          <t>FCA</t>
        </is>
      </c>
      <c r="K297" s="6" t="n">
        <v>45786</v>
      </c>
      <c r="L297" s="2" t="inlineStr">
        <is>
          <t>Kaybedildi</t>
        </is>
      </c>
      <c r="M297" s="2" t="inlineStr">
        <is>
          <t>Rakipte Teknik Onay</t>
        </is>
      </c>
    </row>
    <row r="298">
      <c r="A298" s="2" t="inlineStr">
        <is>
          <t>TKL-0297</t>
        </is>
      </c>
      <c r="B298" s="6" t="n">
        <v>45757</v>
      </c>
      <c r="C298" s="2" t="inlineStr">
        <is>
          <t>MUS-044</t>
        </is>
      </c>
      <c r="D298" s="2" t="inlineStr">
        <is>
          <t>ST-002</t>
        </is>
      </c>
      <c r="E298" s="2" t="inlineStr">
        <is>
          <t>Siparise Donustu</t>
        </is>
      </c>
      <c r="F298" s="3" t="n">
        <v>15558.93</v>
      </c>
      <c r="G298" s="2" t="inlineStr">
        <is>
          <t>EUR</t>
        </is>
      </c>
      <c r="H298" s="5" t="n">
        <v>1.1556</v>
      </c>
      <c r="I298" s="2" t="n">
        <v>30</v>
      </c>
      <c r="J298" s="5" t="inlineStr">
        <is>
          <t>DAP</t>
        </is>
      </c>
      <c r="K298" s="6" t="n">
        <v>45776</v>
      </c>
      <c r="L298" s="2" t="inlineStr">
        <is>
          <t>Kazanildi</t>
        </is>
      </c>
      <c r="M298" s="2" t="inlineStr"/>
    </row>
    <row r="299">
      <c r="A299" s="2" t="inlineStr">
        <is>
          <t>TKL-0298</t>
        </is>
      </c>
      <c r="B299" s="6" t="n">
        <v>45748</v>
      </c>
      <c r="C299" s="2" t="inlineStr">
        <is>
          <t>MUS-040</t>
        </is>
      </c>
      <c r="D299" s="2" t="inlineStr">
        <is>
          <t>ST-003</t>
        </is>
      </c>
      <c r="E299" s="2" t="inlineStr">
        <is>
          <t>Siparise Donustu</t>
        </is>
      </c>
      <c r="F299" s="3" t="n">
        <v>26429.39</v>
      </c>
      <c r="G299" s="2" t="inlineStr">
        <is>
          <t>USD</t>
        </is>
      </c>
      <c r="H299" s="5" t="n">
        <v>1</v>
      </c>
      <c r="I299" s="2" t="n">
        <v>30</v>
      </c>
      <c r="J299" s="5" t="inlineStr">
        <is>
          <t>CIF</t>
        </is>
      </c>
      <c r="K299" s="6" t="n">
        <v>45767</v>
      </c>
      <c r="L299" s="2" t="inlineStr">
        <is>
          <t>Kazanildi</t>
        </is>
      </c>
      <c r="M299" s="2" t="inlineStr"/>
    </row>
    <row r="300">
      <c r="A300" s="2" t="inlineStr">
        <is>
          <t>TKL-0299</t>
        </is>
      </c>
      <c r="B300" s="6" t="n">
        <v>45776</v>
      </c>
      <c r="C300" s="2" t="inlineStr">
        <is>
          <t>MUS-076</t>
        </is>
      </c>
      <c r="D300" s="2" t="inlineStr">
        <is>
          <t>ST-001</t>
        </is>
      </c>
      <c r="E300" s="2" t="inlineStr">
        <is>
          <t>Siparise Donustu</t>
        </is>
      </c>
      <c r="F300" s="3" t="n">
        <v>8381.52</v>
      </c>
      <c r="G300" s="2" t="inlineStr">
        <is>
          <t>EUR</t>
        </is>
      </c>
      <c r="H300" s="5" t="n">
        <v>1.1556</v>
      </c>
      <c r="I300" s="2" t="n">
        <v>20</v>
      </c>
      <c r="J300" s="5" t="inlineStr">
        <is>
          <t>DAP</t>
        </is>
      </c>
      <c r="K300" s="6" t="n">
        <v>45793</v>
      </c>
      <c r="L300" s="2" t="inlineStr">
        <is>
          <t>Kazanildi</t>
        </is>
      </c>
      <c r="M300" s="2" t="inlineStr"/>
    </row>
    <row r="301">
      <c r="A301" s="2" t="inlineStr">
        <is>
          <t>TKL-0300</t>
        </is>
      </c>
      <c r="B301" s="6" t="n">
        <v>45756</v>
      </c>
      <c r="C301" s="2" t="inlineStr">
        <is>
          <t>MUS-063</t>
        </is>
      </c>
      <c r="D301" s="2" t="inlineStr">
        <is>
          <t>ST-001</t>
        </is>
      </c>
      <c r="E301" s="2" t="inlineStr">
        <is>
          <t>Beklemede</t>
        </is>
      </c>
      <c r="F301" s="3" t="n">
        <v>74990.99000000001</v>
      </c>
      <c r="G301" s="2" t="inlineStr">
        <is>
          <t>EUR</t>
        </is>
      </c>
      <c r="H301" s="5" t="n">
        <v>1.1556</v>
      </c>
      <c r="I301" s="2" t="n">
        <v>30</v>
      </c>
      <c r="J301" s="5" t="inlineStr">
        <is>
          <t>DAP</t>
        </is>
      </c>
      <c r="K301" s="6" t="n">
        <v>45767</v>
      </c>
      <c r="L301" s="2" t="inlineStr">
        <is>
          <t>Acik</t>
        </is>
      </c>
      <c r="M301" s="2" t="inlineStr"/>
    </row>
    <row r="302">
      <c r="A302" s="2" t="inlineStr">
        <is>
          <t>TKL-0301</t>
        </is>
      </c>
      <c r="B302" s="6" t="n">
        <v>45764</v>
      </c>
      <c r="C302" s="2" t="inlineStr">
        <is>
          <t>MUS-006</t>
        </is>
      </c>
      <c r="D302" s="2" t="inlineStr">
        <is>
          <t>ST-007</t>
        </is>
      </c>
      <c r="E302" s="2" t="inlineStr">
        <is>
          <t>Siparise Donustu</t>
        </is>
      </c>
      <c r="F302" s="3" t="n">
        <v>25234.5</v>
      </c>
      <c r="G302" s="2" t="inlineStr">
        <is>
          <t>USD</t>
        </is>
      </c>
      <c r="H302" s="5" t="n">
        <v>1</v>
      </c>
      <c r="I302" s="2" t="n">
        <v>20</v>
      </c>
      <c r="J302" s="5" t="inlineStr">
        <is>
          <t>FCA</t>
        </is>
      </c>
      <c r="K302" s="6" t="n">
        <v>45771</v>
      </c>
      <c r="L302" s="2" t="inlineStr">
        <is>
          <t>Kazanildi</t>
        </is>
      </c>
      <c r="M302" s="2" t="inlineStr"/>
    </row>
    <row r="303">
      <c r="A303" s="2" t="inlineStr">
        <is>
          <t>TKL-0302</t>
        </is>
      </c>
      <c r="B303" s="6" t="n">
        <v>45769</v>
      </c>
      <c r="C303" s="2" t="inlineStr">
        <is>
          <t>MUS-068</t>
        </is>
      </c>
      <c r="D303" s="2" t="inlineStr">
        <is>
          <t>ST-002</t>
        </is>
      </c>
      <c r="E303" s="2" t="inlineStr">
        <is>
          <t>Kaybedildi</t>
        </is>
      </c>
      <c r="F303" s="3" t="n">
        <v>27661.2</v>
      </c>
      <c r="G303" s="2" t="inlineStr">
        <is>
          <t>EUR</t>
        </is>
      </c>
      <c r="H303" s="5" t="n">
        <v>1.1556</v>
      </c>
      <c r="I303" s="2" t="n">
        <v>45</v>
      </c>
      <c r="J303" s="5" t="inlineStr">
        <is>
          <t>DAP</t>
        </is>
      </c>
      <c r="K303" s="6" t="n">
        <v>45774</v>
      </c>
      <c r="L303" s="2" t="inlineStr">
        <is>
          <t>Kaybedildi</t>
        </is>
      </c>
      <c r="M303" s="2" t="inlineStr">
        <is>
          <t>Fiyat Yuksek</t>
        </is>
      </c>
    </row>
    <row r="304">
      <c r="A304" s="2" t="inlineStr">
        <is>
          <t>TKL-0303</t>
        </is>
      </c>
      <c r="B304" s="6" t="n">
        <v>45776</v>
      </c>
      <c r="C304" s="2" t="inlineStr">
        <is>
          <t>MUS-082</t>
        </is>
      </c>
      <c r="D304" s="2" t="inlineStr">
        <is>
          <t>ST-001</t>
        </is>
      </c>
      <c r="E304" s="2" t="inlineStr">
        <is>
          <t>Siparise Donustu</t>
        </is>
      </c>
      <c r="F304" s="3" t="n">
        <v>27838.2</v>
      </c>
      <c r="G304" s="2" t="inlineStr">
        <is>
          <t>EUR</t>
        </is>
      </c>
      <c r="H304" s="5" t="n">
        <v>1.1556</v>
      </c>
      <c r="I304" s="2" t="n">
        <v>45</v>
      </c>
      <c r="J304" s="5" t="inlineStr">
        <is>
          <t>DAP</t>
        </is>
      </c>
      <c r="K304" s="6" t="n">
        <v>45817</v>
      </c>
      <c r="L304" s="2" t="inlineStr">
        <is>
          <t>Kazanildi</t>
        </is>
      </c>
      <c r="M304" s="2" t="inlineStr"/>
    </row>
    <row r="305">
      <c r="A305" s="2" t="inlineStr">
        <is>
          <t>TKL-0304</t>
        </is>
      </c>
      <c r="B305" s="6" t="n">
        <v>45757</v>
      </c>
      <c r="C305" s="2" t="inlineStr">
        <is>
          <t>MUS-065</t>
        </is>
      </c>
      <c r="D305" s="2" t="inlineStr">
        <is>
          <t>ST-006</t>
        </is>
      </c>
      <c r="E305" s="2" t="inlineStr">
        <is>
          <t>Siparise Donustu</t>
        </is>
      </c>
      <c r="F305" s="3" t="n">
        <v>105730.46</v>
      </c>
      <c r="G305" s="2" t="inlineStr">
        <is>
          <t>USD</t>
        </is>
      </c>
      <c r="H305" s="5" t="n">
        <v>1</v>
      </c>
      <c r="I305" s="2" t="n">
        <v>15</v>
      </c>
      <c r="J305" s="5" t="inlineStr">
        <is>
          <t>CFR</t>
        </is>
      </c>
      <c r="K305" s="6" t="n">
        <v>45768</v>
      </c>
      <c r="L305" s="2" t="inlineStr">
        <is>
          <t>Kazanildi</t>
        </is>
      </c>
      <c r="M305" s="2" t="inlineStr"/>
    </row>
    <row r="306">
      <c r="A306" s="2" t="inlineStr">
        <is>
          <t>TKL-0305</t>
        </is>
      </c>
      <c r="B306" s="6" t="n">
        <v>45750</v>
      </c>
      <c r="C306" s="2" t="inlineStr">
        <is>
          <t>MUS-023</t>
        </is>
      </c>
      <c r="D306" s="2" t="inlineStr">
        <is>
          <t>ST-004</t>
        </is>
      </c>
      <c r="E306" s="2" t="inlineStr">
        <is>
          <t>Beklemede</t>
        </is>
      </c>
      <c r="F306" s="3" t="n">
        <v>40296.79</v>
      </c>
      <c r="G306" s="2" t="inlineStr">
        <is>
          <t>USD</t>
        </is>
      </c>
      <c r="H306" s="5" t="n">
        <v>1</v>
      </c>
      <c r="I306" s="2" t="n">
        <v>45</v>
      </c>
      <c r="J306" s="5" t="inlineStr">
        <is>
          <t>CIF</t>
        </is>
      </c>
      <c r="K306" s="6" t="n">
        <v>45792</v>
      </c>
      <c r="L306" s="2" t="inlineStr">
        <is>
          <t>Acik</t>
        </is>
      </c>
      <c r="M306" s="2" t="inlineStr"/>
    </row>
    <row r="307">
      <c r="A307" s="2" t="inlineStr">
        <is>
          <t>TKL-0306</t>
        </is>
      </c>
      <c r="B307" s="6" t="n">
        <v>45757</v>
      </c>
      <c r="C307" s="2" t="inlineStr">
        <is>
          <t>MUS-046</t>
        </is>
      </c>
      <c r="D307" s="2" t="inlineStr">
        <is>
          <t>ST-002</t>
        </is>
      </c>
      <c r="E307" s="2" t="inlineStr">
        <is>
          <t>Beklemede</t>
        </is>
      </c>
      <c r="F307" s="3" t="n">
        <v>64010.4</v>
      </c>
      <c r="G307" s="2" t="inlineStr">
        <is>
          <t>EUR</t>
        </is>
      </c>
      <c r="H307" s="5" t="n">
        <v>1.1556</v>
      </c>
      <c r="I307" s="2" t="n">
        <v>20</v>
      </c>
      <c r="J307" s="5" t="inlineStr">
        <is>
          <t>FCA</t>
        </is>
      </c>
      <c r="K307" s="6" t="n">
        <v>45771</v>
      </c>
      <c r="L307" s="2" t="inlineStr">
        <is>
          <t>Acik</t>
        </is>
      </c>
      <c r="M307" s="2" t="inlineStr"/>
    </row>
    <row r="308">
      <c r="A308" s="2" t="inlineStr">
        <is>
          <t>TKL-0307</t>
        </is>
      </c>
      <c r="B308" s="6" t="n">
        <v>45768</v>
      </c>
      <c r="C308" s="2" t="inlineStr">
        <is>
          <t>MUS-036</t>
        </is>
      </c>
      <c r="D308" s="2" t="inlineStr">
        <is>
          <t>ST-006</t>
        </is>
      </c>
      <c r="E308" s="2" t="inlineStr">
        <is>
          <t>Siparise Donustu</t>
        </is>
      </c>
      <c r="F308" s="3" t="n">
        <v>41504.09</v>
      </c>
      <c r="G308" s="2" t="inlineStr">
        <is>
          <t>USD</t>
        </is>
      </c>
      <c r="H308" s="5" t="n">
        <v>1</v>
      </c>
      <c r="I308" s="2" t="n">
        <v>30</v>
      </c>
      <c r="J308" s="5" t="inlineStr">
        <is>
          <t>CFR</t>
        </is>
      </c>
      <c r="K308" s="6" t="n">
        <v>45784</v>
      </c>
      <c r="L308" s="2" t="inlineStr">
        <is>
          <t>Kazanildi</t>
        </is>
      </c>
      <c r="M308" s="2" t="inlineStr"/>
    </row>
    <row r="309">
      <c r="A309" s="2" t="inlineStr">
        <is>
          <t>TKL-0308</t>
        </is>
      </c>
      <c r="B309" s="6" t="n">
        <v>45771</v>
      </c>
      <c r="C309" s="2" t="inlineStr">
        <is>
          <t>MUS-006</t>
        </is>
      </c>
      <c r="D309" s="2" t="inlineStr">
        <is>
          <t>ST-008</t>
        </is>
      </c>
      <c r="E309" s="2" t="inlineStr">
        <is>
          <t>Siparise Donustu</t>
        </is>
      </c>
      <c r="F309" s="3" t="n">
        <v>46341.85</v>
      </c>
      <c r="G309" s="2" t="inlineStr">
        <is>
          <t>USD</t>
        </is>
      </c>
      <c r="H309" s="5" t="n">
        <v>1</v>
      </c>
      <c r="I309" s="2" t="n">
        <v>20</v>
      </c>
      <c r="J309" s="5" t="inlineStr">
        <is>
          <t>FCA</t>
        </is>
      </c>
      <c r="K309" s="6" t="n">
        <v>45788</v>
      </c>
      <c r="L309" s="2" t="inlineStr">
        <is>
          <t>Kazanildi</t>
        </is>
      </c>
      <c r="M309" s="2" t="inlineStr"/>
    </row>
    <row r="310">
      <c r="A310" s="2" t="inlineStr">
        <is>
          <t>TKL-0309</t>
        </is>
      </c>
      <c r="B310" s="6" t="n">
        <v>45761</v>
      </c>
      <c r="C310" s="2" t="inlineStr">
        <is>
          <t>MUS-006</t>
        </is>
      </c>
      <c r="D310" s="2" t="inlineStr">
        <is>
          <t>ST-008</t>
        </is>
      </c>
      <c r="E310" s="2" t="inlineStr">
        <is>
          <t>Siparise Donustu</t>
        </is>
      </c>
      <c r="F310" s="3" t="n">
        <v>31601.54</v>
      </c>
      <c r="G310" s="2" t="inlineStr">
        <is>
          <t>USD</t>
        </is>
      </c>
      <c r="H310" s="5" t="n">
        <v>1</v>
      </c>
      <c r="I310" s="2" t="n">
        <v>15</v>
      </c>
      <c r="J310" s="5" t="inlineStr">
        <is>
          <t>FCA</t>
        </is>
      </c>
      <c r="K310" s="6" t="n">
        <v>45771</v>
      </c>
      <c r="L310" s="2" t="inlineStr">
        <is>
          <t>Kazanildi</t>
        </is>
      </c>
      <c r="M310" s="2" t="inlineStr"/>
    </row>
    <row r="311">
      <c r="A311" s="2" t="inlineStr">
        <is>
          <t>TKL-0310</t>
        </is>
      </c>
      <c r="B311" s="6" t="n">
        <v>45758</v>
      </c>
      <c r="C311" s="2" t="inlineStr">
        <is>
          <t>MUS-046</t>
        </is>
      </c>
      <c r="D311" s="2" t="inlineStr">
        <is>
          <t>ST-001</t>
        </is>
      </c>
      <c r="E311" s="2" t="inlineStr">
        <is>
          <t>Siparise Donustu</t>
        </is>
      </c>
      <c r="F311" s="3" t="n">
        <v>18599.06</v>
      </c>
      <c r="G311" s="2" t="inlineStr">
        <is>
          <t>EUR</t>
        </is>
      </c>
      <c r="H311" s="5" t="n">
        <v>1.1556</v>
      </c>
      <c r="I311" s="2" t="n">
        <v>45</v>
      </c>
      <c r="J311" s="5" t="inlineStr">
        <is>
          <t>FCA</t>
        </is>
      </c>
      <c r="K311" s="6" t="n">
        <v>45793</v>
      </c>
      <c r="L311" s="2" t="inlineStr">
        <is>
          <t>Kazanildi</t>
        </is>
      </c>
      <c r="M311" s="2" t="inlineStr"/>
    </row>
    <row r="312">
      <c r="A312" s="2" t="inlineStr">
        <is>
          <t>TKL-0311</t>
        </is>
      </c>
      <c r="B312" s="6" t="n">
        <v>45772</v>
      </c>
      <c r="C312" s="2" t="inlineStr">
        <is>
          <t>MUS-024</t>
        </is>
      </c>
      <c r="D312" s="2" t="inlineStr">
        <is>
          <t>ST-003</t>
        </is>
      </c>
      <c r="E312" s="2" t="inlineStr">
        <is>
          <t>Kaybedildi</t>
        </is>
      </c>
      <c r="F312" s="3" t="n">
        <v>39516.99</v>
      </c>
      <c r="G312" s="2" t="inlineStr">
        <is>
          <t>USD</t>
        </is>
      </c>
      <c r="H312" s="5" t="n">
        <v>1</v>
      </c>
      <c r="I312" s="2" t="n">
        <v>20</v>
      </c>
      <c r="J312" s="5" t="inlineStr">
        <is>
          <t>CIF</t>
        </is>
      </c>
      <c r="K312" s="6" t="n">
        <v>45778</v>
      </c>
      <c r="L312" s="2" t="inlineStr">
        <is>
          <t>Kaybedildi</t>
        </is>
      </c>
      <c r="M312" s="2" t="inlineStr">
        <is>
          <t>Fiyat Yuksek</t>
        </is>
      </c>
    </row>
    <row r="313">
      <c r="A313" s="2" t="inlineStr">
        <is>
          <t>TKL-0312</t>
        </is>
      </c>
      <c r="B313" s="6" t="n">
        <v>45772</v>
      </c>
      <c r="C313" s="2" t="inlineStr">
        <is>
          <t>MUS-073</t>
        </is>
      </c>
      <c r="D313" s="2" t="inlineStr">
        <is>
          <t>ST-004</t>
        </is>
      </c>
      <c r="E313" s="2" t="inlineStr">
        <is>
          <t>Kaybedildi</t>
        </is>
      </c>
      <c r="F313" s="3" t="n">
        <v>34310.58</v>
      </c>
      <c r="G313" s="2" t="inlineStr">
        <is>
          <t>USD</t>
        </is>
      </c>
      <c r="H313" s="5" t="n">
        <v>1</v>
      </c>
      <c r="I313" s="2" t="n">
        <v>15</v>
      </c>
      <c r="J313" s="5" t="inlineStr">
        <is>
          <t>CIF</t>
        </is>
      </c>
      <c r="K313" s="6" t="n">
        <v>45786</v>
      </c>
      <c r="L313" s="2" t="inlineStr">
        <is>
          <t>Kaybedildi</t>
        </is>
      </c>
      <c r="M313" s="2" t="inlineStr">
        <is>
          <t>Fiyat Yuksek</t>
        </is>
      </c>
    </row>
    <row r="314">
      <c r="A314" s="2" t="inlineStr">
        <is>
          <t>TKL-0313</t>
        </is>
      </c>
      <c r="B314" s="6" t="n">
        <v>45762</v>
      </c>
      <c r="C314" s="2" t="inlineStr">
        <is>
          <t>MUS-046</t>
        </is>
      </c>
      <c r="D314" s="2" t="inlineStr">
        <is>
          <t>ST-002</t>
        </is>
      </c>
      <c r="E314" s="2" t="inlineStr">
        <is>
          <t>Siparise Donustu</t>
        </is>
      </c>
      <c r="F314" s="3" t="n">
        <v>22917.51</v>
      </c>
      <c r="G314" s="2" t="inlineStr">
        <is>
          <t>EUR</t>
        </is>
      </c>
      <c r="H314" s="5" t="n">
        <v>1.1556</v>
      </c>
      <c r="I314" s="2" t="n">
        <v>30</v>
      </c>
      <c r="J314" s="5" t="inlineStr">
        <is>
          <t>FCA</t>
        </is>
      </c>
      <c r="K314" s="6" t="n">
        <v>45790</v>
      </c>
      <c r="L314" s="2" t="inlineStr">
        <is>
          <t>Kazanildi</t>
        </is>
      </c>
      <c r="M314" s="2" t="inlineStr"/>
    </row>
    <row r="315">
      <c r="A315" s="2" t="inlineStr">
        <is>
          <t>TKL-0314</t>
        </is>
      </c>
      <c r="B315" s="6" t="n">
        <v>45762</v>
      </c>
      <c r="C315" s="2" t="inlineStr">
        <is>
          <t>MUS-017</t>
        </is>
      </c>
      <c r="D315" s="2" t="inlineStr">
        <is>
          <t>ST-001</t>
        </is>
      </c>
      <c r="E315" s="2" t="inlineStr">
        <is>
          <t>Beklemede</t>
        </is>
      </c>
      <c r="F315" s="3" t="n">
        <v>20267.07</v>
      </c>
      <c r="G315" s="2" t="inlineStr">
        <is>
          <t>EUR</t>
        </is>
      </c>
      <c r="H315" s="5" t="n">
        <v>1.1556</v>
      </c>
      <c r="I315" s="2" t="n">
        <v>45</v>
      </c>
      <c r="J315" s="5" t="inlineStr">
        <is>
          <t>DAP</t>
        </is>
      </c>
      <c r="K315" s="6" t="n">
        <v>45805</v>
      </c>
      <c r="L315" s="2" t="inlineStr">
        <is>
          <t>Acik</t>
        </is>
      </c>
      <c r="M315" s="2" t="inlineStr"/>
    </row>
    <row r="316">
      <c r="A316" s="2" t="inlineStr">
        <is>
          <t>TKL-0315</t>
        </is>
      </c>
      <c r="B316" s="6" t="n">
        <v>45753</v>
      </c>
      <c r="C316" s="2" t="inlineStr">
        <is>
          <t>MUS-011</t>
        </is>
      </c>
      <c r="D316" s="2" t="inlineStr">
        <is>
          <t>ST-003</t>
        </is>
      </c>
      <c r="E316" s="2" t="inlineStr">
        <is>
          <t>Kaybedildi</t>
        </is>
      </c>
      <c r="F316" s="3" t="n">
        <v>32857.63</v>
      </c>
      <c r="G316" s="2" t="inlineStr">
        <is>
          <t>USD</t>
        </is>
      </c>
      <c r="H316" s="5" t="n">
        <v>1</v>
      </c>
      <c r="I316" s="2" t="n">
        <v>45</v>
      </c>
      <c r="J316" s="5" t="inlineStr">
        <is>
          <t>CIF</t>
        </is>
      </c>
      <c r="K316" s="6" t="n">
        <v>45778</v>
      </c>
      <c r="L316" s="2" t="inlineStr">
        <is>
          <t>Kaybedildi</t>
        </is>
      </c>
      <c r="M316" s="2" t="inlineStr">
        <is>
          <t>Fiyat Yuksek</t>
        </is>
      </c>
    </row>
    <row r="317">
      <c r="A317" s="2" t="inlineStr">
        <is>
          <t>TKL-0316</t>
        </is>
      </c>
      <c r="B317" s="6" t="n">
        <v>45757</v>
      </c>
      <c r="C317" s="2" t="inlineStr">
        <is>
          <t>MUS-057</t>
        </is>
      </c>
      <c r="D317" s="2" t="inlineStr">
        <is>
          <t>ST-001</t>
        </is>
      </c>
      <c r="E317" s="2" t="inlineStr">
        <is>
          <t>Siparise Donustu</t>
        </is>
      </c>
      <c r="F317" s="3" t="n">
        <v>50297.86</v>
      </c>
      <c r="G317" s="2" t="inlineStr">
        <is>
          <t>EUR</t>
        </is>
      </c>
      <c r="H317" s="5" t="n">
        <v>1.1556</v>
      </c>
      <c r="I317" s="2" t="n">
        <v>45</v>
      </c>
      <c r="J317" s="5" t="inlineStr">
        <is>
          <t>DAP</t>
        </is>
      </c>
      <c r="K317" s="6" t="n">
        <v>45778</v>
      </c>
      <c r="L317" s="2" t="inlineStr">
        <is>
          <t>Kazanildi</t>
        </is>
      </c>
      <c r="M317" s="2" t="inlineStr"/>
    </row>
    <row r="318">
      <c r="A318" s="2" t="inlineStr">
        <is>
          <t>TKL-0317</t>
        </is>
      </c>
      <c r="B318" s="6" t="n">
        <v>45806</v>
      </c>
      <c r="C318" s="2" t="inlineStr">
        <is>
          <t>MUS-033</t>
        </is>
      </c>
      <c r="D318" s="2" t="inlineStr">
        <is>
          <t>ST-005</t>
        </is>
      </c>
      <c r="E318" s="2" t="inlineStr">
        <is>
          <t>Kaybedildi</t>
        </is>
      </c>
      <c r="F318" s="3" t="n">
        <v>12446.14</v>
      </c>
      <c r="G318" s="2" t="inlineStr">
        <is>
          <t>USD</t>
        </is>
      </c>
      <c r="H318" s="5" t="n">
        <v>1</v>
      </c>
      <c r="I318" s="2" t="n">
        <v>15</v>
      </c>
      <c r="J318" s="5" t="inlineStr">
        <is>
          <t>CFR</t>
        </is>
      </c>
      <c r="K318" s="6" t="n">
        <v>45814</v>
      </c>
      <c r="L318" s="2" t="inlineStr">
        <is>
          <t>Kaybedildi</t>
        </is>
      </c>
      <c r="M318" s="2" t="inlineStr">
        <is>
          <t>Fiyat Yuksek</t>
        </is>
      </c>
    </row>
    <row r="319">
      <c r="A319" s="2" t="inlineStr">
        <is>
          <t>TKL-0318</t>
        </is>
      </c>
      <c r="B319" s="6" t="n">
        <v>45780</v>
      </c>
      <c r="C319" s="2" t="inlineStr">
        <is>
          <t>MUS-083</t>
        </is>
      </c>
      <c r="D319" s="2" t="inlineStr">
        <is>
          <t>ST-001</t>
        </is>
      </c>
      <c r="E319" s="2" t="inlineStr">
        <is>
          <t>Beklemede</t>
        </is>
      </c>
      <c r="F319" s="3" t="n">
        <v>61397.73</v>
      </c>
      <c r="G319" s="2" t="inlineStr">
        <is>
          <t>EUR</t>
        </is>
      </c>
      <c r="H319" s="5" t="n">
        <v>1.1588</v>
      </c>
      <c r="I319" s="2" t="n">
        <v>45</v>
      </c>
      <c r="J319" s="5" t="inlineStr">
        <is>
          <t>DAP</t>
        </is>
      </c>
      <c r="K319" s="6" t="n">
        <v>45801</v>
      </c>
      <c r="L319" s="2" t="inlineStr">
        <is>
          <t>Acik</t>
        </is>
      </c>
      <c r="M319" s="2" t="inlineStr"/>
    </row>
    <row r="320">
      <c r="A320" s="2" t="inlineStr">
        <is>
          <t>TKL-0319</t>
        </is>
      </c>
      <c r="B320" s="6" t="n">
        <v>45782</v>
      </c>
      <c r="C320" s="2" t="inlineStr">
        <is>
          <t>MUS-074</t>
        </is>
      </c>
      <c r="D320" s="2" t="inlineStr">
        <is>
          <t>ST-008</t>
        </is>
      </c>
      <c r="E320" s="2" t="inlineStr">
        <is>
          <t>Beklemede</t>
        </is>
      </c>
      <c r="F320" s="3" t="n">
        <v>60107.33</v>
      </c>
      <c r="G320" s="2" t="inlineStr">
        <is>
          <t>USD</t>
        </is>
      </c>
      <c r="H320" s="5" t="n">
        <v>1</v>
      </c>
      <c r="I320" s="2" t="n">
        <v>20</v>
      </c>
      <c r="J320" s="5" t="inlineStr">
        <is>
          <t>FCA</t>
        </is>
      </c>
      <c r="K320" s="6" t="n">
        <v>45789</v>
      </c>
      <c r="L320" s="2" t="inlineStr">
        <is>
          <t>Acik</t>
        </is>
      </c>
      <c r="M320" s="2" t="inlineStr"/>
    </row>
    <row r="321">
      <c r="A321" s="2" t="inlineStr">
        <is>
          <t>TKL-0320</t>
        </is>
      </c>
      <c r="B321" s="6" t="n">
        <v>45780</v>
      </c>
      <c r="C321" s="2" t="inlineStr">
        <is>
          <t>MUS-047</t>
        </is>
      </c>
      <c r="D321" s="2" t="inlineStr">
        <is>
          <t>ST-005</t>
        </is>
      </c>
      <c r="E321" s="2" t="inlineStr">
        <is>
          <t>Kaybedildi</t>
        </is>
      </c>
      <c r="F321" s="3" t="n">
        <v>51737.63</v>
      </c>
      <c r="G321" s="2" t="inlineStr">
        <is>
          <t>USD</t>
        </is>
      </c>
      <c r="H321" s="5" t="n">
        <v>1</v>
      </c>
      <c r="I321" s="2" t="n">
        <v>30</v>
      </c>
      <c r="J321" s="5" t="inlineStr">
        <is>
          <t>CFR</t>
        </is>
      </c>
      <c r="K321" s="6" t="n">
        <v>45805</v>
      </c>
      <c r="L321" s="2" t="inlineStr">
        <is>
          <t>Kaybedildi</t>
        </is>
      </c>
      <c r="M321" s="2" t="inlineStr">
        <is>
          <t>Fiyat Yuksek</t>
        </is>
      </c>
    </row>
    <row r="322">
      <c r="A322" s="2" t="inlineStr">
        <is>
          <t>TKL-0321</t>
        </is>
      </c>
      <c r="B322" s="6" t="n">
        <v>45795</v>
      </c>
      <c r="C322" s="2" t="inlineStr">
        <is>
          <t>MUS-080</t>
        </is>
      </c>
      <c r="D322" s="2" t="inlineStr">
        <is>
          <t>ST-006</t>
        </is>
      </c>
      <c r="E322" s="2" t="inlineStr">
        <is>
          <t>Siparise Donustu</t>
        </is>
      </c>
      <c r="F322" s="3" t="n">
        <v>70595.74000000001</v>
      </c>
      <c r="G322" s="2" t="inlineStr">
        <is>
          <t>USD</t>
        </is>
      </c>
      <c r="H322" s="5" t="n">
        <v>1</v>
      </c>
      <c r="I322" s="2" t="n">
        <v>20</v>
      </c>
      <c r="J322" s="5" t="inlineStr">
        <is>
          <t>CFR</t>
        </is>
      </c>
      <c r="K322" s="6" t="n">
        <v>45804</v>
      </c>
      <c r="L322" s="2" t="inlineStr">
        <is>
          <t>Kazanildi</t>
        </is>
      </c>
      <c r="M322" s="2" t="inlineStr"/>
    </row>
    <row r="323">
      <c r="A323" s="2" t="inlineStr">
        <is>
          <t>TKL-0322</t>
        </is>
      </c>
      <c r="B323" s="6" t="n">
        <v>45805</v>
      </c>
      <c r="C323" s="2" t="inlineStr">
        <is>
          <t>MUS-041</t>
        </is>
      </c>
      <c r="D323" s="2" t="inlineStr">
        <is>
          <t>ST-001</t>
        </is>
      </c>
      <c r="E323" s="2" t="inlineStr">
        <is>
          <t>Kaybedildi</t>
        </is>
      </c>
      <c r="F323" s="3" t="n">
        <v>63314.33</v>
      </c>
      <c r="G323" s="2" t="inlineStr">
        <is>
          <t>EUR</t>
        </is>
      </c>
      <c r="H323" s="5" t="n">
        <v>1.1588</v>
      </c>
      <c r="I323" s="2" t="n">
        <v>15</v>
      </c>
      <c r="J323" s="5" t="inlineStr">
        <is>
          <t>DAP</t>
        </is>
      </c>
      <c r="K323" s="6" t="n">
        <v>45816</v>
      </c>
      <c r="L323" s="2" t="inlineStr">
        <is>
          <t>Kaybedildi</t>
        </is>
      </c>
      <c r="M323" s="2" t="inlineStr">
        <is>
          <t>Fiyat Yuksek</t>
        </is>
      </c>
    </row>
    <row r="324">
      <c r="A324" s="2" t="inlineStr">
        <is>
          <t>TKL-0323</t>
        </is>
      </c>
      <c r="B324" s="6" t="n">
        <v>45790</v>
      </c>
      <c r="C324" s="2" t="inlineStr">
        <is>
          <t>MUS-016</t>
        </is>
      </c>
      <c r="D324" s="2" t="inlineStr">
        <is>
          <t>ST-002</t>
        </is>
      </c>
      <c r="E324" s="2" t="inlineStr">
        <is>
          <t>Siparise Donustu</t>
        </is>
      </c>
      <c r="F324" s="3" t="n">
        <v>29743.22</v>
      </c>
      <c r="G324" s="2" t="inlineStr">
        <is>
          <t>EUR</t>
        </is>
      </c>
      <c r="H324" s="5" t="n">
        <v>1.1588</v>
      </c>
      <c r="I324" s="2" t="n">
        <v>20</v>
      </c>
      <c r="J324" s="5" t="inlineStr">
        <is>
          <t>DAP</t>
        </is>
      </c>
      <c r="K324" s="6" t="n">
        <v>45806</v>
      </c>
      <c r="L324" s="2" t="inlineStr">
        <is>
          <t>Kazanildi</t>
        </is>
      </c>
      <c r="M324" s="2" t="inlineStr"/>
    </row>
    <row r="325">
      <c r="A325" s="2" t="inlineStr">
        <is>
          <t>TKL-0324</t>
        </is>
      </c>
      <c r="B325" s="6" t="n">
        <v>45796</v>
      </c>
      <c r="C325" s="2" t="inlineStr">
        <is>
          <t>MUS-008</t>
        </is>
      </c>
      <c r="D325" s="2" t="inlineStr">
        <is>
          <t>ST-008</t>
        </is>
      </c>
      <c r="E325" s="2" t="inlineStr">
        <is>
          <t>Siparise Donustu</t>
        </is>
      </c>
      <c r="F325" s="3" t="n">
        <v>19940.84</v>
      </c>
      <c r="G325" s="2" t="inlineStr">
        <is>
          <t>USD</t>
        </is>
      </c>
      <c r="H325" s="5" t="n">
        <v>1</v>
      </c>
      <c r="I325" s="2" t="n">
        <v>20</v>
      </c>
      <c r="J325" s="5" t="inlineStr">
        <is>
          <t>FCA</t>
        </is>
      </c>
      <c r="K325" s="6" t="n">
        <v>45813</v>
      </c>
      <c r="L325" s="2" t="inlineStr">
        <is>
          <t>Kazanildi</t>
        </is>
      </c>
      <c r="M325" s="2" t="inlineStr"/>
    </row>
    <row r="326">
      <c r="A326" s="2" t="inlineStr">
        <is>
          <t>TKL-0325</t>
        </is>
      </c>
      <c r="B326" s="6" t="n">
        <v>45787</v>
      </c>
      <c r="C326" s="2" t="inlineStr">
        <is>
          <t>MUS-027</t>
        </is>
      </c>
      <c r="D326" s="2" t="inlineStr">
        <is>
          <t>ST-003</t>
        </is>
      </c>
      <c r="E326" s="2" t="inlineStr">
        <is>
          <t>Siparise Donustu</t>
        </is>
      </c>
      <c r="F326" s="3" t="n">
        <v>24853.79</v>
      </c>
      <c r="G326" s="2" t="inlineStr">
        <is>
          <t>USD</t>
        </is>
      </c>
      <c r="H326" s="5" t="n">
        <v>1</v>
      </c>
      <c r="I326" s="2" t="n">
        <v>20</v>
      </c>
      <c r="J326" s="5" t="inlineStr">
        <is>
          <t>CIF</t>
        </is>
      </c>
      <c r="K326" s="6" t="n">
        <v>45805</v>
      </c>
      <c r="L326" s="2" t="inlineStr">
        <is>
          <t>Kazanildi</t>
        </is>
      </c>
      <c r="M326" s="2" t="inlineStr"/>
    </row>
    <row r="327">
      <c r="A327" s="2" t="inlineStr">
        <is>
          <t>TKL-0326</t>
        </is>
      </c>
      <c r="B327" s="6" t="n">
        <v>45807</v>
      </c>
      <c r="C327" s="2" t="inlineStr">
        <is>
          <t>MUS-061</t>
        </is>
      </c>
      <c r="D327" s="2" t="inlineStr">
        <is>
          <t>ST-007</t>
        </is>
      </c>
      <c r="E327" s="2" t="inlineStr">
        <is>
          <t>Kaybedildi</t>
        </is>
      </c>
      <c r="F327" s="3" t="n">
        <v>55833.42</v>
      </c>
      <c r="G327" s="2" t="inlineStr">
        <is>
          <t>USD</t>
        </is>
      </c>
      <c r="H327" s="5" t="n">
        <v>1</v>
      </c>
      <c r="I327" s="2" t="n">
        <v>20</v>
      </c>
      <c r="J327" s="5" t="inlineStr">
        <is>
          <t>FCA</t>
        </is>
      </c>
      <c r="K327" s="6" t="n">
        <v>45824</v>
      </c>
      <c r="L327" s="2" t="inlineStr">
        <is>
          <t>Kaybedildi</t>
        </is>
      </c>
      <c r="M327" s="2" t="inlineStr">
        <is>
          <t>Butce Ertelendi</t>
        </is>
      </c>
    </row>
    <row r="328">
      <c r="A328" s="2" t="inlineStr">
        <is>
          <t>TKL-0327</t>
        </is>
      </c>
      <c r="B328" s="6" t="n">
        <v>45794</v>
      </c>
      <c r="C328" s="2" t="inlineStr">
        <is>
          <t>MUS-066</t>
        </is>
      </c>
      <c r="D328" s="2" t="inlineStr">
        <is>
          <t>ST-007</t>
        </is>
      </c>
      <c r="E328" s="2" t="inlineStr">
        <is>
          <t>Siparise Donustu</t>
        </is>
      </c>
      <c r="F328" s="3" t="n">
        <v>11625.37</v>
      </c>
      <c r="G328" s="2" t="inlineStr">
        <is>
          <t>USD</t>
        </is>
      </c>
      <c r="H328" s="5" t="n">
        <v>1</v>
      </c>
      <c r="I328" s="2" t="n">
        <v>45</v>
      </c>
      <c r="J328" s="5" t="inlineStr">
        <is>
          <t>FCA</t>
        </is>
      </c>
      <c r="K328" s="6" t="n">
        <v>45802</v>
      </c>
      <c r="L328" s="2" t="inlineStr">
        <is>
          <t>Kazanildi</t>
        </is>
      </c>
      <c r="M328" s="2" t="inlineStr"/>
    </row>
    <row r="329">
      <c r="A329" s="2" t="inlineStr">
        <is>
          <t>TKL-0328</t>
        </is>
      </c>
      <c r="B329" s="6" t="n">
        <v>45784</v>
      </c>
      <c r="C329" s="2" t="inlineStr">
        <is>
          <t>MUS-069</t>
        </is>
      </c>
      <c r="D329" s="2" t="inlineStr">
        <is>
          <t>ST-002</t>
        </is>
      </c>
      <c r="E329" s="2" t="inlineStr">
        <is>
          <t>Kaybedildi</t>
        </is>
      </c>
      <c r="F329" s="3" t="n">
        <v>21682.06</v>
      </c>
      <c r="G329" s="2" t="inlineStr">
        <is>
          <t>EUR</t>
        </is>
      </c>
      <c r="H329" s="5" t="n">
        <v>1.1588</v>
      </c>
      <c r="I329" s="2" t="n">
        <v>45</v>
      </c>
      <c r="J329" s="5" t="inlineStr">
        <is>
          <t>FCA</t>
        </is>
      </c>
      <c r="K329" s="6" t="n">
        <v>45822</v>
      </c>
      <c r="L329" s="2" t="inlineStr">
        <is>
          <t>Kaybedildi</t>
        </is>
      </c>
      <c r="M329" s="2" t="inlineStr">
        <is>
          <t>Fiyat Yuksek</t>
        </is>
      </c>
    </row>
    <row r="330">
      <c r="A330" s="2" t="inlineStr">
        <is>
          <t>TKL-0329</t>
        </is>
      </c>
      <c r="B330" s="6" t="n">
        <v>45803</v>
      </c>
      <c r="C330" s="2" t="inlineStr">
        <is>
          <t>MUS-079</t>
        </is>
      </c>
      <c r="D330" s="2" t="inlineStr">
        <is>
          <t>ST-004</t>
        </is>
      </c>
      <c r="E330" s="2" t="inlineStr">
        <is>
          <t>Siparise Donustu</t>
        </is>
      </c>
      <c r="F330" s="3" t="n">
        <v>121152.77</v>
      </c>
      <c r="G330" s="2" t="inlineStr">
        <is>
          <t>USD</t>
        </is>
      </c>
      <c r="H330" s="5" t="n">
        <v>1</v>
      </c>
      <c r="I330" s="2" t="n">
        <v>15</v>
      </c>
      <c r="J330" s="5" t="inlineStr">
        <is>
          <t>CIF</t>
        </is>
      </c>
      <c r="K330" s="6" t="n">
        <v>45811</v>
      </c>
      <c r="L330" s="2" t="inlineStr">
        <is>
          <t>Kazanildi</t>
        </is>
      </c>
      <c r="M330" s="2" t="inlineStr"/>
    </row>
    <row r="331">
      <c r="A331" s="2" t="inlineStr">
        <is>
          <t>TKL-0330</t>
        </is>
      </c>
      <c r="B331" s="6" t="n">
        <v>45791</v>
      </c>
      <c r="C331" s="2" t="inlineStr">
        <is>
          <t>MUS-011</t>
        </is>
      </c>
      <c r="D331" s="2" t="inlineStr">
        <is>
          <t>ST-004</t>
        </is>
      </c>
      <c r="E331" s="2" t="inlineStr">
        <is>
          <t>Kaybedildi</t>
        </is>
      </c>
      <c r="F331" s="3" t="n">
        <v>14857.02</v>
      </c>
      <c r="G331" s="2" t="inlineStr">
        <is>
          <t>USD</t>
        </is>
      </c>
      <c r="H331" s="5" t="n">
        <v>1</v>
      </c>
      <c r="I331" s="2" t="n">
        <v>20</v>
      </c>
      <c r="J331" s="5" t="inlineStr">
        <is>
          <t>CIF</t>
        </is>
      </c>
      <c r="K331" s="6" t="n">
        <v>45811</v>
      </c>
      <c r="L331" s="2" t="inlineStr">
        <is>
          <t>Kaybedildi</t>
        </is>
      </c>
      <c r="M331" s="2" t="inlineStr">
        <is>
          <t>Butce Ertelendi</t>
        </is>
      </c>
    </row>
    <row r="332">
      <c r="A332" s="2" t="inlineStr">
        <is>
          <t>TKL-0331</t>
        </is>
      </c>
      <c r="B332" s="6" t="n">
        <v>45791</v>
      </c>
      <c r="C332" s="2" t="inlineStr">
        <is>
          <t>MUS-049</t>
        </is>
      </c>
      <c r="D332" s="2" t="inlineStr">
        <is>
          <t>ST-003</t>
        </is>
      </c>
      <c r="E332" s="2" t="inlineStr">
        <is>
          <t>Kaybedildi</t>
        </is>
      </c>
      <c r="F332" s="3" t="n">
        <v>18605.59</v>
      </c>
      <c r="G332" s="2" t="inlineStr">
        <is>
          <t>USD</t>
        </is>
      </c>
      <c r="H332" s="5" t="n">
        <v>1</v>
      </c>
      <c r="I332" s="2" t="n">
        <v>15</v>
      </c>
      <c r="J332" s="5" t="inlineStr">
        <is>
          <t>CIF</t>
        </is>
      </c>
      <c r="K332" s="6" t="n">
        <v>45800</v>
      </c>
      <c r="L332" s="2" t="inlineStr">
        <is>
          <t>Kaybedildi</t>
        </is>
      </c>
      <c r="M332" s="2" t="inlineStr">
        <is>
          <t>Rakipte Teknik Onay</t>
        </is>
      </c>
    </row>
    <row r="333">
      <c r="A333" s="2" t="inlineStr">
        <is>
          <t>TKL-0332</t>
        </is>
      </c>
      <c r="B333" s="6" t="n">
        <v>45802</v>
      </c>
      <c r="C333" s="2" t="inlineStr">
        <is>
          <t>MUS-033</t>
        </is>
      </c>
      <c r="D333" s="2" t="inlineStr">
        <is>
          <t>ST-006</t>
        </is>
      </c>
      <c r="E333" s="2" t="inlineStr">
        <is>
          <t>Siparise Donustu</t>
        </is>
      </c>
      <c r="F333" s="3" t="n">
        <v>71265.27</v>
      </c>
      <c r="G333" s="2" t="inlineStr">
        <is>
          <t>USD</t>
        </is>
      </c>
      <c r="H333" s="5" t="n">
        <v>1</v>
      </c>
      <c r="I333" s="2" t="n">
        <v>15</v>
      </c>
      <c r="J333" s="5" t="inlineStr">
        <is>
          <t>CFR</t>
        </is>
      </c>
      <c r="K333" s="6" t="n">
        <v>45815</v>
      </c>
      <c r="L333" s="2" t="inlineStr">
        <is>
          <t>Kazanildi</t>
        </is>
      </c>
      <c r="M333" s="2" t="inlineStr"/>
    </row>
    <row r="334">
      <c r="A334" s="2" t="inlineStr">
        <is>
          <t>TKL-0333</t>
        </is>
      </c>
      <c r="B334" s="6" t="n">
        <v>45808</v>
      </c>
      <c r="C334" s="2" t="inlineStr">
        <is>
          <t>MUS-015</t>
        </is>
      </c>
      <c r="D334" s="2" t="inlineStr">
        <is>
          <t>ST-001</t>
        </is>
      </c>
      <c r="E334" s="2" t="inlineStr">
        <is>
          <t>Siparise Donustu</t>
        </is>
      </c>
      <c r="F334" s="3" t="n">
        <v>20973.65</v>
      </c>
      <c r="G334" s="2" t="inlineStr">
        <is>
          <t>EUR</t>
        </is>
      </c>
      <c r="H334" s="5" t="n">
        <v>1.1588</v>
      </c>
      <c r="I334" s="2" t="n">
        <v>15</v>
      </c>
      <c r="J334" s="5" t="inlineStr">
        <is>
          <t>DAP</t>
        </is>
      </c>
      <c r="K334" s="6" t="n">
        <v>45819</v>
      </c>
      <c r="L334" s="2" t="inlineStr">
        <is>
          <t>Kazanildi</t>
        </is>
      </c>
      <c r="M334" s="2" t="inlineStr"/>
    </row>
    <row r="335">
      <c r="A335" s="2" t="inlineStr">
        <is>
          <t>TKL-0334</t>
        </is>
      </c>
      <c r="B335" s="6" t="n">
        <v>45796</v>
      </c>
      <c r="C335" s="2" t="inlineStr">
        <is>
          <t>MUS-041</t>
        </is>
      </c>
      <c r="D335" s="2" t="inlineStr">
        <is>
          <t>ST-001</t>
        </is>
      </c>
      <c r="E335" s="2" t="inlineStr">
        <is>
          <t>Siparise Donustu</t>
        </is>
      </c>
      <c r="F335" s="3" t="n">
        <v>22439.61</v>
      </c>
      <c r="G335" s="2" t="inlineStr">
        <is>
          <t>EUR</t>
        </is>
      </c>
      <c r="H335" s="5" t="n">
        <v>1.1588</v>
      </c>
      <c r="I335" s="2" t="n">
        <v>30</v>
      </c>
      <c r="J335" s="5" t="inlineStr">
        <is>
          <t>DAP</t>
        </is>
      </c>
      <c r="K335" s="6" t="n">
        <v>45801</v>
      </c>
      <c r="L335" s="2" t="inlineStr">
        <is>
          <t>Kazanildi</t>
        </is>
      </c>
      <c r="M335" s="2" t="inlineStr"/>
    </row>
    <row r="336">
      <c r="A336" s="2" t="inlineStr">
        <is>
          <t>TKL-0335</t>
        </is>
      </c>
      <c r="B336" s="6" t="n">
        <v>45795</v>
      </c>
      <c r="C336" s="2" t="inlineStr">
        <is>
          <t>MUS-001</t>
        </is>
      </c>
      <c r="D336" s="2" t="inlineStr">
        <is>
          <t>ST-005</t>
        </is>
      </c>
      <c r="E336" s="2" t="inlineStr">
        <is>
          <t>Beklemede</t>
        </is>
      </c>
      <c r="F336" s="3" t="n">
        <v>9841.940000000001</v>
      </c>
      <c r="G336" s="2" t="inlineStr">
        <is>
          <t>USD</t>
        </is>
      </c>
      <c r="H336" s="5" t="n">
        <v>1</v>
      </c>
      <c r="I336" s="2" t="n">
        <v>30</v>
      </c>
      <c r="J336" s="5" t="inlineStr">
        <is>
          <t>CFR</t>
        </is>
      </c>
      <c r="K336" s="6" t="n">
        <v>45811</v>
      </c>
      <c r="L336" s="2" t="inlineStr">
        <is>
          <t>Acik</t>
        </is>
      </c>
      <c r="M336" s="2" t="inlineStr"/>
    </row>
    <row r="337">
      <c r="A337" s="2" t="inlineStr">
        <is>
          <t>TKL-0336</t>
        </is>
      </c>
      <c r="B337" s="6" t="n">
        <v>45806</v>
      </c>
      <c r="C337" s="2" t="inlineStr">
        <is>
          <t>MUS-077</t>
        </is>
      </c>
      <c r="D337" s="2" t="inlineStr">
        <is>
          <t>ST-002</t>
        </is>
      </c>
      <c r="E337" s="2" t="inlineStr">
        <is>
          <t>Siparise Donustu</t>
        </is>
      </c>
      <c r="F337" s="3" t="n">
        <v>19624.41</v>
      </c>
      <c r="G337" s="2" t="inlineStr">
        <is>
          <t>EUR</t>
        </is>
      </c>
      <c r="H337" s="5" t="n">
        <v>1.1588</v>
      </c>
      <c r="I337" s="2" t="n">
        <v>20</v>
      </c>
      <c r="J337" s="5" t="inlineStr">
        <is>
          <t>DAP</t>
        </is>
      </c>
      <c r="K337" s="6" t="n">
        <v>45815</v>
      </c>
      <c r="L337" s="2" t="inlineStr">
        <is>
          <t>Kazanildi</t>
        </is>
      </c>
      <c r="M337" s="2" t="inlineStr"/>
    </row>
    <row r="338">
      <c r="A338" s="2" t="inlineStr">
        <is>
          <t>TKL-0337</t>
        </is>
      </c>
      <c r="B338" s="6" t="n">
        <v>45799</v>
      </c>
      <c r="C338" s="2" t="inlineStr">
        <is>
          <t>MUS-042</t>
        </is>
      </c>
      <c r="D338" s="2" t="inlineStr">
        <is>
          <t>ST-006</t>
        </is>
      </c>
      <c r="E338" s="2" t="inlineStr">
        <is>
          <t>Kaybedildi</t>
        </is>
      </c>
      <c r="F338" s="3" t="n">
        <v>66417.77</v>
      </c>
      <c r="G338" s="2" t="inlineStr">
        <is>
          <t>USD</t>
        </is>
      </c>
      <c r="H338" s="5" t="n">
        <v>1</v>
      </c>
      <c r="I338" s="2" t="n">
        <v>15</v>
      </c>
      <c r="J338" s="5" t="inlineStr">
        <is>
          <t>CFR</t>
        </is>
      </c>
      <c r="K338" s="6" t="n">
        <v>45808</v>
      </c>
      <c r="L338" s="2" t="inlineStr">
        <is>
          <t>Kaybedildi</t>
        </is>
      </c>
      <c r="M338" s="2" t="inlineStr">
        <is>
          <t>Termin Uzun</t>
        </is>
      </c>
    </row>
    <row r="339">
      <c r="A339" s="2" t="inlineStr">
        <is>
          <t>TKL-0338</t>
        </is>
      </c>
      <c r="B339" s="6" t="n">
        <v>45821</v>
      </c>
      <c r="C339" s="2" t="inlineStr">
        <is>
          <t>MUS-035</t>
        </is>
      </c>
      <c r="D339" s="2" t="inlineStr">
        <is>
          <t>ST-001</t>
        </is>
      </c>
      <c r="E339" s="2" t="inlineStr">
        <is>
          <t>Kaybedildi</t>
        </is>
      </c>
      <c r="F339" s="3" t="n">
        <v>26533.94</v>
      </c>
      <c r="G339" s="2" t="inlineStr">
        <is>
          <t>EUR</t>
        </is>
      </c>
      <c r="H339" s="5" t="n">
        <v>1.1299</v>
      </c>
      <c r="I339" s="2" t="n">
        <v>45</v>
      </c>
      <c r="J339" s="5" t="inlineStr">
        <is>
          <t>FCA</t>
        </is>
      </c>
      <c r="K339" s="6" t="n">
        <v>45863</v>
      </c>
      <c r="L339" s="2" t="inlineStr">
        <is>
          <t>Kaybedildi</t>
        </is>
      </c>
      <c r="M339" s="2" t="inlineStr">
        <is>
          <t>Termin Uzun</t>
        </is>
      </c>
    </row>
    <row r="340">
      <c r="A340" s="2" t="inlineStr">
        <is>
          <t>TKL-0339</t>
        </is>
      </c>
      <c r="B340" s="6" t="n">
        <v>45816</v>
      </c>
      <c r="C340" s="2" t="inlineStr">
        <is>
          <t>MUS-012</t>
        </is>
      </c>
      <c r="D340" s="2" t="inlineStr">
        <is>
          <t>ST-002</t>
        </is>
      </c>
      <c r="E340" s="2" t="inlineStr">
        <is>
          <t>Beklemede</t>
        </is>
      </c>
      <c r="F340" s="3" t="n">
        <v>47805.53</v>
      </c>
      <c r="G340" s="2" t="inlineStr">
        <is>
          <t>EUR</t>
        </is>
      </c>
      <c r="H340" s="5" t="n">
        <v>1.1299</v>
      </c>
      <c r="I340" s="2" t="n">
        <v>45</v>
      </c>
      <c r="J340" s="5" t="inlineStr">
        <is>
          <t>DAP</t>
        </is>
      </c>
      <c r="K340" s="6" t="n">
        <v>45824</v>
      </c>
      <c r="L340" s="2" t="inlineStr">
        <is>
          <t>Acik</t>
        </is>
      </c>
      <c r="M340" s="2" t="inlineStr"/>
    </row>
    <row r="341">
      <c r="A341" s="2" t="inlineStr">
        <is>
          <t>TKL-0340</t>
        </is>
      </c>
      <c r="B341" s="6" t="n">
        <v>45827</v>
      </c>
      <c r="C341" s="2" t="inlineStr">
        <is>
          <t>MUS-056</t>
        </is>
      </c>
      <c r="D341" s="2" t="inlineStr">
        <is>
          <t>ST-001</t>
        </is>
      </c>
      <c r="E341" s="2" t="inlineStr">
        <is>
          <t>Kaybedildi</t>
        </is>
      </c>
      <c r="F341" s="3" t="n">
        <v>29392.73</v>
      </c>
      <c r="G341" s="2" t="inlineStr">
        <is>
          <t>EUR</t>
        </is>
      </c>
      <c r="H341" s="5" t="n">
        <v>1.1299</v>
      </c>
      <c r="I341" s="2" t="n">
        <v>30</v>
      </c>
      <c r="J341" s="5" t="inlineStr">
        <is>
          <t>DAP</t>
        </is>
      </c>
      <c r="K341" s="6" t="n">
        <v>45849</v>
      </c>
      <c r="L341" s="2" t="inlineStr">
        <is>
          <t>Kaybedildi</t>
        </is>
      </c>
      <c r="M341" s="2" t="inlineStr">
        <is>
          <t>Fiyat Yuksek</t>
        </is>
      </c>
    </row>
    <row r="342">
      <c r="A342" s="2" t="inlineStr">
        <is>
          <t>TKL-0341</t>
        </is>
      </c>
      <c r="B342" s="6" t="n">
        <v>45834</v>
      </c>
      <c r="C342" s="2" t="inlineStr">
        <is>
          <t>MUS-084</t>
        </is>
      </c>
      <c r="D342" s="2" t="inlineStr">
        <is>
          <t>ST-001</t>
        </is>
      </c>
      <c r="E342" s="2" t="inlineStr">
        <is>
          <t>Beklemede</t>
        </is>
      </c>
      <c r="F342" s="3" t="n">
        <v>37004.2</v>
      </c>
      <c r="G342" s="2" t="inlineStr">
        <is>
          <t>EUR</t>
        </is>
      </c>
      <c r="H342" s="5" t="n">
        <v>1.1299</v>
      </c>
      <c r="I342" s="2" t="n">
        <v>15</v>
      </c>
      <c r="J342" s="5" t="inlineStr">
        <is>
          <t>DAP</t>
        </is>
      </c>
      <c r="K342" s="6" t="n">
        <v>45848</v>
      </c>
      <c r="L342" s="2" t="inlineStr">
        <is>
          <t>Acik</t>
        </is>
      </c>
      <c r="M342" s="2" t="inlineStr"/>
    </row>
    <row r="343">
      <c r="A343" s="2" t="inlineStr">
        <is>
          <t>TKL-0342</t>
        </is>
      </c>
      <c r="B343" s="6" t="n">
        <v>45811</v>
      </c>
      <c r="C343" s="2" t="inlineStr">
        <is>
          <t>MUS-078</t>
        </is>
      </c>
      <c r="D343" s="2" t="inlineStr">
        <is>
          <t>ST-001</t>
        </is>
      </c>
      <c r="E343" s="2" t="inlineStr">
        <is>
          <t>Siparise Donustu</t>
        </is>
      </c>
      <c r="F343" s="3" t="n">
        <v>16290.71</v>
      </c>
      <c r="G343" s="2" t="inlineStr">
        <is>
          <t>EUR</t>
        </is>
      </c>
      <c r="H343" s="5" t="n">
        <v>1.1299</v>
      </c>
      <c r="I343" s="2" t="n">
        <v>15</v>
      </c>
      <c r="J343" s="5" t="inlineStr">
        <is>
          <t>DAP</t>
        </is>
      </c>
      <c r="K343" s="6" t="n">
        <v>45822</v>
      </c>
      <c r="L343" s="2" t="inlineStr">
        <is>
          <t>Kazanildi</t>
        </is>
      </c>
      <c r="M343" s="2" t="inlineStr"/>
    </row>
    <row r="344">
      <c r="A344" s="2" t="inlineStr">
        <is>
          <t>TKL-0343</t>
        </is>
      </c>
      <c r="B344" s="6" t="n">
        <v>45834</v>
      </c>
      <c r="C344" s="2" t="inlineStr">
        <is>
          <t>MUS-029</t>
        </is>
      </c>
      <c r="D344" s="2" t="inlineStr">
        <is>
          <t>ST-006</t>
        </is>
      </c>
      <c r="E344" s="2" t="inlineStr">
        <is>
          <t>Beklemede</t>
        </is>
      </c>
      <c r="F344" s="3" t="n">
        <v>99563.06</v>
      </c>
      <c r="G344" s="2" t="inlineStr">
        <is>
          <t>USD</t>
        </is>
      </c>
      <c r="H344" s="5" t="n">
        <v>1</v>
      </c>
      <c r="I344" s="2" t="n">
        <v>30</v>
      </c>
      <c r="J344" s="5" t="inlineStr">
        <is>
          <t>CFR</t>
        </is>
      </c>
      <c r="K344" s="6" t="n">
        <v>45842</v>
      </c>
      <c r="L344" s="2" t="inlineStr">
        <is>
          <t>Acik</t>
        </is>
      </c>
      <c r="M344" s="2" t="inlineStr"/>
    </row>
    <row r="345">
      <c r="A345" s="2" t="inlineStr">
        <is>
          <t>TKL-0344</t>
        </is>
      </c>
      <c r="B345" s="6" t="n">
        <v>45829</v>
      </c>
      <c r="C345" s="2" t="inlineStr">
        <is>
          <t>MUS-033</t>
        </is>
      </c>
      <c r="D345" s="2" t="inlineStr">
        <is>
          <t>ST-005</t>
        </is>
      </c>
      <c r="E345" s="2" t="inlineStr">
        <is>
          <t>Kaybedildi</t>
        </is>
      </c>
      <c r="F345" s="3" t="n">
        <v>37200.53</v>
      </c>
      <c r="G345" s="2" t="inlineStr">
        <is>
          <t>USD</t>
        </is>
      </c>
      <c r="H345" s="5" t="n">
        <v>1</v>
      </c>
      <c r="I345" s="2" t="n">
        <v>15</v>
      </c>
      <c r="J345" s="5" t="inlineStr">
        <is>
          <t>CFR</t>
        </is>
      </c>
      <c r="K345" s="6" t="n">
        <v>45844</v>
      </c>
      <c r="L345" s="2" t="inlineStr">
        <is>
          <t>Kaybedildi</t>
        </is>
      </c>
      <c r="M345" s="2" t="inlineStr">
        <is>
          <t>Termin Uzun</t>
        </is>
      </c>
    </row>
    <row r="346">
      <c r="A346" s="2" t="inlineStr">
        <is>
          <t>TKL-0345</t>
        </is>
      </c>
      <c r="B346" s="6" t="n">
        <v>45837</v>
      </c>
      <c r="C346" s="2" t="inlineStr">
        <is>
          <t>MUS-025</t>
        </is>
      </c>
      <c r="D346" s="2" t="inlineStr">
        <is>
          <t>ST-001</t>
        </is>
      </c>
      <c r="E346" s="2" t="inlineStr">
        <is>
          <t>Kaybedildi</t>
        </is>
      </c>
      <c r="F346" s="3" t="n">
        <v>19251.76</v>
      </c>
      <c r="G346" s="2" t="inlineStr">
        <is>
          <t>EUR</t>
        </is>
      </c>
      <c r="H346" s="5" t="n">
        <v>1.1299</v>
      </c>
      <c r="I346" s="2" t="n">
        <v>30</v>
      </c>
      <c r="J346" s="5" t="inlineStr">
        <is>
          <t>DAP</t>
        </is>
      </c>
      <c r="K346" s="6" t="n">
        <v>45844</v>
      </c>
      <c r="L346" s="2" t="inlineStr">
        <is>
          <t>Kaybedildi</t>
        </is>
      </c>
      <c r="M346" s="2" t="inlineStr">
        <is>
          <t>Fiyat Yuksek</t>
        </is>
      </c>
    </row>
    <row r="347">
      <c r="A347" s="2" t="inlineStr">
        <is>
          <t>TKL-0346</t>
        </is>
      </c>
      <c r="B347" s="6" t="n">
        <v>45815</v>
      </c>
      <c r="C347" s="2" t="inlineStr">
        <is>
          <t>MUS-071</t>
        </is>
      </c>
      <c r="D347" s="2" t="inlineStr">
        <is>
          <t>ST-008</t>
        </is>
      </c>
      <c r="E347" s="2" t="inlineStr">
        <is>
          <t>Siparise Donustu</t>
        </is>
      </c>
      <c r="F347" s="3" t="n">
        <v>22525.92</v>
      </c>
      <c r="G347" s="2" t="inlineStr">
        <is>
          <t>USD</t>
        </is>
      </c>
      <c r="H347" s="5" t="n">
        <v>1</v>
      </c>
      <c r="I347" s="2" t="n">
        <v>15</v>
      </c>
      <c r="J347" s="5" t="inlineStr">
        <is>
          <t>FCA</t>
        </is>
      </c>
      <c r="K347" s="6" t="n">
        <v>45821</v>
      </c>
      <c r="L347" s="2" t="inlineStr">
        <is>
          <t>Kazanildi</t>
        </is>
      </c>
      <c r="M347" s="2" t="inlineStr"/>
    </row>
    <row r="348">
      <c r="A348" s="2" t="inlineStr">
        <is>
          <t>TKL-0347</t>
        </is>
      </c>
      <c r="B348" s="6" t="n">
        <v>45812</v>
      </c>
      <c r="C348" s="2" t="inlineStr">
        <is>
          <t>MUS-052</t>
        </is>
      </c>
      <c r="D348" s="2" t="inlineStr">
        <is>
          <t>ST-008</t>
        </is>
      </c>
      <c r="E348" s="2" t="inlineStr">
        <is>
          <t>Siparise Donustu</t>
        </is>
      </c>
      <c r="F348" s="3" t="n">
        <v>56845.82</v>
      </c>
      <c r="G348" s="2" t="inlineStr">
        <is>
          <t>USD</t>
        </is>
      </c>
      <c r="H348" s="5" t="n">
        <v>1</v>
      </c>
      <c r="I348" s="2" t="n">
        <v>30</v>
      </c>
      <c r="J348" s="5" t="inlineStr">
        <is>
          <t>FCA</t>
        </is>
      </c>
      <c r="K348" s="6" t="n">
        <v>45826</v>
      </c>
      <c r="L348" s="2" t="inlineStr">
        <is>
          <t>Kazanildi</t>
        </is>
      </c>
      <c r="M348" s="2" t="inlineStr"/>
    </row>
    <row r="349">
      <c r="A349" s="2" t="inlineStr">
        <is>
          <t>TKL-0348</t>
        </is>
      </c>
      <c r="B349" s="6" t="n">
        <v>45821</v>
      </c>
      <c r="C349" s="2" t="inlineStr">
        <is>
          <t>MUS-076</t>
        </is>
      </c>
      <c r="D349" s="2" t="inlineStr">
        <is>
          <t>ST-001</t>
        </is>
      </c>
      <c r="E349" s="2" t="inlineStr">
        <is>
          <t>Siparise Donustu</t>
        </is>
      </c>
      <c r="F349" s="3" t="n">
        <v>45682.82</v>
      </c>
      <c r="G349" s="2" t="inlineStr">
        <is>
          <t>EUR</t>
        </is>
      </c>
      <c r="H349" s="5" t="n">
        <v>1.1299</v>
      </c>
      <c r="I349" s="2" t="n">
        <v>20</v>
      </c>
      <c r="J349" s="5" t="inlineStr">
        <is>
          <t>DAP</t>
        </is>
      </c>
      <c r="K349" s="6" t="n">
        <v>45840</v>
      </c>
      <c r="L349" s="2" t="inlineStr">
        <is>
          <t>Kazanildi</t>
        </is>
      </c>
      <c r="M349" s="2" t="inlineStr"/>
    </row>
    <row r="350">
      <c r="A350" s="2" t="inlineStr">
        <is>
          <t>TKL-0349</t>
        </is>
      </c>
      <c r="B350" s="6" t="n">
        <v>45814</v>
      </c>
      <c r="C350" s="2" t="inlineStr">
        <is>
          <t>MUS-066</t>
        </is>
      </c>
      <c r="D350" s="2" t="inlineStr">
        <is>
          <t>ST-008</t>
        </is>
      </c>
      <c r="E350" s="2" t="inlineStr">
        <is>
          <t>Siparise Donustu</t>
        </is>
      </c>
      <c r="F350" s="3" t="n">
        <v>31185.46</v>
      </c>
      <c r="G350" s="2" t="inlineStr">
        <is>
          <t>USD</t>
        </is>
      </c>
      <c r="H350" s="5" t="n">
        <v>1</v>
      </c>
      <c r="I350" s="2" t="n">
        <v>45</v>
      </c>
      <c r="J350" s="5" t="inlineStr">
        <is>
          <t>FCA</t>
        </is>
      </c>
      <c r="K350" s="6" t="n">
        <v>45848</v>
      </c>
      <c r="L350" s="2" t="inlineStr">
        <is>
          <t>Kazanildi</t>
        </is>
      </c>
      <c r="M350" s="2" t="inlineStr"/>
    </row>
    <row r="351">
      <c r="A351" s="2" t="inlineStr">
        <is>
          <t>TKL-0350</t>
        </is>
      </c>
      <c r="B351" s="6" t="n">
        <v>45816</v>
      </c>
      <c r="C351" s="2" t="inlineStr">
        <is>
          <t>MUS-071</t>
        </is>
      </c>
      <c r="D351" s="2" t="inlineStr">
        <is>
          <t>ST-007</t>
        </is>
      </c>
      <c r="E351" s="2" t="inlineStr">
        <is>
          <t>Kaybedildi</t>
        </is>
      </c>
      <c r="F351" s="3" t="n">
        <v>31068.1</v>
      </c>
      <c r="G351" s="2" t="inlineStr">
        <is>
          <t>USD</t>
        </is>
      </c>
      <c r="H351" s="5" t="n">
        <v>1</v>
      </c>
      <c r="I351" s="2" t="n">
        <v>30</v>
      </c>
      <c r="J351" s="5" t="inlineStr">
        <is>
          <t>FCA</t>
        </is>
      </c>
      <c r="K351" s="6" t="n">
        <v>45846</v>
      </c>
      <c r="L351" s="2" t="inlineStr">
        <is>
          <t>Kaybedildi</t>
        </is>
      </c>
      <c r="M351" s="2" t="inlineStr">
        <is>
          <t>Fiyat Yuksek</t>
        </is>
      </c>
    </row>
    <row r="352">
      <c r="A352" s="2" t="inlineStr">
        <is>
          <t>TKL-0351</t>
        </is>
      </c>
      <c r="B352" s="6" t="n">
        <v>45828</v>
      </c>
      <c r="C352" s="2" t="inlineStr">
        <is>
          <t>MUS-061</t>
        </is>
      </c>
      <c r="D352" s="2" t="inlineStr">
        <is>
          <t>ST-007</t>
        </is>
      </c>
      <c r="E352" s="2" t="inlineStr">
        <is>
          <t>Siparise Donustu</t>
        </is>
      </c>
      <c r="F352" s="3" t="n">
        <v>53226.76</v>
      </c>
      <c r="G352" s="2" t="inlineStr">
        <is>
          <t>USD</t>
        </is>
      </c>
      <c r="H352" s="5" t="n">
        <v>1</v>
      </c>
      <c r="I352" s="2" t="n">
        <v>15</v>
      </c>
      <c r="J352" s="5" t="inlineStr">
        <is>
          <t>FCA</t>
        </is>
      </c>
      <c r="K352" s="6" t="n">
        <v>45842</v>
      </c>
      <c r="L352" s="2" t="inlineStr">
        <is>
          <t>Kazanildi</t>
        </is>
      </c>
      <c r="M352" s="2" t="inlineStr"/>
    </row>
    <row r="353">
      <c r="A353" s="2" t="inlineStr">
        <is>
          <t>TKL-0352</t>
        </is>
      </c>
      <c r="B353" s="6" t="n">
        <v>45827</v>
      </c>
      <c r="C353" s="2" t="inlineStr">
        <is>
          <t>MUS-066</t>
        </is>
      </c>
      <c r="D353" s="2" t="inlineStr">
        <is>
          <t>ST-008</t>
        </is>
      </c>
      <c r="E353" s="2" t="inlineStr">
        <is>
          <t>Siparise Donustu</t>
        </is>
      </c>
      <c r="F353" s="3" t="n">
        <v>37281.94</v>
      </c>
      <c r="G353" s="2" t="inlineStr">
        <is>
          <t>USD</t>
        </is>
      </c>
      <c r="H353" s="5" t="n">
        <v>1</v>
      </c>
      <c r="I353" s="2" t="n">
        <v>45</v>
      </c>
      <c r="J353" s="5" t="inlineStr">
        <is>
          <t>FCA</t>
        </is>
      </c>
      <c r="K353" s="6" t="n">
        <v>45840</v>
      </c>
      <c r="L353" s="2" t="inlineStr">
        <is>
          <t>Kazanildi</t>
        </is>
      </c>
      <c r="M353" s="2" t="inlineStr"/>
    </row>
    <row r="354">
      <c r="A354" s="2" t="inlineStr">
        <is>
          <t>TKL-0353</t>
        </is>
      </c>
      <c r="B354" s="6" t="n">
        <v>45810</v>
      </c>
      <c r="C354" s="2" t="inlineStr">
        <is>
          <t>MUS-009</t>
        </is>
      </c>
      <c r="D354" s="2" t="inlineStr">
        <is>
          <t>ST-002</t>
        </is>
      </c>
      <c r="E354" s="2" t="inlineStr">
        <is>
          <t>Kaybedildi</t>
        </is>
      </c>
      <c r="F354" s="3" t="n">
        <v>29016.88</v>
      </c>
      <c r="G354" s="2" t="inlineStr">
        <is>
          <t>EUR</t>
        </is>
      </c>
      <c r="H354" s="5" t="n">
        <v>1.1299</v>
      </c>
      <c r="I354" s="2" t="n">
        <v>20</v>
      </c>
      <c r="J354" s="5" t="inlineStr">
        <is>
          <t>DAP</t>
        </is>
      </c>
      <c r="K354" s="6" t="n">
        <v>45821</v>
      </c>
      <c r="L354" s="2" t="inlineStr">
        <is>
          <t>Kaybedildi</t>
        </is>
      </c>
      <c r="M354" s="2" t="inlineStr">
        <is>
          <t>Butce Ertelendi</t>
        </is>
      </c>
    </row>
    <row r="355">
      <c r="A355" s="2" t="inlineStr">
        <is>
          <t>TKL-0354</t>
        </is>
      </c>
      <c r="B355" s="6" t="n">
        <v>45822</v>
      </c>
      <c r="C355" s="2" t="inlineStr">
        <is>
          <t>MUS-031</t>
        </is>
      </c>
      <c r="D355" s="2" t="inlineStr">
        <is>
          <t>ST-001</t>
        </is>
      </c>
      <c r="E355" s="2" t="inlineStr">
        <is>
          <t>Kaybedildi</t>
        </is>
      </c>
      <c r="F355" s="3" t="n">
        <v>9756.450000000001</v>
      </c>
      <c r="G355" s="2" t="inlineStr">
        <is>
          <t>EUR</t>
        </is>
      </c>
      <c r="H355" s="5" t="n">
        <v>1.1299</v>
      </c>
      <c r="I355" s="2" t="n">
        <v>30</v>
      </c>
      <c r="J355" s="5" t="inlineStr">
        <is>
          <t>DAP</t>
        </is>
      </c>
      <c r="K355" s="6" t="n">
        <v>45834</v>
      </c>
      <c r="L355" s="2" t="inlineStr">
        <is>
          <t>Kaybedildi</t>
        </is>
      </c>
      <c r="M355" s="2" t="inlineStr">
        <is>
          <t>Rakipte Teknik Onay</t>
        </is>
      </c>
    </row>
    <row r="356">
      <c r="A356" s="2" t="inlineStr">
        <is>
          <t>TKL-0355</t>
        </is>
      </c>
      <c r="B356" s="6" t="n">
        <v>45831</v>
      </c>
      <c r="C356" s="2" t="inlineStr">
        <is>
          <t>MUS-067</t>
        </is>
      </c>
      <c r="D356" s="2" t="inlineStr">
        <is>
          <t>ST-003</t>
        </is>
      </c>
      <c r="E356" s="2" t="inlineStr">
        <is>
          <t>Siparise Donustu</t>
        </is>
      </c>
      <c r="F356" s="3" t="n">
        <v>85607.83</v>
      </c>
      <c r="G356" s="2" t="inlineStr">
        <is>
          <t>USD</t>
        </is>
      </c>
      <c r="H356" s="5" t="n">
        <v>1</v>
      </c>
      <c r="I356" s="2" t="n">
        <v>30</v>
      </c>
      <c r="J356" s="5" t="inlineStr">
        <is>
          <t>CIF</t>
        </is>
      </c>
      <c r="K356" s="6" t="n">
        <v>45848</v>
      </c>
      <c r="L356" s="2" t="inlineStr">
        <is>
          <t>Kazanildi</t>
        </is>
      </c>
      <c r="M356" s="2" t="inlineStr"/>
    </row>
    <row r="357">
      <c r="A357" s="2" t="inlineStr">
        <is>
          <t>TKL-0356</t>
        </is>
      </c>
      <c r="B357" s="6" t="n">
        <v>45814</v>
      </c>
      <c r="C357" s="2" t="inlineStr">
        <is>
          <t>MUS-024</t>
        </is>
      </c>
      <c r="D357" s="2" t="inlineStr">
        <is>
          <t>ST-003</t>
        </is>
      </c>
      <c r="E357" s="2" t="inlineStr">
        <is>
          <t>Kaybedildi</t>
        </is>
      </c>
      <c r="F357" s="3" t="n">
        <v>15072.01</v>
      </c>
      <c r="G357" s="2" t="inlineStr">
        <is>
          <t>USD</t>
        </is>
      </c>
      <c r="H357" s="5" t="n">
        <v>1</v>
      </c>
      <c r="I357" s="2" t="n">
        <v>30</v>
      </c>
      <c r="J357" s="5" t="inlineStr">
        <is>
          <t>CIF</t>
        </is>
      </c>
      <c r="K357" s="6" t="n">
        <v>45842</v>
      </c>
      <c r="L357" s="2" t="inlineStr">
        <is>
          <t>Kaybedildi</t>
        </is>
      </c>
      <c r="M357" s="2" t="inlineStr">
        <is>
          <t>Rakipte Teknik Onay</t>
        </is>
      </c>
    </row>
    <row r="358">
      <c r="A358" s="2" t="inlineStr">
        <is>
          <t>TKL-0357</t>
        </is>
      </c>
      <c r="B358" s="6" t="n">
        <v>45836</v>
      </c>
      <c r="C358" s="2" t="inlineStr">
        <is>
          <t>MUS-043</t>
        </is>
      </c>
      <c r="D358" s="2" t="inlineStr">
        <is>
          <t>ST-002</t>
        </is>
      </c>
      <c r="E358" s="2" t="inlineStr">
        <is>
          <t>Siparise Donustu</t>
        </is>
      </c>
      <c r="F358" s="3" t="n">
        <v>71513.49000000001</v>
      </c>
      <c r="G358" s="2" t="inlineStr">
        <is>
          <t>EUR</t>
        </is>
      </c>
      <c r="H358" s="5" t="n">
        <v>1.1299</v>
      </c>
      <c r="I358" s="2" t="n">
        <v>45</v>
      </c>
      <c r="J358" s="5" t="inlineStr">
        <is>
          <t>DAP</t>
        </is>
      </c>
      <c r="K358" s="6" t="n">
        <v>45852</v>
      </c>
      <c r="L358" s="2" t="inlineStr">
        <is>
          <t>Kazanildi</t>
        </is>
      </c>
      <c r="M358" s="2" t="inlineStr"/>
    </row>
    <row r="359">
      <c r="A359" s="2" t="inlineStr">
        <is>
          <t>TKL-0358</t>
        </is>
      </c>
      <c r="B359" s="6" t="n">
        <v>45851</v>
      </c>
      <c r="C359" s="2" t="inlineStr">
        <is>
          <t>MUS-063</t>
        </is>
      </c>
      <c r="D359" s="2" t="inlineStr">
        <is>
          <t>ST-001</t>
        </is>
      </c>
      <c r="E359" s="2" t="inlineStr">
        <is>
          <t>Siparise Donustu</t>
        </is>
      </c>
      <c r="F359" s="3" t="n">
        <v>36251.22</v>
      </c>
      <c r="G359" s="2" t="inlineStr">
        <is>
          <t>EUR</t>
        </is>
      </c>
      <c r="H359" s="5" t="n">
        <v>1.137</v>
      </c>
      <c r="I359" s="2" t="n">
        <v>45</v>
      </c>
      <c r="J359" s="5" t="inlineStr">
        <is>
          <t>DAP</t>
        </is>
      </c>
      <c r="K359" s="6" t="n">
        <v>45881</v>
      </c>
      <c r="L359" s="2" t="inlineStr">
        <is>
          <t>Kazanildi</t>
        </is>
      </c>
      <c r="M359" s="2" t="inlineStr"/>
    </row>
    <row r="360">
      <c r="A360" s="2" t="inlineStr">
        <is>
          <t>TKL-0359</t>
        </is>
      </c>
      <c r="B360" s="6" t="n">
        <v>45848</v>
      </c>
      <c r="C360" s="2" t="inlineStr">
        <is>
          <t>MUS-048</t>
        </is>
      </c>
      <c r="D360" s="2" t="inlineStr">
        <is>
          <t>ST-002</t>
        </is>
      </c>
      <c r="E360" s="2" t="inlineStr">
        <is>
          <t>Kaybedildi</t>
        </is>
      </c>
      <c r="F360" s="3" t="n">
        <v>5516.19</v>
      </c>
      <c r="G360" s="2" t="inlineStr">
        <is>
          <t>EUR</t>
        </is>
      </c>
      <c r="H360" s="5" t="n">
        <v>1.137</v>
      </c>
      <c r="I360" s="2" t="n">
        <v>20</v>
      </c>
      <c r="J360" s="5" t="inlineStr">
        <is>
          <t>DAP</t>
        </is>
      </c>
      <c r="K360" s="6" t="n">
        <v>45857</v>
      </c>
      <c r="L360" s="2" t="inlineStr">
        <is>
          <t>Kaybedildi</t>
        </is>
      </c>
      <c r="M360" s="2" t="inlineStr">
        <is>
          <t>Fiyat Yuksek</t>
        </is>
      </c>
    </row>
    <row r="361">
      <c r="A361" s="2" t="inlineStr">
        <is>
          <t>TKL-0360</t>
        </is>
      </c>
      <c r="B361" s="6" t="n">
        <v>45850</v>
      </c>
      <c r="C361" s="2" t="inlineStr">
        <is>
          <t>MUS-072</t>
        </is>
      </c>
      <c r="D361" s="2" t="inlineStr">
        <is>
          <t>ST-002</t>
        </is>
      </c>
      <c r="E361" s="2" t="inlineStr">
        <is>
          <t>Beklemede</t>
        </is>
      </c>
      <c r="F361" s="3" t="n">
        <v>20929.59</v>
      </c>
      <c r="G361" s="2" t="inlineStr">
        <is>
          <t>EUR</t>
        </is>
      </c>
      <c r="H361" s="5" t="n">
        <v>1.137</v>
      </c>
      <c r="I361" s="2" t="n">
        <v>45</v>
      </c>
      <c r="J361" s="5" t="inlineStr">
        <is>
          <t>DAP</t>
        </is>
      </c>
      <c r="K361" s="6" t="n">
        <v>45888</v>
      </c>
      <c r="L361" s="2" t="inlineStr">
        <is>
          <t>Acik</t>
        </is>
      </c>
      <c r="M361" s="2" t="inlineStr"/>
    </row>
    <row r="362">
      <c r="A362" s="2" t="inlineStr">
        <is>
          <t>TKL-0361</t>
        </is>
      </c>
      <c r="B362" s="6" t="n">
        <v>45867</v>
      </c>
      <c r="C362" s="2" t="inlineStr">
        <is>
          <t>MUS-038</t>
        </is>
      </c>
      <c r="D362" s="2" t="inlineStr">
        <is>
          <t>ST-003</t>
        </is>
      </c>
      <c r="E362" s="2" t="inlineStr">
        <is>
          <t>Kaybedildi</t>
        </is>
      </c>
      <c r="F362" s="3" t="n">
        <v>15258.51</v>
      </c>
      <c r="G362" s="2" t="inlineStr">
        <is>
          <t>USD</t>
        </is>
      </c>
      <c r="H362" s="5" t="n">
        <v>1</v>
      </c>
      <c r="I362" s="2" t="n">
        <v>45</v>
      </c>
      <c r="J362" s="5" t="inlineStr">
        <is>
          <t>CIF</t>
        </is>
      </c>
      <c r="K362" s="6" t="n">
        <v>45912</v>
      </c>
      <c r="L362" s="2" t="inlineStr">
        <is>
          <t>Kaybedildi</t>
        </is>
      </c>
      <c r="M362" s="2" t="inlineStr">
        <is>
          <t>Fiyat Yuksek</t>
        </is>
      </c>
    </row>
    <row r="363">
      <c r="A363" s="2" t="inlineStr">
        <is>
          <t>TKL-0362</t>
        </is>
      </c>
      <c r="B363" s="6" t="n">
        <v>45841</v>
      </c>
      <c r="C363" s="2" t="inlineStr">
        <is>
          <t>MUS-019</t>
        </is>
      </c>
      <c r="D363" s="2" t="inlineStr">
        <is>
          <t>ST-003</t>
        </is>
      </c>
      <c r="E363" s="2" t="inlineStr">
        <is>
          <t>Kaybedildi</t>
        </is>
      </c>
      <c r="F363" s="3" t="n">
        <v>5047.92</v>
      </c>
      <c r="G363" s="2" t="inlineStr">
        <is>
          <t>USD</t>
        </is>
      </c>
      <c r="H363" s="5" t="n">
        <v>1</v>
      </c>
      <c r="I363" s="2" t="n">
        <v>45</v>
      </c>
      <c r="J363" s="5" t="inlineStr">
        <is>
          <t>CIF</t>
        </is>
      </c>
      <c r="K363" s="6" t="n">
        <v>45881</v>
      </c>
      <c r="L363" s="2" t="inlineStr">
        <is>
          <t>Kaybedildi</t>
        </is>
      </c>
      <c r="M363" s="2" t="inlineStr">
        <is>
          <t>Termin Uzun</t>
        </is>
      </c>
    </row>
    <row r="364">
      <c r="A364" s="2" t="inlineStr">
        <is>
          <t>TKL-0363</t>
        </is>
      </c>
      <c r="B364" s="6" t="n">
        <v>45852</v>
      </c>
      <c r="C364" s="2" t="inlineStr">
        <is>
          <t>MUS-009</t>
        </is>
      </c>
      <c r="D364" s="2" t="inlineStr">
        <is>
          <t>ST-001</t>
        </is>
      </c>
      <c r="E364" s="2" t="inlineStr">
        <is>
          <t>Beklemede</t>
        </is>
      </c>
      <c r="F364" s="3" t="n">
        <v>57057.6</v>
      </c>
      <c r="G364" s="2" t="inlineStr">
        <is>
          <t>EUR</t>
        </is>
      </c>
      <c r="H364" s="5" t="n">
        <v>1.137</v>
      </c>
      <c r="I364" s="2" t="n">
        <v>30</v>
      </c>
      <c r="J364" s="5" t="inlineStr">
        <is>
          <t>DAP</t>
        </is>
      </c>
      <c r="K364" s="6" t="n">
        <v>45875</v>
      </c>
      <c r="L364" s="2" t="inlineStr">
        <is>
          <t>Acik</t>
        </is>
      </c>
      <c r="M364" s="2" t="inlineStr"/>
    </row>
    <row r="365">
      <c r="A365" s="2" t="inlineStr">
        <is>
          <t>TKL-0364</t>
        </is>
      </c>
      <c r="B365" s="6" t="n">
        <v>45850</v>
      </c>
      <c r="C365" s="2" t="inlineStr">
        <is>
          <t>MUS-078</t>
        </is>
      </c>
      <c r="D365" s="2" t="inlineStr">
        <is>
          <t>ST-002</t>
        </is>
      </c>
      <c r="E365" s="2" t="inlineStr">
        <is>
          <t>Kaybedildi</t>
        </is>
      </c>
      <c r="F365" s="3" t="n">
        <v>21363.11</v>
      </c>
      <c r="G365" s="2" t="inlineStr">
        <is>
          <t>EUR</t>
        </is>
      </c>
      <c r="H365" s="5" t="n">
        <v>1.137</v>
      </c>
      <c r="I365" s="2" t="n">
        <v>30</v>
      </c>
      <c r="J365" s="5" t="inlineStr">
        <is>
          <t>DAP</t>
        </is>
      </c>
      <c r="K365" s="6" t="n">
        <v>45871</v>
      </c>
      <c r="L365" s="2" t="inlineStr">
        <is>
          <t>Kaybedildi</t>
        </is>
      </c>
      <c r="M365" s="2" t="inlineStr">
        <is>
          <t>Termin Uzun</t>
        </is>
      </c>
    </row>
    <row r="366">
      <c r="A366" s="2" t="inlineStr">
        <is>
          <t>TKL-0365</t>
        </is>
      </c>
      <c r="B366" s="6" t="n">
        <v>45863</v>
      </c>
      <c r="C366" s="2" t="inlineStr">
        <is>
          <t>MUS-074</t>
        </is>
      </c>
      <c r="D366" s="2" t="inlineStr">
        <is>
          <t>ST-007</t>
        </is>
      </c>
      <c r="E366" s="2" t="inlineStr">
        <is>
          <t>Kaybedildi</t>
        </is>
      </c>
      <c r="F366" s="3" t="n">
        <v>32615.84</v>
      </c>
      <c r="G366" s="2" t="inlineStr">
        <is>
          <t>USD</t>
        </is>
      </c>
      <c r="H366" s="5" t="n">
        <v>1</v>
      </c>
      <c r="I366" s="2" t="n">
        <v>30</v>
      </c>
      <c r="J366" s="5" t="inlineStr">
        <is>
          <t>FCA</t>
        </is>
      </c>
      <c r="K366" s="6" t="n">
        <v>45883</v>
      </c>
      <c r="L366" s="2" t="inlineStr">
        <is>
          <t>Kaybedildi</t>
        </is>
      </c>
      <c r="M366" s="2" t="inlineStr">
        <is>
          <t>Fiyat Yuksek</t>
        </is>
      </c>
    </row>
    <row r="367">
      <c r="A367" s="2" t="inlineStr">
        <is>
          <t>TKL-0366</t>
        </is>
      </c>
      <c r="B367" s="6" t="n">
        <v>45857</v>
      </c>
      <c r="C367" s="2" t="inlineStr">
        <is>
          <t>MUS-051</t>
        </is>
      </c>
      <c r="D367" s="2" t="inlineStr">
        <is>
          <t>ST-002</t>
        </is>
      </c>
      <c r="E367" s="2" t="inlineStr">
        <is>
          <t>Kaybedildi</t>
        </is>
      </c>
      <c r="F367" s="3" t="n">
        <v>44577.18</v>
      </c>
      <c r="G367" s="2" t="inlineStr">
        <is>
          <t>EUR</t>
        </is>
      </c>
      <c r="H367" s="5" t="n">
        <v>1.137</v>
      </c>
      <c r="I367" s="2" t="n">
        <v>30</v>
      </c>
      <c r="J367" s="5" t="inlineStr">
        <is>
          <t>DAP</t>
        </is>
      </c>
      <c r="K367" s="6" t="n">
        <v>45866</v>
      </c>
      <c r="L367" s="2" t="inlineStr">
        <is>
          <t>Kaybedildi</t>
        </is>
      </c>
      <c r="M367" s="2" t="inlineStr">
        <is>
          <t>Fiyat Yuksek</t>
        </is>
      </c>
    </row>
    <row r="368">
      <c r="A368" s="2" t="inlineStr">
        <is>
          <t>TKL-0367</t>
        </is>
      </c>
      <c r="B368" s="6" t="n">
        <v>45844</v>
      </c>
      <c r="C368" s="2" t="inlineStr">
        <is>
          <t>MUS-028</t>
        </is>
      </c>
      <c r="D368" s="2" t="inlineStr">
        <is>
          <t>ST-002</t>
        </is>
      </c>
      <c r="E368" s="2" t="inlineStr">
        <is>
          <t>Siparise Donustu</t>
        </is>
      </c>
      <c r="F368" s="3" t="n">
        <v>15330.57</v>
      </c>
      <c r="G368" s="2" t="inlineStr">
        <is>
          <t>EUR</t>
        </is>
      </c>
      <c r="H368" s="5" t="n">
        <v>1.137</v>
      </c>
      <c r="I368" s="2" t="n">
        <v>15</v>
      </c>
      <c r="J368" s="5" t="inlineStr">
        <is>
          <t>DAP</t>
        </is>
      </c>
      <c r="K368" s="6" t="n">
        <v>45859</v>
      </c>
      <c r="L368" s="2" t="inlineStr">
        <is>
          <t>Kazanildi</t>
        </is>
      </c>
      <c r="M368" s="2" t="inlineStr"/>
    </row>
    <row r="369">
      <c r="A369" s="2" t="inlineStr">
        <is>
          <t>TKL-0368</t>
        </is>
      </c>
      <c r="B369" s="6" t="n">
        <v>45869</v>
      </c>
      <c r="C369" s="2" t="inlineStr">
        <is>
          <t>MUS-050</t>
        </is>
      </c>
      <c r="D369" s="2" t="inlineStr">
        <is>
          <t>ST-003</t>
        </is>
      </c>
      <c r="E369" s="2" t="inlineStr">
        <is>
          <t>Kaybedildi</t>
        </is>
      </c>
      <c r="F369" s="3" t="n">
        <v>45781.75</v>
      </c>
      <c r="G369" s="2" t="inlineStr">
        <is>
          <t>USD</t>
        </is>
      </c>
      <c r="H369" s="5" t="n">
        <v>1</v>
      </c>
      <c r="I369" s="2" t="n">
        <v>45</v>
      </c>
      <c r="J369" s="5" t="inlineStr">
        <is>
          <t>CIF</t>
        </is>
      </c>
      <c r="K369" s="6" t="n">
        <v>45899</v>
      </c>
      <c r="L369" s="2" t="inlineStr">
        <is>
          <t>Kaybedildi</t>
        </is>
      </c>
      <c r="M369" s="2" t="inlineStr">
        <is>
          <t>Rakipte Teknik Onay</t>
        </is>
      </c>
    </row>
    <row r="370">
      <c r="A370" s="2" t="inlineStr">
        <is>
          <t>TKL-0369</t>
        </is>
      </c>
      <c r="B370" s="6" t="n">
        <v>45840</v>
      </c>
      <c r="C370" s="2" t="inlineStr">
        <is>
          <t>MUS-024</t>
        </is>
      </c>
      <c r="D370" s="2" t="inlineStr">
        <is>
          <t>ST-004</t>
        </is>
      </c>
      <c r="E370" s="2" t="inlineStr">
        <is>
          <t>Beklemede</t>
        </is>
      </c>
      <c r="F370" s="3" t="n">
        <v>35601.23</v>
      </c>
      <c r="G370" s="2" t="inlineStr">
        <is>
          <t>USD</t>
        </is>
      </c>
      <c r="H370" s="5" t="n">
        <v>1</v>
      </c>
      <c r="I370" s="2" t="n">
        <v>15</v>
      </c>
      <c r="J370" s="5" t="inlineStr">
        <is>
          <t>CIF</t>
        </is>
      </c>
      <c r="K370" s="6" t="n">
        <v>45852</v>
      </c>
      <c r="L370" s="2" t="inlineStr">
        <is>
          <t>Acik</t>
        </is>
      </c>
      <c r="M370" s="2" t="inlineStr"/>
    </row>
    <row r="371">
      <c r="A371" s="2" t="inlineStr">
        <is>
          <t>TKL-0370</t>
        </is>
      </c>
      <c r="B371" s="6" t="n">
        <v>45867</v>
      </c>
      <c r="C371" s="2" t="inlineStr">
        <is>
          <t>MUS-046</t>
        </is>
      </c>
      <c r="D371" s="2" t="inlineStr">
        <is>
          <t>ST-001</t>
        </is>
      </c>
      <c r="E371" s="2" t="inlineStr">
        <is>
          <t>Kaybedildi</t>
        </is>
      </c>
      <c r="F371" s="3" t="n">
        <v>12936.98</v>
      </c>
      <c r="G371" s="2" t="inlineStr">
        <is>
          <t>EUR</t>
        </is>
      </c>
      <c r="H371" s="5" t="n">
        <v>1.137</v>
      </c>
      <c r="I371" s="2" t="n">
        <v>20</v>
      </c>
      <c r="J371" s="5" t="inlineStr">
        <is>
          <t>FCA</t>
        </is>
      </c>
      <c r="K371" s="6" t="n">
        <v>45880</v>
      </c>
      <c r="L371" s="2" t="inlineStr">
        <is>
          <t>Kaybedildi</t>
        </is>
      </c>
      <c r="M371" s="2" t="inlineStr">
        <is>
          <t>Termin Uzun</t>
        </is>
      </c>
    </row>
    <row r="372">
      <c r="A372" s="2" t="inlineStr">
        <is>
          <t>TKL-0371</t>
        </is>
      </c>
      <c r="B372" s="6" t="n">
        <v>45839</v>
      </c>
      <c r="C372" s="2" t="inlineStr">
        <is>
          <t>MUS-022</t>
        </is>
      </c>
      <c r="D372" s="2" t="inlineStr">
        <is>
          <t>ST-001</t>
        </is>
      </c>
      <c r="E372" s="2" t="inlineStr">
        <is>
          <t>Siparise Donustu</t>
        </is>
      </c>
      <c r="F372" s="3" t="n">
        <v>47992.89</v>
      </c>
      <c r="G372" s="2" t="inlineStr">
        <is>
          <t>EUR</t>
        </is>
      </c>
      <c r="H372" s="5" t="n">
        <v>1.137</v>
      </c>
      <c r="I372" s="2" t="n">
        <v>15</v>
      </c>
      <c r="J372" s="5" t="inlineStr">
        <is>
          <t>DAP</t>
        </is>
      </c>
      <c r="K372" s="6" t="n">
        <v>45850</v>
      </c>
      <c r="L372" s="2" t="inlineStr">
        <is>
          <t>Kazanildi</t>
        </is>
      </c>
      <c r="M372" s="2" t="inlineStr"/>
    </row>
    <row r="373">
      <c r="A373" s="2" t="inlineStr">
        <is>
          <t>TKL-0372</t>
        </is>
      </c>
      <c r="B373" s="6" t="n">
        <v>45849</v>
      </c>
      <c r="C373" s="2" t="inlineStr">
        <is>
          <t>MUS-061</t>
        </is>
      </c>
      <c r="D373" s="2" t="inlineStr">
        <is>
          <t>ST-007</t>
        </is>
      </c>
      <c r="E373" s="2" t="inlineStr">
        <is>
          <t>Siparise Donustu</t>
        </is>
      </c>
      <c r="F373" s="3" t="n">
        <v>33376.7</v>
      </c>
      <c r="G373" s="2" t="inlineStr">
        <is>
          <t>USD</t>
        </is>
      </c>
      <c r="H373" s="5" t="n">
        <v>1</v>
      </c>
      <c r="I373" s="2" t="n">
        <v>45</v>
      </c>
      <c r="J373" s="5" t="inlineStr">
        <is>
          <t>FCA</t>
        </is>
      </c>
      <c r="K373" s="6" t="n">
        <v>45856</v>
      </c>
      <c r="L373" s="2" t="inlineStr">
        <is>
          <t>Kazanildi</t>
        </is>
      </c>
      <c r="M373" s="2" t="inlineStr"/>
    </row>
    <row r="374">
      <c r="A374" s="2" t="inlineStr">
        <is>
          <t>TKL-0373</t>
        </is>
      </c>
      <c r="B374" s="6" t="n">
        <v>45853</v>
      </c>
      <c r="C374" s="2" t="inlineStr">
        <is>
          <t>MUS-068</t>
        </is>
      </c>
      <c r="D374" s="2" t="inlineStr">
        <is>
          <t>ST-001</t>
        </is>
      </c>
      <c r="E374" s="2" t="inlineStr">
        <is>
          <t>Siparise Donustu</t>
        </is>
      </c>
      <c r="F374" s="3" t="n">
        <v>46107.59</v>
      </c>
      <c r="G374" s="2" t="inlineStr">
        <is>
          <t>EUR</t>
        </is>
      </c>
      <c r="H374" s="5" t="n">
        <v>1.137</v>
      </c>
      <c r="I374" s="2" t="n">
        <v>15</v>
      </c>
      <c r="J374" s="5" t="inlineStr">
        <is>
          <t>DAP</t>
        </is>
      </c>
      <c r="K374" s="6" t="n">
        <v>45868</v>
      </c>
      <c r="L374" s="2" t="inlineStr">
        <is>
          <t>Kazanildi</t>
        </is>
      </c>
      <c r="M374" s="2" t="inlineStr"/>
    </row>
    <row r="375">
      <c r="A375" s="2" t="inlineStr">
        <is>
          <t>TKL-0374</t>
        </is>
      </c>
      <c r="B375" s="6" t="n">
        <v>45868</v>
      </c>
      <c r="C375" s="2" t="inlineStr">
        <is>
          <t>MUS-079</t>
        </is>
      </c>
      <c r="D375" s="2" t="inlineStr">
        <is>
          <t>ST-003</t>
        </is>
      </c>
      <c r="E375" s="2" t="inlineStr">
        <is>
          <t>Kaybedildi</t>
        </is>
      </c>
      <c r="F375" s="3" t="n">
        <v>22260.21</v>
      </c>
      <c r="G375" s="2" t="inlineStr">
        <is>
          <t>USD</t>
        </is>
      </c>
      <c r="H375" s="5" t="n">
        <v>1</v>
      </c>
      <c r="I375" s="2" t="n">
        <v>30</v>
      </c>
      <c r="J375" s="5" t="inlineStr">
        <is>
          <t>CIF</t>
        </is>
      </c>
      <c r="K375" s="6" t="n">
        <v>45888</v>
      </c>
      <c r="L375" s="2" t="inlineStr">
        <is>
          <t>Kaybedildi</t>
        </is>
      </c>
      <c r="M375" s="2" t="inlineStr">
        <is>
          <t>Fiyat Yuksek</t>
        </is>
      </c>
    </row>
    <row r="376">
      <c r="A376" s="2" t="inlineStr">
        <is>
          <t>TKL-0375</t>
        </is>
      </c>
      <c r="B376" s="6" t="n">
        <v>45855</v>
      </c>
      <c r="C376" s="2" t="inlineStr">
        <is>
          <t>MUS-027</t>
        </is>
      </c>
      <c r="D376" s="2" t="inlineStr">
        <is>
          <t>ST-003</t>
        </is>
      </c>
      <c r="E376" s="2" t="inlineStr">
        <is>
          <t>Beklemede</t>
        </is>
      </c>
      <c r="F376" s="3" t="n">
        <v>23037.18</v>
      </c>
      <c r="G376" s="2" t="inlineStr">
        <is>
          <t>USD</t>
        </is>
      </c>
      <c r="H376" s="5" t="n">
        <v>1</v>
      </c>
      <c r="I376" s="2" t="n">
        <v>45</v>
      </c>
      <c r="J376" s="5" t="inlineStr">
        <is>
          <t>CIF</t>
        </is>
      </c>
      <c r="K376" s="6" t="n">
        <v>45860</v>
      </c>
      <c r="L376" s="2" t="inlineStr">
        <is>
          <t>Acik</t>
        </is>
      </c>
      <c r="M376" s="2" t="inlineStr"/>
    </row>
    <row r="377">
      <c r="A377" s="2" t="inlineStr">
        <is>
          <t>TKL-0376</t>
        </is>
      </c>
      <c r="B377" s="6" t="n">
        <v>45842</v>
      </c>
      <c r="C377" s="2" t="inlineStr">
        <is>
          <t>MUS-023</t>
        </is>
      </c>
      <c r="D377" s="2" t="inlineStr">
        <is>
          <t>ST-003</t>
        </is>
      </c>
      <c r="E377" s="2" t="inlineStr">
        <is>
          <t>Siparise Donustu</t>
        </is>
      </c>
      <c r="F377" s="3" t="n">
        <v>24016.57</v>
      </c>
      <c r="G377" s="2" t="inlineStr">
        <is>
          <t>USD</t>
        </is>
      </c>
      <c r="H377" s="5" t="n">
        <v>1</v>
      </c>
      <c r="I377" s="2" t="n">
        <v>15</v>
      </c>
      <c r="J377" s="5" t="inlineStr">
        <is>
          <t>CIF</t>
        </is>
      </c>
      <c r="K377" s="6" t="n">
        <v>45856</v>
      </c>
      <c r="L377" s="2" t="inlineStr">
        <is>
          <t>Kazanildi</t>
        </is>
      </c>
      <c r="M377" s="2" t="inlineStr"/>
    </row>
    <row r="378">
      <c r="A378" s="2" t="inlineStr">
        <is>
          <t>TKL-0377</t>
        </is>
      </c>
      <c r="B378" s="6" t="n">
        <v>45850</v>
      </c>
      <c r="C378" s="2" t="inlineStr">
        <is>
          <t>MUS-082</t>
        </is>
      </c>
      <c r="D378" s="2" t="inlineStr">
        <is>
          <t>ST-002</t>
        </is>
      </c>
      <c r="E378" s="2" t="inlineStr">
        <is>
          <t>Siparise Donustu</t>
        </is>
      </c>
      <c r="F378" s="3" t="n">
        <v>39597.57</v>
      </c>
      <c r="G378" s="2" t="inlineStr">
        <is>
          <t>EUR</t>
        </is>
      </c>
      <c r="H378" s="5" t="n">
        <v>1.137</v>
      </c>
      <c r="I378" s="2" t="n">
        <v>30</v>
      </c>
      <c r="J378" s="5" t="inlineStr">
        <is>
          <t>DAP</t>
        </is>
      </c>
      <c r="K378" s="6" t="n">
        <v>45866</v>
      </c>
      <c r="L378" s="2" t="inlineStr">
        <is>
          <t>Kazanildi</t>
        </is>
      </c>
      <c r="M378" s="2" t="inlineStr"/>
    </row>
    <row r="379">
      <c r="A379" s="2" t="inlineStr">
        <is>
          <t>TKL-0378</t>
        </is>
      </c>
      <c r="B379" s="6" t="n">
        <v>45846</v>
      </c>
      <c r="C379" s="2" t="inlineStr">
        <is>
          <t>MUS-033</t>
        </is>
      </c>
      <c r="D379" s="2" t="inlineStr">
        <is>
          <t>ST-005</t>
        </is>
      </c>
      <c r="E379" s="2" t="inlineStr">
        <is>
          <t>Siparise Donustu</t>
        </is>
      </c>
      <c r="F379" s="3" t="n">
        <v>10045.1</v>
      </c>
      <c r="G379" s="2" t="inlineStr">
        <is>
          <t>USD</t>
        </is>
      </c>
      <c r="H379" s="5" t="n">
        <v>1</v>
      </c>
      <c r="I379" s="2" t="n">
        <v>15</v>
      </c>
      <c r="J379" s="5" t="inlineStr">
        <is>
          <t>CFR</t>
        </is>
      </c>
      <c r="K379" s="6" t="n">
        <v>45860</v>
      </c>
      <c r="L379" s="2" t="inlineStr">
        <is>
          <t>Kazanildi</t>
        </is>
      </c>
      <c r="M379" s="2" t="inlineStr"/>
    </row>
    <row r="380">
      <c r="A380" s="2" t="inlineStr">
        <is>
          <t>TKL-0379</t>
        </is>
      </c>
      <c r="B380" s="6" t="n">
        <v>45868</v>
      </c>
      <c r="C380" s="2" t="inlineStr">
        <is>
          <t>MUS-030</t>
        </is>
      </c>
      <c r="D380" s="2" t="inlineStr">
        <is>
          <t>ST-002</t>
        </is>
      </c>
      <c r="E380" s="2" t="inlineStr">
        <is>
          <t>Siparise Donustu</t>
        </is>
      </c>
      <c r="F380" s="3" t="n">
        <v>26211.82</v>
      </c>
      <c r="G380" s="2" t="inlineStr">
        <is>
          <t>EUR</t>
        </is>
      </c>
      <c r="H380" s="5" t="n">
        <v>1.137</v>
      </c>
      <c r="I380" s="2" t="n">
        <v>45</v>
      </c>
      <c r="J380" s="5" t="inlineStr">
        <is>
          <t>DAP</t>
        </is>
      </c>
      <c r="K380" s="6" t="n">
        <v>45895</v>
      </c>
      <c r="L380" s="2" t="inlineStr">
        <is>
          <t>Kazanildi</t>
        </is>
      </c>
      <c r="M380" s="2" t="inlineStr"/>
    </row>
    <row r="381">
      <c r="A381" s="2" t="inlineStr">
        <is>
          <t>TKL-0380</t>
        </is>
      </c>
      <c r="B381" s="6" t="n">
        <v>45839</v>
      </c>
      <c r="C381" s="2" t="inlineStr">
        <is>
          <t>MUS-013</t>
        </is>
      </c>
      <c r="D381" s="2" t="inlineStr">
        <is>
          <t>ST-001</t>
        </is>
      </c>
      <c r="E381" s="2" t="inlineStr">
        <is>
          <t>Kaybedildi</t>
        </is>
      </c>
      <c r="F381" s="3" t="n">
        <v>24478.38</v>
      </c>
      <c r="G381" s="2" t="inlineStr">
        <is>
          <t>EUR</t>
        </is>
      </c>
      <c r="H381" s="5" t="n">
        <v>1.137</v>
      </c>
      <c r="I381" s="2" t="n">
        <v>20</v>
      </c>
      <c r="J381" s="5" t="inlineStr">
        <is>
          <t>FCA</t>
        </is>
      </c>
      <c r="K381" s="6" t="n">
        <v>45855</v>
      </c>
      <c r="L381" s="2" t="inlineStr">
        <is>
          <t>Kaybedildi</t>
        </is>
      </c>
      <c r="M381" s="2" t="inlineStr">
        <is>
          <t>Fiyat Yuksek</t>
        </is>
      </c>
    </row>
    <row r="382">
      <c r="A382" s="2" t="inlineStr">
        <is>
          <t>TKL-0381</t>
        </is>
      </c>
      <c r="B382" s="6" t="n">
        <v>45855</v>
      </c>
      <c r="C382" s="2" t="inlineStr">
        <is>
          <t>MUS-039</t>
        </is>
      </c>
      <c r="D382" s="2" t="inlineStr">
        <is>
          <t>ST-004</t>
        </is>
      </c>
      <c r="E382" s="2" t="inlineStr">
        <is>
          <t>Beklemede</t>
        </is>
      </c>
      <c r="F382" s="3" t="n">
        <v>12738.19</v>
      </c>
      <c r="G382" s="2" t="inlineStr">
        <is>
          <t>USD</t>
        </is>
      </c>
      <c r="H382" s="5" t="n">
        <v>1</v>
      </c>
      <c r="I382" s="2" t="n">
        <v>30</v>
      </c>
      <c r="J382" s="5" t="inlineStr">
        <is>
          <t>CIF</t>
        </is>
      </c>
      <c r="K382" s="6" t="n">
        <v>45870</v>
      </c>
      <c r="L382" s="2" t="inlineStr">
        <is>
          <t>Acik</t>
        </is>
      </c>
      <c r="M382" s="2" t="inlineStr"/>
    </row>
    <row r="383">
      <c r="A383" s="2" t="inlineStr">
        <is>
          <t>TKL-0382</t>
        </is>
      </c>
      <c r="B383" s="6" t="n">
        <v>45873</v>
      </c>
      <c r="C383" s="2" t="inlineStr">
        <is>
          <t>MUS-017</t>
        </is>
      </c>
      <c r="D383" s="2" t="inlineStr">
        <is>
          <t>ST-001</t>
        </is>
      </c>
      <c r="E383" s="2" t="inlineStr">
        <is>
          <t>Siparise Donustu</t>
        </is>
      </c>
      <c r="F383" s="3" t="n">
        <v>10680.2</v>
      </c>
      <c r="G383" s="2" t="inlineStr">
        <is>
          <t>EUR</t>
        </is>
      </c>
      <c r="H383" s="5" t="n">
        <v>1.1234</v>
      </c>
      <c r="I383" s="2" t="n">
        <v>15</v>
      </c>
      <c r="J383" s="5" t="inlineStr">
        <is>
          <t>DAP</t>
        </is>
      </c>
      <c r="K383" s="6" t="n">
        <v>45887</v>
      </c>
      <c r="L383" s="2" t="inlineStr">
        <is>
          <t>Kazanildi</t>
        </is>
      </c>
      <c r="M383" s="2" t="inlineStr"/>
    </row>
    <row r="384">
      <c r="A384" s="2" t="inlineStr">
        <is>
          <t>TKL-0383</t>
        </is>
      </c>
      <c r="B384" s="6" t="n">
        <v>45873</v>
      </c>
      <c r="C384" s="2" t="inlineStr">
        <is>
          <t>MUS-072</t>
        </is>
      </c>
      <c r="D384" s="2" t="inlineStr">
        <is>
          <t>ST-002</t>
        </is>
      </c>
      <c r="E384" s="2" t="inlineStr">
        <is>
          <t>Siparise Donustu</t>
        </is>
      </c>
      <c r="F384" s="3" t="n">
        <v>45881.85</v>
      </c>
      <c r="G384" s="2" t="inlineStr">
        <is>
          <t>EUR</t>
        </is>
      </c>
      <c r="H384" s="5" t="n">
        <v>1.1234</v>
      </c>
      <c r="I384" s="2" t="n">
        <v>30</v>
      </c>
      <c r="J384" s="5" t="inlineStr">
        <is>
          <t>DAP</t>
        </is>
      </c>
      <c r="K384" s="6" t="n">
        <v>45899</v>
      </c>
      <c r="L384" s="2" t="inlineStr">
        <is>
          <t>Kazanildi</t>
        </is>
      </c>
      <c r="M384" s="2" t="inlineStr"/>
    </row>
    <row r="385">
      <c r="A385" s="2" t="inlineStr">
        <is>
          <t>TKL-0384</t>
        </is>
      </c>
      <c r="B385" s="6" t="n">
        <v>45876</v>
      </c>
      <c r="C385" s="2" t="inlineStr">
        <is>
          <t>MUS-005</t>
        </is>
      </c>
      <c r="D385" s="2" t="inlineStr">
        <is>
          <t>ST-002</t>
        </is>
      </c>
      <c r="E385" s="2" t="inlineStr">
        <is>
          <t>Siparise Donustu</t>
        </is>
      </c>
      <c r="F385" s="3" t="n">
        <v>67128.46000000001</v>
      </c>
      <c r="G385" s="2" t="inlineStr">
        <is>
          <t>EUR</t>
        </is>
      </c>
      <c r="H385" s="5" t="n">
        <v>1.1234</v>
      </c>
      <c r="I385" s="2" t="n">
        <v>20</v>
      </c>
      <c r="J385" s="5" t="inlineStr">
        <is>
          <t>DAP</t>
        </is>
      </c>
      <c r="K385" s="6" t="n">
        <v>45889</v>
      </c>
      <c r="L385" s="2" t="inlineStr">
        <is>
          <t>Kazanildi</t>
        </is>
      </c>
      <c r="M385" s="2" t="inlineStr"/>
    </row>
    <row r="386">
      <c r="A386" s="2" t="inlineStr">
        <is>
          <t>TKL-0385</t>
        </is>
      </c>
      <c r="B386" s="6" t="n">
        <v>45871</v>
      </c>
      <c r="C386" s="2" t="inlineStr">
        <is>
          <t>MUS-025</t>
        </is>
      </c>
      <c r="D386" s="2" t="inlineStr">
        <is>
          <t>ST-001</t>
        </is>
      </c>
      <c r="E386" s="2" t="inlineStr">
        <is>
          <t>Kaybedildi</t>
        </is>
      </c>
      <c r="F386" s="3" t="n">
        <v>37864.27</v>
      </c>
      <c r="G386" s="2" t="inlineStr">
        <is>
          <t>EUR</t>
        </is>
      </c>
      <c r="H386" s="5" t="n">
        <v>1.1234</v>
      </c>
      <c r="I386" s="2" t="n">
        <v>30</v>
      </c>
      <c r="J386" s="5" t="inlineStr">
        <is>
          <t>DAP</t>
        </is>
      </c>
      <c r="K386" s="6" t="n">
        <v>45880</v>
      </c>
      <c r="L386" s="2" t="inlineStr">
        <is>
          <t>Kaybedildi</t>
        </is>
      </c>
      <c r="M386" s="2" t="inlineStr">
        <is>
          <t>Fiyat Yuksek</t>
        </is>
      </c>
    </row>
    <row r="387">
      <c r="A387" s="2" t="inlineStr">
        <is>
          <t>TKL-0386</t>
        </is>
      </c>
      <c r="B387" s="6" t="n">
        <v>45882</v>
      </c>
      <c r="C387" s="2" t="inlineStr">
        <is>
          <t>MUS-051</t>
        </is>
      </c>
      <c r="D387" s="2" t="inlineStr">
        <is>
          <t>ST-001</t>
        </is>
      </c>
      <c r="E387" s="2" t="inlineStr">
        <is>
          <t>Siparise Donustu</t>
        </is>
      </c>
      <c r="F387" s="3" t="n">
        <v>1979.34</v>
      </c>
      <c r="G387" s="2" t="inlineStr">
        <is>
          <t>EUR</t>
        </is>
      </c>
      <c r="H387" s="5" t="n">
        <v>1.1234</v>
      </c>
      <c r="I387" s="2" t="n">
        <v>15</v>
      </c>
      <c r="J387" s="5" t="inlineStr">
        <is>
          <t>DAP</t>
        </is>
      </c>
      <c r="K387" s="6" t="n">
        <v>45891</v>
      </c>
      <c r="L387" s="2" t="inlineStr">
        <is>
          <t>Kazanildi</t>
        </is>
      </c>
      <c r="M387" s="2" t="inlineStr"/>
    </row>
    <row r="388">
      <c r="A388" s="2" t="inlineStr">
        <is>
          <t>TKL-0387</t>
        </is>
      </c>
      <c r="B388" s="6" t="n">
        <v>45877</v>
      </c>
      <c r="C388" s="2" t="inlineStr">
        <is>
          <t>MUS-062</t>
        </is>
      </c>
      <c r="D388" s="2" t="inlineStr">
        <is>
          <t>ST-008</t>
        </is>
      </c>
      <c r="E388" s="2" t="inlineStr">
        <is>
          <t>Kaybedildi</t>
        </is>
      </c>
      <c r="F388" s="3" t="n">
        <v>27718.08</v>
      </c>
      <c r="G388" s="2" t="inlineStr">
        <is>
          <t>USD</t>
        </is>
      </c>
      <c r="H388" s="5" t="n">
        <v>1</v>
      </c>
      <c r="I388" s="2" t="n">
        <v>45</v>
      </c>
      <c r="J388" s="5" t="inlineStr">
        <is>
          <t>FCA</t>
        </is>
      </c>
      <c r="K388" s="6" t="n">
        <v>45883</v>
      </c>
      <c r="L388" s="2" t="inlineStr">
        <is>
          <t>Kaybedildi</t>
        </is>
      </c>
      <c r="M388" s="2" t="inlineStr">
        <is>
          <t>Butce Ertelendi</t>
        </is>
      </c>
    </row>
    <row r="389">
      <c r="A389" s="2" t="inlineStr">
        <is>
          <t>TKL-0388</t>
        </is>
      </c>
      <c r="B389" s="6" t="n">
        <v>45878</v>
      </c>
      <c r="C389" s="2" t="inlineStr">
        <is>
          <t>MUS-014</t>
        </is>
      </c>
      <c r="D389" s="2" t="inlineStr">
        <is>
          <t>ST-007</t>
        </is>
      </c>
      <c r="E389" s="2" t="inlineStr">
        <is>
          <t>Kaybedildi</t>
        </is>
      </c>
      <c r="F389" s="3" t="n">
        <v>19714.31</v>
      </c>
      <c r="G389" s="2" t="inlineStr">
        <is>
          <t>USD</t>
        </is>
      </c>
      <c r="H389" s="5" t="n">
        <v>1</v>
      </c>
      <c r="I389" s="2" t="n">
        <v>20</v>
      </c>
      <c r="J389" s="5" t="inlineStr">
        <is>
          <t>FCA</t>
        </is>
      </c>
      <c r="K389" s="6" t="n">
        <v>45891</v>
      </c>
      <c r="L389" s="2" t="inlineStr">
        <is>
          <t>Kaybedildi</t>
        </is>
      </c>
      <c r="M389" s="2" t="inlineStr">
        <is>
          <t>Rakipte Teknik Onay</t>
        </is>
      </c>
    </row>
    <row r="390">
      <c r="A390" s="2" t="inlineStr">
        <is>
          <t>TKL-0389</t>
        </is>
      </c>
      <c r="B390" s="6" t="n">
        <v>45873</v>
      </c>
      <c r="C390" s="2" t="inlineStr">
        <is>
          <t>MUS-054</t>
        </is>
      </c>
      <c r="D390" s="2" t="inlineStr">
        <is>
          <t>ST-003</t>
        </is>
      </c>
      <c r="E390" s="2" t="inlineStr">
        <is>
          <t>Siparise Donustu</t>
        </is>
      </c>
      <c r="F390" s="3" t="n">
        <v>18718.44</v>
      </c>
      <c r="G390" s="2" t="inlineStr">
        <is>
          <t>USD</t>
        </is>
      </c>
      <c r="H390" s="5" t="n">
        <v>1</v>
      </c>
      <c r="I390" s="2" t="n">
        <v>15</v>
      </c>
      <c r="J390" s="5" t="inlineStr">
        <is>
          <t>CIF</t>
        </is>
      </c>
      <c r="K390" s="6" t="n">
        <v>45887</v>
      </c>
      <c r="L390" s="2" t="inlineStr">
        <is>
          <t>Kazanildi</t>
        </is>
      </c>
      <c r="M390" s="2" t="inlineStr"/>
    </row>
    <row r="391">
      <c r="A391" s="2" t="inlineStr">
        <is>
          <t>TKL-0390</t>
        </is>
      </c>
      <c r="B391" s="6" t="n">
        <v>45892</v>
      </c>
      <c r="C391" s="2" t="inlineStr">
        <is>
          <t>MUS-010</t>
        </is>
      </c>
      <c r="D391" s="2" t="inlineStr">
        <is>
          <t>ST-003</t>
        </is>
      </c>
      <c r="E391" s="2" t="inlineStr">
        <is>
          <t>Kaybedildi</t>
        </is>
      </c>
      <c r="F391" s="3" t="n">
        <v>35098.29</v>
      </c>
      <c r="G391" s="2" t="inlineStr">
        <is>
          <t>USD</t>
        </is>
      </c>
      <c r="H391" s="5" t="n">
        <v>1</v>
      </c>
      <c r="I391" s="2" t="n">
        <v>30</v>
      </c>
      <c r="J391" s="5" t="inlineStr">
        <is>
          <t>CIF</t>
        </is>
      </c>
      <c r="K391" s="6" t="n">
        <v>45898</v>
      </c>
      <c r="L391" s="2" t="inlineStr">
        <is>
          <t>Kaybedildi</t>
        </is>
      </c>
      <c r="M391" s="2" t="inlineStr">
        <is>
          <t>Termin Uzun</t>
        </is>
      </c>
    </row>
    <row r="392">
      <c r="A392" s="2" t="inlineStr">
        <is>
          <t>TKL-0391</t>
        </is>
      </c>
      <c r="B392" s="6" t="n">
        <v>45900</v>
      </c>
      <c r="C392" s="2" t="inlineStr">
        <is>
          <t>MUS-031</t>
        </is>
      </c>
      <c r="D392" s="2" t="inlineStr">
        <is>
          <t>ST-001</t>
        </is>
      </c>
      <c r="E392" s="2" t="inlineStr">
        <is>
          <t>Siparise Donustu</t>
        </is>
      </c>
      <c r="F392" s="3" t="n">
        <v>38198.31</v>
      </c>
      <c r="G392" s="2" t="inlineStr">
        <is>
          <t>EUR</t>
        </is>
      </c>
      <c r="H392" s="5" t="n">
        <v>1.1234</v>
      </c>
      <c r="I392" s="2" t="n">
        <v>45</v>
      </c>
      <c r="J392" s="5" t="inlineStr">
        <is>
          <t>DAP</t>
        </is>
      </c>
      <c r="K392" s="6" t="n">
        <v>45945</v>
      </c>
      <c r="L392" s="2" t="inlineStr">
        <is>
          <t>Kazanildi</t>
        </is>
      </c>
      <c r="M392" s="2" t="inlineStr"/>
    </row>
    <row r="393">
      <c r="A393" s="2" t="inlineStr">
        <is>
          <t>TKL-0392</t>
        </is>
      </c>
      <c r="B393" s="6" t="n">
        <v>45895</v>
      </c>
      <c r="C393" s="2" t="inlineStr">
        <is>
          <t>MUS-030</t>
        </is>
      </c>
      <c r="D393" s="2" t="inlineStr">
        <is>
          <t>ST-001</t>
        </is>
      </c>
      <c r="E393" s="2" t="inlineStr">
        <is>
          <t>Beklemede</t>
        </is>
      </c>
      <c r="F393" s="3" t="n">
        <v>28428.58</v>
      </c>
      <c r="G393" s="2" t="inlineStr">
        <is>
          <t>EUR</t>
        </is>
      </c>
      <c r="H393" s="5" t="n">
        <v>1.1234</v>
      </c>
      <c r="I393" s="2" t="n">
        <v>45</v>
      </c>
      <c r="J393" s="5" t="inlineStr">
        <is>
          <t>DAP</t>
        </is>
      </c>
      <c r="K393" s="6" t="n">
        <v>45939</v>
      </c>
      <c r="L393" s="2" t="inlineStr">
        <is>
          <t>Acik</t>
        </is>
      </c>
      <c r="M393" s="2" t="inlineStr"/>
    </row>
    <row r="394">
      <c r="A394" s="2" t="inlineStr">
        <is>
          <t>TKL-0393</t>
        </is>
      </c>
      <c r="B394" s="6" t="n">
        <v>45894</v>
      </c>
      <c r="C394" s="2" t="inlineStr">
        <is>
          <t>MUS-026</t>
        </is>
      </c>
      <c r="D394" s="2" t="inlineStr">
        <is>
          <t>ST-002</t>
        </is>
      </c>
      <c r="E394" s="2" t="inlineStr">
        <is>
          <t>Siparise Donustu</t>
        </is>
      </c>
      <c r="F394" s="3" t="n">
        <v>9210.99</v>
      </c>
      <c r="G394" s="2" t="inlineStr">
        <is>
          <t>EUR</t>
        </is>
      </c>
      <c r="H394" s="5" t="n">
        <v>1.1234</v>
      </c>
      <c r="I394" s="2" t="n">
        <v>45</v>
      </c>
      <c r="J394" s="5" t="inlineStr">
        <is>
          <t>FCA</t>
        </is>
      </c>
      <c r="K394" s="6" t="n">
        <v>45914</v>
      </c>
      <c r="L394" s="2" t="inlineStr">
        <is>
          <t>Kazanildi</t>
        </is>
      </c>
      <c r="M394" s="2" t="inlineStr"/>
    </row>
    <row r="395">
      <c r="A395" s="2" t="inlineStr">
        <is>
          <t>TKL-0394</t>
        </is>
      </c>
      <c r="B395" s="6" t="n">
        <v>45888</v>
      </c>
      <c r="C395" s="2" t="inlineStr">
        <is>
          <t>MUS-019</t>
        </is>
      </c>
      <c r="D395" s="2" t="inlineStr">
        <is>
          <t>ST-003</t>
        </is>
      </c>
      <c r="E395" s="2" t="inlineStr">
        <is>
          <t>Siparise Donustu</t>
        </is>
      </c>
      <c r="F395" s="3" t="n">
        <v>8538.450000000001</v>
      </c>
      <c r="G395" s="2" t="inlineStr">
        <is>
          <t>USD</t>
        </is>
      </c>
      <c r="H395" s="5" t="n">
        <v>1</v>
      </c>
      <c r="I395" s="2" t="n">
        <v>15</v>
      </c>
      <c r="J395" s="5" t="inlineStr">
        <is>
          <t>CIF</t>
        </is>
      </c>
      <c r="K395" s="6" t="n">
        <v>45903</v>
      </c>
      <c r="L395" s="2" t="inlineStr">
        <is>
          <t>Kazanildi</t>
        </is>
      </c>
      <c r="M395" s="2" t="inlineStr"/>
    </row>
    <row r="396">
      <c r="A396" s="2" t="inlineStr">
        <is>
          <t>TKL-0395</t>
        </is>
      </c>
      <c r="B396" s="6" t="n">
        <v>45895</v>
      </c>
      <c r="C396" s="2" t="inlineStr">
        <is>
          <t>MUS-044</t>
        </is>
      </c>
      <c r="D396" s="2" t="inlineStr">
        <is>
          <t>ST-001</t>
        </is>
      </c>
      <c r="E396" s="2" t="inlineStr">
        <is>
          <t>Kaybedildi</t>
        </is>
      </c>
      <c r="F396" s="3" t="n">
        <v>45061.48</v>
      </c>
      <c r="G396" s="2" t="inlineStr">
        <is>
          <t>EUR</t>
        </is>
      </c>
      <c r="H396" s="5" t="n">
        <v>1.1234</v>
      </c>
      <c r="I396" s="2" t="n">
        <v>15</v>
      </c>
      <c r="J396" s="5" t="inlineStr">
        <is>
          <t>DAP</t>
        </is>
      </c>
      <c r="K396" s="6" t="n">
        <v>45903</v>
      </c>
      <c r="L396" s="2" t="inlineStr">
        <is>
          <t>Kaybedildi</t>
        </is>
      </c>
      <c r="M396" s="2" t="inlineStr">
        <is>
          <t>Butce Ertelendi</t>
        </is>
      </c>
    </row>
    <row r="397">
      <c r="A397" s="2" t="inlineStr">
        <is>
          <t>TKL-0396</t>
        </is>
      </c>
      <c r="B397" s="6" t="n">
        <v>45897</v>
      </c>
      <c r="C397" s="2" t="inlineStr">
        <is>
          <t>MUS-058</t>
        </is>
      </c>
      <c r="D397" s="2" t="inlineStr">
        <is>
          <t>ST-001</t>
        </is>
      </c>
      <c r="E397" s="2" t="inlineStr">
        <is>
          <t>Siparise Donustu</t>
        </is>
      </c>
      <c r="F397" s="3" t="n">
        <v>34354.75</v>
      </c>
      <c r="G397" s="2" t="inlineStr">
        <is>
          <t>EUR</t>
        </is>
      </c>
      <c r="H397" s="5" t="n">
        <v>1.1234</v>
      </c>
      <c r="I397" s="2" t="n">
        <v>30</v>
      </c>
      <c r="J397" s="5" t="inlineStr">
        <is>
          <t>DAP</t>
        </is>
      </c>
      <c r="K397" s="6" t="n">
        <v>45919</v>
      </c>
      <c r="L397" s="2" t="inlineStr">
        <is>
          <t>Kazanildi</t>
        </is>
      </c>
      <c r="M397" s="2" t="inlineStr"/>
    </row>
    <row r="398">
      <c r="A398" s="2" t="inlineStr">
        <is>
          <t>TKL-0397</t>
        </is>
      </c>
      <c r="B398" s="6" t="n">
        <v>45896</v>
      </c>
      <c r="C398" s="2" t="inlineStr">
        <is>
          <t>MUS-029</t>
        </is>
      </c>
      <c r="D398" s="2" t="inlineStr">
        <is>
          <t>ST-005</t>
        </is>
      </c>
      <c r="E398" s="2" t="inlineStr">
        <is>
          <t>Siparise Donustu</t>
        </is>
      </c>
      <c r="F398" s="3" t="n">
        <v>10953.51</v>
      </c>
      <c r="G398" s="2" t="inlineStr">
        <is>
          <t>USD</t>
        </is>
      </c>
      <c r="H398" s="5" t="n">
        <v>1</v>
      </c>
      <c r="I398" s="2" t="n">
        <v>45</v>
      </c>
      <c r="J398" s="5" t="inlineStr">
        <is>
          <t>CFR</t>
        </is>
      </c>
      <c r="K398" s="6" t="n">
        <v>45903</v>
      </c>
      <c r="L398" s="2" t="inlineStr">
        <is>
          <t>Kazanildi</t>
        </is>
      </c>
      <c r="M398" s="2" t="inlineStr"/>
    </row>
    <row r="399">
      <c r="A399" s="2" t="inlineStr">
        <is>
          <t>TKL-0398</t>
        </is>
      </c>
      <c r="B399" s="6" t="n">
        <v>45900</v>
      </c>
      <c r="C399" s="2" t="inlineStr">
        <is>
          <t>MUS-011</t>
        </is>
      </c>
      <c r="D399" s="2" t="inlineStr">
        <is>
          <t>ST-003</t>
        </is>
      </c>
      <c r="E399" s="2" t="inlineStr">
        <is>
          <t>Beklemede</t>
        </is>
      </c>
      <c r="F399" s="3" t="n">
        <v>49276.18</v>
      </c>
      <c r="G399" s="2" t="inlineStr">
        <is>
          <t>USD</t>
        </is>
      </c>
      <c r="H399" s="5" t="n">
        <v>1</v>
      </c>
      <c r="I399" s="2" t="n">
        <v>30</v>
      </c>
      <c r="J399" s="5" t="inlineStr">
        <is>
          <t>CIF</t>
        </is>
      </c>
      <c r="K399" s="6" t="n">
        <v>45914</v>
      </c>
      <c r="L399" s="2" t="inlineStr">
        <is>
          <t>Acik</t>
        </is>
      </c>
      <c r="M399" s="2" t="inlineStr"/>
    </row>
    <row r="400">
      <c r="A400" s="2" t="inlineStr">
        <is>
          <t>TKL-0399</t>
        </is>
      </c>
      <c r="B400" s="6" t="n">
        <v>45872</v>
      </c>
      <c r="C400" s="2" t="inlineStr">
        <is>
          <t>MUS-049</t>
        </is>
      </c>
      <c r="D400" s="2" t="inlineStr">
        <is>
          <t>ST-003</t>
        </is>
      </c>
      <c r="E400" s="2" t="inlineStr">
        <is>
          <t>Siparise Donustu</t>
        </is>
      </c>
      <c r="F400" s="3" t="n">
        <v>28929.31</v>
      </c>
      <c r="G400" s="2" t="inlineStr">
        <is>
          <t>USD</t>
        </is>
      </c>
      <c r="H400" s="5" t="n">
        <v>1</v>
      </c>
      <c r="I400" s="2" t="n">
        <v>15</v>
      </c>
      <c r="J400" s="5" t="inlineStr">
        <is>
          <t>CIF</t>
        </is>
      </c>
      <c r="K400" s="6" t="n">
        <v>45878</v>
      </c>
      <c r="L400" s="2" t="inlineStr">
        <is>
          <t>Kazanildi</t>
        </is>
      </c>
      <c r="M400" s="2" t="inlineStr"/>
    </row>
    <row r="401">
      <c r="A401" s="2" t="inlineStr">
        <is>
          <t>TKL-0400</t>
        </is>
      </c>
      <c r="B401" s="6" t="n">
        <v>45889</v>
      </c>
      <c r="C401" s="2" t="inlineStr">
        <is>
          <t>MUS-020</t>
        </is>
      </c>
      <c r="D401" s="2" t="inlineStr">
        <is>
          <t>ST-005</t>
        </is>
      </c>
      <c r="E401" s="2" t="inlineStr">
        <is>
          <t>Siparise Donustu</t>
        </is>
      </c>
      <c r="F401" s="3" t="n">
        <v>42956.64</v>
      </c>
      <c r="G401" s="2" t="inlineStr">
        <is>
          <t>USD</t>
        </is>
      </c>
      <c r="H401" s="5" t="n">
        <v>1</v>
      </c>
      <c r="I401" s="2" t="n">
        <v>15</v>
      </c>
      <c r="J401" s="5" t="inlineStr">
        <is>
          <t>CFR</t>
        </is>
      </c>
      <c r="K401" s="6" t="n">
        <v>45903</v>
      </c>
      <c r="L401" s="2" t="inlineStr">
        <is>
          <t>Kazanildi</t>
        </is>
      </c>
      <c r="M401" s="2" t="inlineStr"/>
    </row>
    <row r="402">
      <c r="A402" s="2" t="inlineStr">
        <is>
          <t>TKL-0401</t>
        </is>
      </c>
      <c r="B402" s="6" t="n">
        <v>45896</v>
      </c>
      <c r="C402" s="2" t="inlineStr">
        <is>
          <t>MUS-062</t>
        </is>
      </c>
      <c r="D402" s="2" t="inlineStr">
        <is>
          <t>ST-008</t>
        </is>
      </c>
      <c r="E402" s="2" t="inlineStr">
        <is>
          <t>Kaybedildi</t>
        </is>
      </c>
      <c r="F402" s="3" t="n">
        <v>19836</v>
      </c>
      <c r="G402" s="2" t="inlineStr">
        <is>
          <t>USD</t>
        </is>
      </c>
      <c r="H402" s="5" t="n">
        <v>1</v>
      </c>
      <c r="I402" s="2" t="n">
        <v>20</v>
      </c>
      <c r="J402" s="5" t="inlineStr">
        <is>
          <t>FCA</t>
        </is>
      </c>
      <c r="K402" s="6" t="n">
        <v>45906</v>
      </c>
      <c r="L402" s="2" t="inlineStr">
        <is>
          <t>Kaybedildi</t>
        </is>
      </c>
      <c r="M402" s="2" t="inlineStr">
        <is>
          <t>Termin Uzun</t>
        </is>
      </c>
    </row>
    <row r="403">
      <c r="A403" s="2" t="inlineStr">
        <is>
          <t>TKL-0402</t>
        </is>
      </c>
      <c r="B403" s="6" t="n">
        <v>45884</v>
      </c>
      <c r="C403" s="2" t="inlineStr">
        <is>
          <t>MUS-006</t>
        </is>
      </c>
      <c r="D403" s="2" t="inlineStr">
        <is>
          <t>ST-008</t>
        </is>
      </c>
      <c r="E403" s="2" t="inlineStr">
        <is>
          <t>Siparise Donustu</t>
        </is>
      </c>
      <c r="F403" s="3" t="n">
        <v>41055.69</v>
      </c>
      <c r="G403" s="2" t="inlineStr">
        <is>
          <t>USD</t>
        </is>
      </c>
      <c r="H403" s="5" t="n">
        <v>1</v>
      </c>
      <c r="I403" s="2" t="n">
        <v>30</v>
      </c>
      <c r="J403" s="5" t="inlineStr">
        <is>
          <t>FCA</t>
        </is>
      </c>
      <c r="K403" s="6" t="n">
        <v>45894</v>
      </c>
      <c r="L403" s="2" t="inlineStr">
        <is>
          <t>Kazanildi</t>
        </is>
      </c>
      <c r="M403" s="2" t="inlineStr"/>
    </row>
    <row r="404">
      <c r="A404" s="2" t="inlineStr">
        <is>
          <t>TKL-0403</t>
        </is>
      </c>
      <c r="B404" s="6" t="n">
        <v>45884</v>
      </c>
      <c r="C404" s="2" t="inlineStr">
        <is>
          <t>MUS-026</t>
        </is>
      </c>
      <c r="D404" s="2" t="inlineStr">
        <is>
          <t>ST-001</t>
        </is>
      </c>
      <c r="E404" s="2" t="inlineStr">
        <is>
          <t>Siparise Donustu</t>
        </is>
      </c>
      <c r="F404" s="3" t="n">
        <v>58432.92</v>
      </c>
      <c r="G404" s="2" t="inlineStr">
        <is>
          <t>EUR</t>
        </is>
      </c>
      <c r="H404" s="5" t="n">
        <v>1.1234</v>
      </c>
      <c r="I404" s="2" t="n">
        <v>15</v>
      </c>
      <c r="J404" s="5" t="inlineStr">
        <is>
          <t>FCA</t>
        </is>
      </c>
      <c r="K404" s="6" t="n">
        <v>45895</v>
      </c>
      <c r="L404" s="2" t="inlineStr">
        <is>
          <t>Kazanildi</t>
        </is>
      </c>
      <c r="M404" s="2" t="inlineStr"/>
    </row>
    <row r="405">
      <c r="A405" s="2" t="inlineStr">
        <is>
          <t>TKL-0404</t>
        </is>
      </c>
      <c r="B405" s="6" t="n">
        <v>45905</v>
      </c>
      <c r="C405" s="2" t="inlineStr">
        <is>
          <t>MUS-012</t>
        </is>
      </c>
      <c r="D405" s="2" t="inlineStr">
        <is>
          <t>ST-001</t>
        </is>
      </c>
      <c r="E405" s="2" t="inlineStr">
        <is>
          <t>Kaybedildi</t>
        </is>
      </c>
      <c r="F405" s="3" t="n">
        <v>11371.84</v>
      </c>
      <c r="G405" s="2" t="inlineStr">
        <is>
          <t>EUR</t>
        </is>
      </c>
      <c r="H405" s="5" t="n">
        <v>1.1328</v>
      </c>
      <c r="I405" s="2" t="n">
        <v>45</v>
      </c>
      <c r="J405" s="5" t="inlineStr">
        <is>
          <t>DAP</t>
        </is>
      </c>
      <c r="K405" s="6" t="n">
        <v>45917</v>
      </c>
      <c r="L405" s="2" t="inlineStr">
        <is>
          <t>Kaybedildi</t>
        </is>
      </c>
      <c r="M405" s="2" t="inlineStr">
        <is>
          <t>Termin Uzun</t>
        </is>
      </c>
    </row>
    <row r="406">
      <c r="A406" s="2" t="inlineStr">
        <is>
          <t>TKL-0405</t>
        </is>
      </c>
      <c r="B406" s="6" t="n">
        <v>45927</v>
      </c>
      <c r="C406" s="2" t="inlineStr">
        <is>
          <t>MUS-036</t>
        </is>
      </c>
      <c r="D406" s="2" t="inlineStr">
        <is>
          <t>ST-006</t>
        </is>
      </c>
      <c r="E406" s="2" t="inlineStr">
        <is>
          <t>Siparise Donustu</t>
        </is>
      </c>
      <c r="F406" s="3" t="n">
        <v>42476.6</v>
      </c>
      <c r="G406" s="2" t="inlineStr">
        <is>
          <t>USD</t>
        </is>
      </c>
      <c r="H406" s="5" t="n">
        <v>1</v>
      </c>
      <c r="I406" s="2" t="n">
        <v>15</v>
      </c>
      <c r="J406" s="5" t="inlineStr">
        <is>
          <t>CFR</t>
        </is>
      </c>
      <c r="K406" s="6" t="n">
        <v>45940</v>
      </c>
      <c r="L406" s="2" t="inlineStr">
        <is>
          <t>Kazanildi</t>
        </is>
      </c>
      <c r="M406" s="2" t="inlineStr"/>
    </row>
    <row r="407">
      <c r="A407" s="2" t="inlineStr">
        <is>
          <t>TKL-0406</t>
        </is>
      </c>
      <c r="B407" s="6" t="n">
        <v>45925</v>
      </c>
      <c r="C407" s="2" t="inlineStr">
        <is>
          <t>MUS-040</t>
        </is>
      </c>
      <c r="D407" s="2" t="inlineStr">
        <is>
          <t>ST-003</t>
        </is>
      </c>
      <c r="E407" s="2" t="inlineStr">
        <is>
          <t>Beklemede</t>
        </is>
      </c>
      <c r="F407" s="3" t="n">
        <v>35199.2</v>
      </c>
      <c r="G407" s="2" t="inlineStr">
        <is>
          <t>USD</t>
        </is>
      </c>
      <c r="H407" s="5" t="n">
        <v>1</v>
      </c>
      <c r="I407" s="2" t="n">
        <v>45</v>
      </c>
      <c r="J407" s="5" t="inlineStr">
        <is>
          <t>CIF</t>
        </is>
      </c>
      <c r="K407" s="6" t="n">
        <v>45955</v>
      </c>
      <c r="L407" s="2" t="inlineStr">
        <is>
          <t>Acik</t>
        </is>
      </c>
      <c r="M407" s="2" t="inlineStr"/>
    </row>
    <row r="408">
      <c r="A408" s="2" t="inlineStr">
        <is>
          <t>TKL-0407</t>
        </is>
      </c>
      <c r="B408" s="6" t="n">
        <v>45907</v>
      </c>
      <c r="C408" s="2" t="inlineStr">
        <is>
          <t>MUS-016</t>
        </is>
      </c>
      <c r="D408" s="2" t="inlineStr">
        <is>
          <t>ST-002</t>
        </is>
      </c>
      <c r="E408" s="2" t="inlineStr">
        <is>
          <t>Kaybedildi</t>
        </is>
      </c>
      <c r="F408" s="3" t="n">
        <v>6761.6</v>
      </c>
      <c r="G408" s="2" t="inlineStr">
        <is>
          <t>EUR</t>
        </is>
      </c>
      <c r="H408" s="5" t="n">
        <v>1.1328</v>
      </c>
      <c r="I408" s="2" t="n">
        <v>45</v>
      </c>
      <c r="J408" s="5" t="inlineStr">
        <is>
          <t>DAP</t>
        </is>
      </c>
      <c r="K408" s="6" t="n">
        <v>45929</v>
      </c>
      <c r="L408" s="2" t="inlineStr">
        <is>
          <t>Kaybedildi</t>
        </is>
      </c>
      <c r="M408" s="2" t="inlineStr">
        <is>
          <t>Termin Uzun</t>
        </is>
      </c>
    </row>
    <row r="409">
      <c r="A409" s="2" t="inlineStr">
        <is>
          <t>TKL-0408</t>
        </is>
      </c>
      <c r="B409" s="6" t="n">
        <v>45922</v>
      </c>
      <c r="C409" s="2" t="inlineStr">
        <is>
          <t>MUS-068</t>
        </is>
      </c>
      <c r="D409" s="2" t="inlineStr">
        <is>
          <t>ST-001</t>
        </is>
      </c>
      <c r="E409" s="2" t="inlineStr">
        <is>
          <t>Siparise Donustu</t>
        </is>
      </c>
      <c r="F409" s="3" t="n">
        <v>11751.3</v>
      </c>
      <c r="G409" s="2" t="inlineStr">
        <is>
          <t>EUR</t>
        </is>
      </c>
      <c r="H409" s="5" t="n">
        <v>1.1328</v>
      </c>
      <c r="I409" s="2" t="n">
        <v>15</v>
      </c>
      <c r="J409" s="5" t="inlineStr">
        <is>
          <t>DAP</t>
        </is>
      </c>
      <c r="K409" s="6" t="n">
        <v>45932</v>
      </c>
      <c r="L409" s="2" t="inlineStr">
        <is>
          <t>Kazanildi</t>
        </is>
      </c>
      <c r="M409" s="2" t="inlineStr"/>
    </row>
    <row r="410">
      <c r="A410" s="2" t="inlineStr">
        <is>
          <t>TKL-0409</t>
        </is>
      </c>
      <c r="B410" s="6" t="n">
        <v>45915</v>
      </c>
      <c r="C410" s="2" t="inlineStr">
        <is>
          <t>MUS-007</t>
        </is>
      </c>
      <c r="D410" s="2" t="inlineStr">
        <is>
          <t>ST-004</t>
        </is>
      </c>
      <c r="E410" s="2" t="inlineStr">
        <is>
          <t>Siparise Donustu</t>
        </is>
      </c>
      <c r="F410" s="3" t="n">
        <v>20439.76</v>
      </c>
      <c r="G410" s="2" t="inlineStr">
        <is>
          <t>USD</t>
        </is>
      </c>
      <c r="H410" s="5" t="n">
        <v>1</v>
      </c>
      <c r="I410" s="2" t="n">
        <v>45</v>
      </c>
      <c r="J410" s="5" t="inlineStr">
        <is>
          <t>CIF</t>
        </is>
      </c>
      <c r="K410" s="6" t="n">
        <v>45950</v>
      </c>
      <c r="L410" s="2" t="inlineStr">
        <is>
          <t>Kazanildi</t>
        </is>
      </c>
      <c r="M410" s="2" t="inlineStr"/>
    </row>
    <row r="411">
      <c r="A411" s="2" t="inlineStr">
        <is>
          <t>TKL-0410</t>
        </is>
      </c>
      <c r="B411" s="6" t="n">
        <v>45905</v>
      </c>
      <c r="C411" s="2" t="inlineStr">
        <is>
          <t>MUS-030</t>
        </is>
      </c>
      <c r="D411" s="2" t="inlineStr">
        <is>
          <t>ST-001</t>
        </is>
      </c>
      <c r="E411" s="2" t="inlineStr">
        <is>
          <t>Kaybedildi</t>
        </is>
      </c>
      <c r="F411" s="3" t="n">
        <v>56791.27</v>
      </c>
      <c r="G411" s="2" t="inlineStr">
        <is>
          <t>EUR</t>
        </is>
      </c>
      <c r="H411" s="5" t="n">
        <v>1.1328</v>
      </c>
      <c r="I411" s="2" t="n">
        <v>20</v>
      </c>
      <c r="J411" s="5" t="inlineStr">
        <is>
          <t>DAP</t>
        </is>
      </c>
      <c r="K411" s="6" t="n">
        <v>45919</v>
      </c>
      <c r="L411" s="2" t="inlineStr">
        <is>
          <t>Kaybedildi</t>
        </is>
      </c>
      <c r="M411" s="2" t="inlineStr">
        <is>
          <t>Butce Ertelendi</t>
        </is>
      </c>
    </row>
    <row r="412">
      <c r="A412" s="2" t="inlineStr">
        <is>
          <t>TKL-0411</t>
        </is>
      </c>
      <c r="B412" s="6" t="n">
        <v>45919</v>
      </c>
      <c r="C412" s="2" t="inlineStr">
        <is>
          <t>MUS-021</t>
        </is>
      </c>
      <c r="D412" s="2" t="inlineStr">
        <is>
          <t>ST-002</t>
        </is>
      </c>
      <c r="E412" s="2" t="inlineStr">
        <is>
          <t>Siparise Donustu</t>
        </is>
      </c>
      <c r="F412" s="3" t="n">
        <v>55376.61</v>
      </c>
      <c r="G412" s="2" t="inlineStr">
        <is>
          <t>EUR</t>
        </is>
      </c>
      <c r="H412" s="5" t="n">
        <v>1.1328</v>
      </c>
      <c r="I412" s="2" t="n">
        <v>45</v>
      </c>
      <c r="J412" s="5" t="inlineStr">
        <is>
          <t>DAP</t>
        </is>
      </c>
      <c r="K412" s="6" t="n">
        <v>45955</v>
      </c>
      <c r="L412" s="2" t="inlineStr">
        <is>
          <t>Kazanildi</t>
        </is>
      </c>
      <c r="M412" s="2" t="inlineStr"/>
    </row>
    <row r="413">
      <c r="A413" s="2" t="inlineStr">
        <is>
          <t>TKL-0412</t>
        </is>
      </c>
      <c r="B413" s="6" t="n">
        <v>45911</v>
      </c>
      <c r="C413" s="2" t="inlineStr">
        <is>
          <t>MUS-040</t>
        </is>
      </c>
      <c r="D413" s="2" t="inlineStr">
        <is>
          <t>ST-003</t>
        </is>
      </c>
      <c r="E413" s="2" t="inlineStr">
        <is>
          <t>Siparise Donustu</t>
        </is>
      </c>
      <c r="F413" s="3" t="n">
        <v>14555.59</v>
      </c>
      <c r="G413" s="2" t="inlineStr">
        <is>
          <t>USD</t>
        </is>
      </c>
      <c r="H413" s="5" t="n">
        <v>1</v>
      </c>
      <c r="I413" s="2" t="n">
        <v>20</v>
      </c>
      <c r="J413" s="5" t="inlineStr">
        <is>
          <t>CIF</t>
        </is>
      </c>
      <c r="K413" s="6" t="n">
        <v>45926</v>
      </c>
      <c r="L413" s="2" t="inlineStr">
        <is>
          <t>Kazanildi</t>
        </is>
      </c>
      <c r="M413" s="2" t="inlineStr"/>
    </row>
    <row r="414">
      <c r="A414" s="2" t="inlineStr">
        <is>
          <t>TKL-0413</t>
        </is>
      </c>
      <c r="B414" s="6" t="n">
        <v>45916</v>
      </c>
      <c r="C414" s="2" t="inlineStr">
        <is>
          <t>MUS-071</t>
        </is>
      </c>
      <c r="D414" s="2" t="inlineStr">
        <is>
          <t>ST-008</t>
        </is>
      </c>
      <c r="E414" s="2" t="inlineStr">
        <is>
          <t>Beklemede</t>
        </is>
      </c>
      <c r="F414" s="3" t="n">
        <v>36266.53</v>
      </c>
      <c r="G414" s="2" t="inlineStr">
        <is>
          <t>USD</t>
        </is>
      </c>
      <c r="H414" s="5" t="n">
        <v>1</v>
      </c>
      <c r="I414" s="2" t="n">
        <v>20</v>
      </c>
      <c r="J414" s="5" t="inlineStr">
        <is>
          <t>FCA</t>
        </is>
      </c>
      <c r="K414" s="6" t="n">
        <v>45927</v>
      </c>
      <c r="L414" s="2" t="inlineStr">
        <is>
          <t>Acik</t>
        </is>
      </c>
      <c r="M414" s="2" t="inlineStr"/>
    </row>
    <row r="415">
      <c r="A415" s="2" t="inlineStr">
        <is>
          <t>TKL-0414</t>
        </is>
      </c>
      <c r="B415" s="6" t="n">
        <v>45927</v>
      </c>
      <c r="C415" s="2" t="inlineStr">
        <is>
          <t>MUS-053</t>
        </is>
      </c>
      <c r="D415" s="2" t="inlineStr">
        <is>
          <t>ST-002</t>
        </is>
      </c>
      <c r="E415" s="2" t="inlineStr">
        <is>
          <t>Siparise Donustu</t>
        </is>
      </c>
      <c r="F415" s="3" t="n">
        <v>57910.59</v>
      </c>
      <c r="G415" s="2" t="inlineStr">
        <is>
          <t>EUR</t>
        </is>
      </c>
      <c r="H415" s="5" t="n">
        <v>1.1328</v>
      </c>
      <c r="I415" s="2" t="n">
        <v>30</v>
      </c>
      <c r="J415" s="5" t="inlineStr">
        <is>
          <t>DAP</t>
        </is>
      </c>
      <c r="K415" s="6" t="n">
        <v>45944</v>
      </c>
      <c r="L415" s="2" t="inlineStr">
        <is>
          <t>Kazanildi</t>
        </is>
      </c>
      <c r="M415" s="2" t="inlineStr"/>
    </row>
    <row r="416">
      <c r="A416" s="2" t="inlineStr">
        <is>
          <t>TKL-0415</t>
        </is>
      </c>
      <c r="B416" s="6" t="n">
        <v>45907</v>
      </c>
      <c r="C416" s="2" t="inlineStr">
        <is>
          <t>MUS-051</t>
        </is>
      </c>
      <c r="D416" s="2" t="inlineStr">
        <is>
          <t>ST-002</t>
        </is>
      </c>
      <c r="E416" s="2" t="inlineStr">
        <is>
          <t>Siparise Donustu</t>
        </is>
      </c>
      <c r="F416" s="3" t="n">
        <v>5184.19</v>
      </c>
      <c r="G416" s="2" t="inlineStr">
        <is>
          <t>EUR</t>
        </is>
      </c>
      <c r="H416" s="5" t="n">
        <v>1.1328</v>
      </c>
      <c r="I416" s="2" t="n">
        <v>15</v>
      </c>
      <c r="J416" s="5" t="inlineStr">
        <is>
          <t>DAP</t>
        </is>
      </c>
      <c r="K416" s="6" t="n">
        <v>45921</v>
      </c>
      <c r="L416" s="2" t="inlineStr">
        <is>
          <t>Kazanildi</t>
        </is>
      </c>
      <c r="M416" s="2" t="inlineStr"/>
    </row>
    <row r="417">
      <c r="A417" s="2" t="inlineStr">
        <is>
          <t>TKL-0416</t>
        </is>
      </c>
      <c r="B417" s="6" t="n">
        <v>45907</v>
      </c>
      <c r="C417" s="2" t="inlineStr">
        <is>
          <t>MUS-035</t>
        </is>
      </c>
      <c r="D417" s="2" t="inlineStr">
        <is>
          <t>ST-001</t>
        </is>
      </c>
      <c r="E417" s="2" t="inlineStr">
        <is>
          <t>Siparise Donustu</t>
        </is>
      </c>
      <c r="F417" s="3" t="n">
        <v>45639.04</v>
      </c>
      <c r="G417" s="2" t="inlineStr">
        <is>
          <t>EUR</t>
        </is>
      </c>
      <c r="H417" s="5" t="n">
        <v>1.1328</v>
      </c>
      <c r="I417" s="2" t="n">
        <v>20</v>
      </c>
      <c r="J417" s="5" t="inlineStr">
        <is>
          <t>FCA</t>
        </is>
      </c>
      <c r="K417" s="6" t="n">
        <v>45921</v>
      </c>
      <c r="L417" s="2" t="inlineStr">
        <is>
          <t>Kazanildi</t>
        </is>
      </c>
      <c r="M417" s="2" t="inlineStr"/>
    </row>
    <row r="418">
      <c r="A418" s="2" t="inlineStr">
        <is>
          <t>TKL-0417</t>
        </is>
      </c>
      <c r="B418" s="6" t="n">
        <v>45917</v>
      </c>
      <c r="C418" s="2" t="inlineStr">
        <is>
          <t>MUS-008</t>
        </is>
      </c>
      <c r="D418" s="2" t="inlineStr">
        <is>
          <t>ST-007</t>
        </is>
      </c>
      <c r="E418" s="2" t="inlineStr">
        <is>
          <t>Siparise Donustu</t>
        </is>
      </c>
      <c r="F418" s="3" t="n">
        <v>39739.24</v>
      </c>
      <c r="G418" s="2" t="inlineStr">
        <is>
          <t>USD</t>
        </is>
      </c>
      <c r="H418" s="5" t="n">
        <v>1</v>
      </c>
      <c r="I418" s="2" t="n">
        <v>15</v>
      </c>
      <c r="J418" s="5" t="inlineStr">
        <is>
          <t>FCA</t>
        </is>
      </c>
      <c r="K418" s="6" t="n">
        <v>45923</v>
      </c>
      <c r="L418" s="2" t="inlineStr">
        <is>
          <t>Kazanildi</t>
        </is>
      </c>
      <c r="M418" s="2" t="inlineStr"/>
    </row>
    <row r="419">
      <c r="A419" s="2" t="inlineStr">
        <is>
          <t>TKL-0418</t>
        </is>
      </c>
      <c r="B419" s="6" t="n">
        <v>45903</v>
      </c>
      <c r="C419" s="2" t="inlineStr">
        <is>
          <t>MUS-053</t>
        </is>
      </c>
      <c r="D419" s="2" t="inlineStr">
        <is>
          <t>ST-002</t>
        </is>
      </c>
      <c r="E419" s="2" t="inlineStr">
        <is>
          <t>Siparise Donustu</t>
        </is>
      </c>
      <c r="F419" s="3" t="n">
        <v>23031.08</v>
      </c>
      <c r="G419" s="2" t="inlineStr">
        <is>
          <t>EUR</t>
        </is>
      </c>
      <c r="H419" s="5" t="n">
        <v>1.1328</v>
      </c>
      <c r="I419" s="2" t="n">
        <v>30</v>
      </c>
      <c r="J419" s="5" t="inlineStr">
        <is>
          <t>DAP</t>
        </is>
      </c>
      <c r="K419" s="6" t="n">
        <v>45916</v>
      </c>
      <c r="L419" s="2" t="inlineStr">
        <is>
          <t>Kazanildi</t>
        </is>
      </c>
      <c r="M419" s="2" t="inlineStr"/>
    </row>
    <row r="420">
      <c r="A420" s="2" t="inlineStr">
        <is>
          <t>TKL-0419</t>
        </is>
      </c>
      <c r="B420" s="6" t="n">
        <v>45902</v>
      </c>
      <c r="C420" s="2" t="inlineStr">
        <is>
          <t>MUS-048</t>
        </is>
      </c>
      <c r="D420" s="2" t="inlineStr">
        <is>
          <t>ST-001</t>
        </is>
      </c>
      <c r="E420" s="2" t="inlineStr">
        <is>
          <t>Siparise Donustu</t>
        </is>
      </c>
      <c r="F420" s="3" t="n">
        <v>53668.21</v>
      </c>
      <c r="G420" s="2" t="inlineStr">
        <is>
          <t>EUR</t>
        </is>
      </c>
      <c r="H420" s="5" t="n">
        <v>1.1328</v>
      </c>
      <c r="I420" s="2" t="n">
        <v>20</v>
      </c>
      <c r="J420" s="5" t="inlineStr">
        <is>
          <t>DAP</t>
        </is>
      </c>
      <c r="K420" s="6" t="n">
        <v>45922</v>
      </c>
      <c r="L420" s="2" t="inlineStr">
        <is>
          <t>Kazanildi</t>
        </is>
      </c>
      <c r="M420" s="2" t="inlineStr"/>
    </row>
    <row r="421">
      <c r="A421" s="2" t="inlineStr">
        <is>
          <t>TKL-0420</t>
        </is>
      </c>
      <c r="B421" s="6" t="n">
        <v>45916</v>
      </c>
      <c r="C421" s="2" t="inlineStr">
        <is>
          <t>MUS-074</t>
        </is>
      </c>
      <c r="D421" s="2" t="inlineStr">
        <is>
          <t>ST-008</t>
        </is>
      </c>
      <c r="E421" s="2" t="inlineStr">
        <is>
          <t>Kaybedildi</t>
        </is>
      </c>
      <c r="F421" s="3" t="n">
        <v>45118.42</v>
      </c>
      <c r="G421" s="2" t="inlineStr">
        <is>
          <t>USD</t>
        </is>
      </c>
      <c r="H421" s="5" t="n">
        <v>1</v>
      </c>
      <c r="I421" s="2" t="n">
        <v>30</v>
      </c>
      <c r="J421" s="5" t="inlineStr">
        <is>
          <t>FCA</t>
        </is>
      </c>
      <c r="K421" s="6" t="n">
        <v>45923</v>
      </c>
      <c r="L421" s="2" t="inlineStr">
        <is>
          <t>Kaybedildi</t>
        </is>
      </c>
      <c r="M421" s="2" t="inlineStr">
        <is>
          <t>Fiyat Yuksek</t>
        </is>
      </c>
    </row>
    <row r="422">
      <c r="A422" s="2" t="inlineStr">
        <is>
          <t>TKL-0421</t>
        </is>
      </c>
      <c r="B422" s="6" t="n">
        <v>45922</v>
      </c>
      <c r="C422" s="2" t="inlineStr">
        <is>
          <t>MUS-033</t>
        </is>
      </c>
      <c r="D422" s="2" t="inlineStr">
        <is>
          <t>ST-005</t>
        </is>
      </c>
      <c r="E422" s="2" t="inlineStr">
        <is>
          <t>Kaybedildi</t>
        </is>
      </c>
      <c r="F422" s="3" t="n">
        <v>35614.8</v>
      </c>
      <c r="G422" s="2" t="inlineStr">
        <is>
          <t>USD</t>
        </is>
      </c>
      <c r="H422" s="5" t="n">
        <v>1</v>
      </c>
      <c r="I422" s="2" t="n">
        <v>15</v>
      </c>
      <c r="J422" s="5" t="inlineStr">
        <is>
          <t>CFR</t>
        </is>
      </c>
      <c r="K422" s="6" t="n">
        <v>45933</v>
      </c>
      <c r="L422" s="2" t="inlineStr">
        <is>
          <t>Kaybedildi</t>
        </is>
      </c>
      <c r="M422" s="2" t="inlineStr">
        <is>
          <t>Termin Uzun</t>
        </is>
      </c>
    </row>
    <row r="423">
      <c r="A423" s="2" t="inlineStr">
        <is>
          <t>TKL-0422</t>
        </is>
      </c>
      <c r="B423" s="6" t="n">
        <v>45909</v>
      </c>
      <c r="C423" s="2" t="inlineStr">
        <is>
          <t>MUS-016</t>
        </is>
      </c>
      <c r="D423" s="2" t="inlineStr">
        <is>
          <t>ST-001</t>
        </is>
      </c>
      <c r="E423" s="2" t="inlineStr">
        <is>
          <t>Siparise Donustu</t>
        </is>
      </c>
      <c r="F423" s="3" t="n">
        <v>2481.6</v>
      </c>
      <c r="G423" s="2" t="inlineStr">
        <is>
          <t>EUR</t>
        </is>
      </c>
      <c r="H423" s="5" t="n">
        <v>1.1328</v>
      </c>
      <c r="I423" s="2" t="n">
        <v>45</v>
      </c>
      <c r="J423" s="5" t="inlineStr">
        <is>
          <t>DAP</t>
        </is>
      </c>
      <c r="K423" s="6" t="n">
        <v>45920</v>
      </c>
      <c r="L423" s="2" t="inlineStr">
        <is>
          <t>Kazanildi</t>
        </is>
      </c>
      <c r="M423" s="2" t="inlineStr"/>
    </row>
    <row r="424">
      <c r="A424" s="2" t="inlineStr">
        <is>
          <t>TKL-0423</t>
        </is>
      </c>
      <c r="B424" s="6" t="n">
        <v>45901</v>
      </c>
      <c r="C424" s="2" t="inlineStr">
        <is>
          <t>MUS-008</t>
        </is>
      </c>
      <c r="D424" s="2" t="inlineStr">
        <is>
          <t>ST-008</t>
        </is>
      </c>
      <c r="E424" s="2" t="inlineStr">
        <is>
          <t>Kaybedildi</t>
        </is>
      </c>
      <c r="F424" s="3" t="n">
        <v>44126.8</v>
      </c>
      <c r="G424" s="2" t="inlineStr">
        <is>
          <t>USD</t>
        </is>
      </c>
      <c r="H424" s="5" t="n">
        <v>1</v>
      </c>
      <c r="I424" s="2" t="n">
        <v>20</v>
      </c>
      <c r="J424" s="5" t="inlineStr">
        <is>
          <t>FCA</t>
        </is>
      </c>
      <c r="K424" s="6" t="n">
        <v>45911</v>
      </c>
      <c r="L424" s="2" t="inlineStr">
        <is>
          <t>Kaybedildi</t>
        </is>
      </c>
      <c r="M424" s="2" t="inlineStr">
        <is>
          <t>Butce Ertelendi</t>
        </is>
      </c>
    </row>
    <row r="425">
      <c r="A425" s="2" t="inlineStr">
        <is>
          <t>TKL-0424</t>
        </is>
      </c>
      <c r="B425" s="6" t="n">
        <v>45905</v>
      </c>
      <c r="C425" s="2" t="inlineStr">
        <is>
          <t>MUS-034</t>
        </is>
      </c>
      <c r="D425" s="2" t="inlineStr">
        <is>
          <t>ST-001</t>
        </is>
      </c>
      <c r="E425" s="2" t="inlineStr">
        <is>
          <t>Siparise Donustu</t>
        </is>
      </c>
      <c r="F425" s="3" t="n">
        <v>18785.52</v>
      </c>
      <c r="G425" s="2" t="inlineStr">
        <is>
          <t>EUR</t>
        </is>
      </c>
      <c r="H425" s="5" t="n">
        <v>1.1328</v>
      </c>
      <c r="I425" s="2" t="n">
        <v>20</v>
      </c>
      <c r="J425" s="5" t="inlineStr">
        <is>
          <t>DAP</t>
        </is>
      </c>
      <c r="K425" s="6" t="n">
        <v>45924</v>
      </c>
      <c r="L425" s="2" t="inlineStr">
        <is>
          <t>Kazanildi</t>
        </is>
      </c>
      <c r="M425" s="2" t="inlineStr"/>
    </row>
    <row r="426">
      <c r="A426" s="2" t="inlineStr">
        <is>
          <t>TKL-0425</t>
        </is>
      </c>
      <c r="B426" s="6" t="n">
        <v>45919</v>
      </c>
      <c r="C426" s="2" t="inlineStr">
        <is>
          <t>MUS-033</t>
        </is>
      </c>
      <c r="D426" s="2" t="inlineStr">
        <is>
          <t>ST-005</t>
        </is>
      </c>
      <c r="E426" s="2" t="inlineStr">
        <is>
          <t>Siparise Donustu</t>
        </is>
      </c>
      <c r="F426" s="3" t="n">
        <v>11809.37</v>
      </c>
      <c r="G426" s="2" t="inlineStr">
        <is>
          <t>USD</t>
        </is>
      </c>
      <c r="H426" s="5" t="n">
        <v>1</v>
      </c>
      <c r="I426" s="2" t="n">
        <v>20</v>
      </c>
      <c r="J426" s="5" t="inlineStr">
        <is>
          <t>CFR</t>
        </is>
      </c>
      <c r="K426" s="6" t="n">
        <v>45935</v>
      </c>
      <c r="L426" s="2" t="inlineStr">
        <is>
          <t>Kazanildi</t>
        </is>
      </c>
      <c r="M426" s="2" t="inlineStr"/>
    </row>
    <row r="427">
      <c r="A427" s="2" t="inlineStr">
        <is>
          <t>TKL-0426</t>
        </is>
      </c>
      <c r="B427" s="6" t="n">
        <v>45906</v>
      </c>
      <c r="C427" s="2" t="inlineStr">
        <is>
          <t>MUS-069</t>
        </is>
      </c>
      <c r="D427" s="2" t="inlineStr">
        <is>
          <t>ST-002</t>
        </is>
      </c>
      <c r="E427" s="2" t="inlineStr">
        <is>
          <t>Beklemede</t>
        </is>
      </c>
      <c r="F427" s="3" t="n">
        <v>39374.87</v>
      </c>
      <c r="G427" s="2" t="inlineStr">
        <is>
          <t>EUR</t>
        </is>
      </c>
      <c r="H427" s="5" t="n">
        <v>1.1328</v>
      </c>
      <c r="I427" s="2" t="n">
        <v>30</v>
      </c>
      <c r="J427" s="5" t="inlineStr">
        <is>
          <t>FCA</t>
        </is>
      </c>
      <c r="K427" s="6" t="n">
        <v>45934</v>
      </c>
      <c r="L427" s="2" t="inlineStr">
        <is>
          <t>Acik</t>
        </is>
      </c>
      <c r="M427" s="2" t="inlineStr"/>
    </row>
    <row r="428">
      <c r="A428" s="2" t="inlineStr">
        <is>
          <t>TKL-0427</t>
        </is>
      </c>
      <c r="B428" s="6" t="n">
        <v>45927</v>
      </c>
      <c r="C428" s="2" t="inlineStr">
        <is>
          <t>MUS-013</t>
        </is>
      </c>
      <c r="D428" s="2" t="inlineStr">
        <is>
          <t>ST-001</t>
        </is>
      </c>
      <c r="E428" s="2" t="inlineStr">
        <is>
          <t>Kaybedildi</t>
        </is>
      </c>
      <c r="F428" s="3" t="n">
        <v>23326.36</v>
      </c>
      <c r="G428" s="2" t="inlineStr">
        <is>
          <t>EUR</t>
        </is>
      </c>
      <c r="H428" s="5" t="n">
        <v>1.1328</v>
      </c>
      <c r="I428" s="2" t="n">
        <v>30</v>
      </c>
      <c r="J428" s="5" t="inlineStr">
        <is>
          <t>FCA</t>
        </is>
      </c>
      <c r="K428" s="6" t="n">
        <v>45936</v>
      </c>
      <c r="L428" s="2" t="inlineStr">
        <is>
          <t>Kaybedildi</t>
        </is>
      </c>
      <c r="M428" s="2" t="inlineStr">
        <is>
          <t>Termin Uzun</t>
        </is>
      </c>
    </row>
    <row r="429">
      <c r="A429" s="2" t="inlineStr">
        <is>
          <t>TKL-0428</t>
        </is>
      </c>
      <c r="B429" s="6" t="n">
        <v>45929</v>
      </c>
      <c r="C429" s="2" t="inlineStr">
        <is>
          <t>MUS-043</t>
        </is>
      </c>
      <c r="D429" s="2" t="inlineStr">
        <is>
          <t>ST-002</t>
        </is>
      </c>
      <c r="E429" s="2" t="inlineStr">
        <is>
          <t>Siparise Donustu</t>
        </is>
      </c>
      <c r="F429" s="3" t="n">
        <v>39754.55</v>
      </c>
      <c r="G429" s="2" t="inlineStr">
        <is>
          <t>EUR</t>
        </is>
      </c>
      <c r="H429" s="5" t="n">
        <v>1.1328</v>
      </c>
      <c r="I429" s="2" t="n">
        <v>30</v>
      </c>
      <c r="J429" s="5" t="inlineStr">
        <is>
          <t>DAP</t>
        </is>
      </c>
      <c r="K429" s="6" t="n">
        <v>45946</v>
      </c>
      <c r="L429" s="2" t="inlineStr">
        <is>
          <t>Kazanildi</t>
        </is>
      </c>
      <c r="M429" s="2" t="inlineStr"/>
    </row>
    <row r="430">
      <c r="A430" s="2" t="inlineStr">
        <is>
          <t>TKL-0429</t>
        </is>
      </c>
      <c r="B430" s="6" t="n">
        <v>45917</v>
      </c>
      <c r="C430" s="2" t="inlineStr">
        <is>
          <t>MUS-084</t>
        </is>
      </c>
      <c r="D430" s="2" t="inlineStr">
        <is>
          <t>ST-002</t>
        </is>
      </c>
      <c r="E430" s="2" t="inlineStr">
        <is>
          <t>Siparise Donustu</t>
        </is>
      </c>
      <c r="F430" s="3" t="n">
        <v>31683.63</v>
      </c>
      <c r="G430" s="2" t="inlineStr">
        <is>
          <t>EUR</t>
        </is>
      </c>
      <c r="H430" s="5" t="n">
        <v>1.1328</v>
      </c>
      <c r="I430" s="2" t="n">
        <v>20</v>
      </c>
      <c r="J430" s="5" t="inlineStr">
        <is>
          <t>DAP</t>
        </is>
      </c>
      <c r="K430" s="6" t="n">
        <v>45931</v>
      </c>
      <c r="L430" s="2" t="inlineStr">
        <is>
          <t>Kazanildi</t>
        </is>
      </c>
      <c r="M430" s="2" t="inlineStr"/>
    </row>
    <row r="431">
      <c r="A431" s="2" t="inlineStr">
        <is>
          <t>TKL-0430</t>
        </is>
      </c>
      <c r="B431" s="6" t="n">
        <v>45961</v>
      </c>
      <c r="C431" s="2" t="inlineStr">
        <is>
          <t>MUS-067</t>
        </is>
      </c>
      <c r="D431" s="2" t="inlineStr">
        <is>
          <t>ST-003</t>
        </is>
      </c>
      <c r="E431" s="2" t="inlineStr">
        <is>
          <t>Kaybedildi</t>
        </is>
      </c>
      <c r="F431" s="3" t="n">
        <v>20683.65</v>
      </c>
      <c r="G431" s="2" t="inlineStr">
        <is>
          <t>USD</t>
        </is>
      </c>
      <c r="H431" s="5" t="n">
        <v>1</v>
      </c>
      <c r="I431" s="2" t="n">
        <v>20</v>
      </c>
      <c r="J431" s="5" t="inlineStr">
        <is>
          <t>CIF</t>
        </is>
      </c>
      <c r="K431" s="6" t="n">
        <v>45970</v>
      </c>
      <c r="L431" s="2" t="inlineStr">
        <is>
          <t>Kaybedildi</t>
        </is>
      </c>
      <c r="M431" s="2" t="inlineStr">
        <is>
          <t>Butce Ertelendi</t>
        </is>
      </c>
    </row>
    <row r="432">
      <c r="A432" s="2" t="inlineStr">
        <is>
          <t>TKL-0431</t>
        </is>
      </c>
      <c r="B432" s="6" t="n">
        <v>45936</v>
      </c>
      <c r="C432" s="2" t="inlineStr">
        <is>
          <t>MUS-014</t>
        </is>
      </c>
      <c r="D432" s="2" t="inlineStr">
        <is>
          <t>ST-007</t>
        </is>
      </c>
      <c r="E432" s="2" t="inlineStr">
        <is>
          <t>Kaybedildi</t>
        </is>
      </c>
      <c r="F432" s="3" t="n">
        <v>50911.31</v>
      </c>
      <c r="G432" s="2" t="inlineStr">
        <is>
          <t>USD</t>
        </is>
      </c>
      <c r="H432" s="5" t="n">
        <v>1</v>
      </c>
      <c r="I432" s="2" t="n">
        <v>20</v>
      </c>
      <c r="J432" s="5" t="inlineStr">
        <is>
          <t>FCA</t>
        </is>
      </c>
      <c r="K432" s="6" t="n">
        <v>45948</v>
      </c>
      <c r="L432" s="2" t="inlineStr">
        <is>
          <t>Kaybedildi</t>
        </is>
      </c>
      <c r="M432" s="2" t="inlineStr">
        <is>
          <t>Fiyat Yuksek</t>
        </is>
      </c>
    </row>
    <row r="433">
      <c r="A433" s="2" t="inlineStr">
        <is>
          <t>TKL-0432</t>
        </is>
      </c>
      <c r="B433" s="6" t="n">
        <v>45936</v>
      </c>
      <c r="C433" s="2" t="inlineStr">
        <is>
          <t>MUS-015</t>
        </is>
      </c>
      <c r="D433" s="2" t="inlineStr">
        <is>
          <t>ST-002</t>
        </is>
      </c>
      <c r="E433" s="2" t="inlineStr">
        <is>
          <t>Siparise Donustu</t>
        </is>
      </c>
      <c r="F433" s="3" t="n">
        <v>10983.67</v>
      </c>
      <c r="G433" s="2" t="inlineStr">
        <is>
          <t>EUR</t>
        </is>
      </c>
      <c r="H433" s="5" t="n">
        <v>1.1257</v>
      </c>
      <c r="I433" s="2" t="n">
        <v>30</v>
      </c>
      <c r="J433" s="5" t="inlineStr">
        <is>
          <t>DAP</t>
        </is>
      </c>
      <c r="K433" s="6" t="n">
        <v>45944</v>
      </c>
      <c r="L433" s="2" t="inlineStr">
        <is>
          <t>Kazanildi</t>
        </is>
      </c>
      <c r="M433" s="2" t="inlineStr"/>
    </row>
    <row r="434">
      <c r="A434" s="2" t="inlineStr">
        <is>
          <t>TKL-0433</t>
        </is>
      </c>
      <c r="B434" s="6" t="n">
        <v>45946</v>
      </c>
      <c r="C434" s="2" t="inlineStr">
        <is>
          <t>MUS-049</t>
        </is>
      </c>
      <c r="D434" s="2" t="inlineStr">
        <is>
          <t>ST-003</t>
        </is>
      </c>
      <c r="E434" s="2" t="inlineStr">
        <is>
          <t>Kaybedildi</t>
        </is>
      </c>
      <c r="F434" s="3" t="n">
        <v>9031.59</v>
      </c>
      <c r="G434" s="2" t="inlineStr">
        <is>
          <t>USD</t>
        </is>
      </c>
      <c r="H434" s="5" t="n">
        <v>1</v>
      </c>
      <c r="I434" s="2" t="n">
        <v>45</v>
      </c>
      <c r="J434" s="5" t="inlineStr">
        <is>
          <t>CIF</t>
        </is>
      </c>
      <c r="K434" s="6" t="n">
        <v>45967</v>
      </c>
      <c r="L434" s="2" t="inlineStr">
        <is>
          <t>Kaybedildi</t>
        </is>
      </c>
      <c r="M434" s="2" t="inlineStr">
        <is>
          <t>Termin Uzun</t>
        </is>
      </c>
    </row>
    <row r="435">
      <c r="A435" s="2" t="inlineStr">
        <is>
          <t>TKL-0434</t>
        </is>
      </c>
      <c r="B435" s="6" t="n">
        <v>45957</v>
      </c>
      <c r="C435" s="2" t="inlineStr">
        <is>
          <t>MUS-054</t>
        </is>
      </c>
      <c r="D435" s="2" t="inlineStr">
        <is>
          <t>ST-003</t>
        </is>
      </c>
      <c r="E435" s="2" t="inlineStr">
        <is>
          <t>Siparise Donustu</t>
        </is>
      </c>
      <c r="F435" s="3" t="n">
        <v>8462.74</v>
      </c>
      <c r="G435" s="2" t="inlineStr">
        <is>
          <t>USD</t>
        </is>
      </c>
      <c r="H435" s="5" t="n">
        <v>1</v>
      </c>
      <c r="I435" s="2" t="n">
        <v>20</v>
      </c>
      <c r="J435" s="5" t="inlineStr">
        <is>
          <t>CIF</t>
        </is>
      </c>
      <c r="K435" s="6" t="n">
        <v>45962</v>
      </c>
      <c r="L435" s="2" t="inlineStr">
        <is>
          <t>Kazanildi</t>
        </is>
      </c>
      <c r="M435" s="2" t="inlineStr"/>
    </row>
    <row r="436">
      <c r="A436" s="2" t="inlineStr">
        <is>
          <t>TKL-0435</t>
        </is>
      </c>
      <c r="B436" s="6" t="n">
        <v>45952</v>
      </c>
      <c r="C436" s="2" t="inlineStr">
        <is>
          <t>MUS-023</t>
        </is>
      </c>
      <c r="D436" s="2" t="inlineStr">
        <is>
          <t>ST-004</t>
        </is>
      </c>
      <c r="E436" s="2" t="inlineStr">
        <is>
          <t>Siparise Donustu</t>
        </is>
      </c>
      <c r="F436" s="3" t="n">
        <v>38329.35</v>
      </c>
      <c r="G436" s="2" t="inlineStr">
        <is>
          <t>USD</t>
        </is>
      </c>
      <c r="H436" s="5" t="n">
        <v>1</v>
      </c>
      <c r="I436" s="2" t="n">
        <v>30</v>
      </c>
      <c r="J436" s="5" t="inlineStr">
        <is>
          <t>CIF</t>
        </is>
      </c>
      <c r="K436" s="6" t="n">
        <v>45960</v>
      </c>
      <c r="L436" s="2" t="inlineStr">
        <is>
          <t>Kazanildi</t>
        </is>
      </c>
      <c r="M436" s="2" t="inlineStr"/>
    </row>
    <row r="437">
      <c r="A437" s="2" t="inlineStr">
        <is>
          <t>TKL-0436</t>
        </is>
      </c>
      <c r="B437" s="6" t="n">
        <v>45944</v>
      </c>
      <c r="C437" s="2" t="inlineStr">
        <is>
          <t>MUS-060</t>
        </is>
      </c>
      <c r="D437" s="2" t="inlineStr">
        <is>
          <t>ST-001</t>
        </is>
      </c>
      <c r="E437" s="2" t="inlineStr">
        <is>
          <t>Siparise Donustu</t>
        </is>
      </c>
      <c r="F437" s="3" t="n">
        <v>15860.08</v>
      </c>
      <c r="G437" s="2" t="inlineStr">
        <is>
          <t>EUR</t>
        </is>
      </c>
      <c r="H437" s="5" t="n">
        <v>1.1257</v>
      </c>
      <c r="I437" s="2" t="n">
        <v>15</v>
      </c>
      <c r="J437" s="5" t="inlineStr">
        <is>
          <t>DAP</t>
        </is>
      </c>
      <c r="K437" s="6" t="n">
        <v>45949</v>
      </c>
      <c r="L437" s="2" t="inlineStr">
        <is>
          <t>Kazanildi</t>
        </is>
      </c>
      <c r="M437" s="2" t="inlineStr"/>
    </row>
    <row r="438">
      <c r="A438" s="2" t="inlineStr">
        <is>
          <t>TKL-0437</t>
        </is>
      </c>
      <c r="B438" s="6" t="n">
        <v>45942</v>
      </c>
      <c r="C438" s="2" t="inlineStr">
        <is>
          <t>MUS-039</t>
        </is>
      </c>
      <c r="D438" s="2" t="inlineStr">
        <is>
          <t>ST-004</t>
        </is>
      </c>
      <c r="E438" s="2" t="inlineStr">
        <is>
          <t>Siparise Donustu</t>
        </is>
      </c>
      <c r="F438" s="3" t="n">
        <v>29522.33</v>
      </c>
      <c r="G438" s="2" t="inlineStr">
        <is>
          <t>USD</t>
        </is>
      </c>
      <c r="H438" s="5" t="n">
        <v>1</v>
      </c>
      <c r="I438" s="2" t="n">
        <v>30</v>
      </c>
      <c r="J438" s="5" t="inlineStr">
        <is>
          <t>CIF</t>
        </is>
      </c>
      <c r="K438" s="6" t="n">
        <v>45966</v>
      </c>
      <c r="L438" s="2" t="inlineStr">
        <is>
          <t>Kazanildi</t>
        </is>
      </c>
      <c r="M438" s="2" t="inlineStr"/>
    </row>
    <row r="439">
      <c r="A439" s="2" t="inlineStr">
        <is>
          <t>TKL-0438</t>
        </is>
      </c>
      <c r="B439" s="6" t="n">
        <v>45960</v>
      </c>
      <c r="C439" s="2" t="inlineStr">
        <is>
          <t>MUS-032</t>
        </is>
      </c>
      <c r="D439" s="2" t="inlineStr">
        <is>
          <t>ST-004</t>
        </is>
      </c>
      <c r="E439" s="2" t="inlineStr">
        <is>
          <t>Siparise Donustu</t>
        </is>
      </c>
      <c r="F439" s="3" t="n">
        <v>17660.49</v>
      </c>
      <c r="G439" s="2" t="inlineStr">
        <is>
          <t>USD</t>
        </is>
      </c>
      <c r="H439" s="5" t="n">
        <v>1</v>
      </c>
      <c r="I439" s="2" t="n">
        <v>30</v>
      </c>
      <c r="J439" s="5" t="inlineStr">
        <is>
          <t>CIF</t>
        </is>
      </c>
      <c r="K439" s="6" t="n">
        <v>45988</v>
      </c>
      <c r="L439" s="2" t="inlineStr">
        <is>
          <t>Kazanildi</t>
        </is>
      </c>
      <c r="M439" s="2" t="inlineStr"/>
    </row>
    <row r="440">
      <c r="A440" s="2" t="inlineStr">
        <is>
          <t>TKL-0439</t>
        </is>
      </c>
      <c r="B440" s="6" t="n">
        <v>45953</v>
      </c>
      <c r="C440" s="2" t="inlineStr">
        <is>
          <t>MUS-056</t>
        </is>
      </c>
      <c r="D440" s="2" t="inlineStr">
        <is>
          <t>ST-002</t>
        </is>
      </c>
      <c r="E440" s="2" t="inlineStr">
        <is>
          <t>Siparise Donustu</t>
        </is>
      </c>
      <c r="F440" s="3" t="n">
        <v>16864.35</v>
      </c>
      <c r="G440" s="2" t="inlineStr">
        <is>
          <t>EUR</t>
        </is>
      </c>
      <c r="H440" s="5" t="n">
        <v>1.1257</v>
      </c>
      <c r="I440" s="2" t="n">
        <v>20</v>
      </c>
      <c r="J440" s="5" t="inlineStr">
        <is>
          <t>DAP</t>
        </is>
      </c>
      <c r="K440" s="6" t="n">
        <v>45969</v>
      </c>
      <c r="L440" s="2" t="inlineStr">
        <is>
          <t>Kazanildi</t>
        </is>
      </c>
      <c r="M440" s="2" t="inlineStr"/>
    </row>
    <row r="441">
      <c r="A441" s="2" t="inlineStr">
        <is>
          <t>TKL-0440</t>
        </is>
      </c>
      <c r="B441" s="6" t="n">
        <v>45956</v>
      </c>
      <c r="C441" s="2" t="inlineStr">
        <is>
          <t>MUS-073</t>
        </is>
      </c>
      <c r="D441" s="2" t="inlineStr">
        <is>
          <t>ST-004</t>
        </is>
      </c>
      <c r="E441" s="2" t="inlineStr">
        <is>
          <t>Kaybedildi</t>
        </is>
      </c>
      <c r="F441" s="3" t="n">
        <v>5995.48</v>
      </c>
      <c r="G441" s="2" t="inlineStr">
        <is>
          <t>USD</t>
        </is>
      </c>
      <c r="H441" s="5" t="n">
        <v>1</v>
      </c>
      <c r="I441" s="2" t="n">
        <v>30</v>
      </c>
      <c r="J441" s="5" t="inlineStr">
        <is>
          <t>CIF</t>
        </is>
      </c>
      <c r="K441" s="6" t="n">
        <v>45961</v>
      </c>
      <c r="L441" s="2" t="inlineStr">
        <is>
          <t>Kaybedildi</t>
        </is>
      </c>
      <c r="M441" s="2" t="inlineStr">
        <is>
          <t>Termin Uzun</t>
        </is>
      </c>
    </row>
    <row r="442">
      <c r="A442" s="2" t="inlineStr">
        <is>
          <t>TKL-0441</t>
        </is>
      </c>
      <c r="B442" s="6" t="n">
        <v>45941</v>
      </c>
      <c r="C442" s="2" t="inlineStr">
        <is>
          <t>MUS-003</t>
        </is>
      </c>
      <c r="D442" s="2" t="inlineStr">
        <is>
          <t>ST-003</t>
        </is>
      </c>
      <c r="E442" s="2" t="inlineStr">
        <is>
          <t>Siparise Donustu</t>
        </is>
      </c>
      <c r="F442" s="3" t="n">
        <v>37903.69</v>
      </c>
      <c r="G442" s="2" t="inlineStr">
        <is>
          <t>USD</t>
        </is>
      </c>
      <c r="H442" s="5" t="n">
        <v>1</v>
      </c>
      <c r="I442" s="2" t="n">
        <v>20</v>
      </c>
      <c r="J442" s="5" t="inlineStr">
        <is>
          <t>CIF</t>
        </is>
      </c>
      <c r="K442" s="6" t="n">
        <v>45954</v>
      </c>
      <c r="L442" s="2" t="inlineStr">
        <is>
          <t>Kazanildi</t>
        </is>
      </c>
      <c r="M442" s="2" t="inlineStr"/>
    </row>
    <row r="443">
      <c r="A443" s="2" t="inlineStr">
        <is>
          <t>TKL-0442</t>
        </is>
      </c>
      <c r="B443" s="6" t="n">
        <v>45946</v>
      </c>
      <c r="C443" s="2" t="inlineStr">
        <is>
          <t>MUS-029</t>
        </is>
      </c>
      <c r="D443" s="2" t="inlineStr">
        <is>
          <t>ST-006</t>
        </is>
      </c>
      <c r="E443" s="2" t="inlineStr">
        <is>
          <t>Siparise Donustu</t>
        </is>
      </c>
      <c r="F443" s="3" t="n">
        <v>75408.28</v>
      </c>
      <c r="G443" s="2" t="inlineStr">
        <is>
          <t>USD</t>
        </is>
      </c>
      <c r="H443" s="5" t="n">
        <v>1</v>
      </c>
      <c r="I443" s="2" t="n">
        <v>45</v>
      </c>
      <c r="J443" s="5" t="inlineStr">
        <is>
          <t>CFR</t>
        </is>
      </c>
      <c r="K443" s="6" t="n">
        <v>45984</v>
      </c>
      <c r="L443" s="2" t="inlineStr">
        <is>
          <t>Kazanildi</t>
        </is>
      </c>
      <c r="M443" s="2" t="inlineStr"/>
    </row>
    <row r="444">
      <c r="A444" s="2" t="inlineStr">
        <is>
          <t>TKL-0443</t>
        </is>
      </c>
      <c r="B444" s="6" t="n">
        <v>45936</v>
      </c>
      <c r="C444" s="2" t="inlineStr">
        <is>
          <t>MUS-068</t>
        </is>
      </c>
      <c r="D444" s="2" t="inlineStr">
        <is>
          <t>ST-001</t>
        </is>
      </c>
      <c r="E444" s="2" t="inlineStr">
        <is>
          <t>Siparise Donustu</t>
        </is>
      </c>
      <c r="F444" s="3" t="n">
        <v>27059.21</v>
      </c>
      <c r="G444" s="2" t="inlineStr">
        <is>
          <t>EUR</t>
        </is>
      </c>
      <c r="H444" s="5" t="n">
        <v>1.1257</v>
      </c>
      <c r="I444" s="2" t="n">
        <v>20</v>
      </c>
      <c r="J444" s="5" t="inlineStr">
        <is>
          <t>DAP</t>
        </is>
      </c>
      <c r="K444" s="6" t="n">
        <v>45949</v>
      </c>
      <c r="L444" s="2" t="inlineStr">
        <is>
          <t>Kazanildi</t>
        </is>
      </c>
      <c r="M444" s="2" t="inlineStr"/>
    </row>
    <row r="445">
      <c r="A445" s="2" t="inlineStr">
        <is>
          <t>TKL-0444</t>
        </is>
      </c>
      <c r="B445" s="6" t="n">
        <v>45960</v>
      </c>
      <c r="C445" s="2" t="inlineStr">
        <is>
          <t>MUS-044</t>
        </is>
      </c>
      <c r="D445" s="2" t="inlineStr">
        <is>
          <t>ST-001</t>
        </is>
      </c>
      <c r="E445" s="2" t="inlineStr">
        <is>
          <t>Beklemede</t>
        </is>
      </c>
      <c r="F445" s="3" t="n">
        <v>16839.53</v>
      </c>
      <c r="G445" s="2" t="inlineStr">
        <is>
          <t>EUR</t>
        </is>
      </c>
      <c r="H445" s="5" t="n">
        <v>1.1257</v>
      </c>
      <c r="I445" s="2" t="n">
        <v>30</v>
      </c>
      <c r="J445" s="5" t="inlineStr">
        <is>
          <t>DAP</t>
        </is>
      </c>
      <c r="K445" s="6" t="n">
        <v>45983</v>
      </c>
      <c r="L445" s="2" t="inlineStr">
        <is>
          <t>Acik</t>
        </is>
      </c>
      <c r="M445" s="2" t="inlineStr"/>
    </row>
    <row r="446">
      <c r="A446" s="2" t="inlineStr">
        <is>
          <t>TKL-0445</t>
        </is>
      </c>
      <c r="B446" s="6" t="n">
        <v>45951</v>
      </c>
      <c r="C446" s="2" t="inlineStr">
        <is>
          <t>MUS-063</t>
        </is>
      </c>
      <c r="D446" s="2" t="inlineStr">
        <is>
          <t>ST-001</t>
        </is>
      </c>
      <c r="E446" s="2" t="inlineStr">
        <is>
          <t>Kaybedildi</t>
        </is>
      </c>
      <c r="F446" s="3" t="n">
        <v>27541.16</v>
      </c>
      <c r="G446" s="2" t="inlineStr">
        <is>
          <t>EUR</t>
        </is>
      </c>
      <c r="H446" s="5" t="n">
        <v>1.1257</v>
      </c>
      <c r="I446" s="2" t="n">
        <v>20</v>
      </c>
      <c r="J446" s="5" t="inlineStr">
        <is>
          <t>DAP</t>
        </is>
      </c>
      <c r="K446" s="6" t="n">
        <v>45971</v>
      </c>
      <c r="L446" s="2" t="inlineStr">
        <is>
          <t>Kaybedildi</t>
        </is>
      </c>
      <c r="M446" s="2" t="inlineStr">
        <is>
          <t>Fiyat Yuksek</t>
        </is>
      </c>
    </row>
    <row r="447">
      <c r="A447" s="2" t="inlineStr">
        <is>
          <t>TKL-0446</t>
        </is>
      </c>
      <c r="B447" s="6" t="n">
        <v>45956</v>
      </c>
      <c r="C447" s="2" t="inlineStr">
        <is>
          <t>MUS-026</t>
        </is>
      </c>
      <c r="D447" s="2" t="inlineStr">
        <is>
          <t>ST-001</t>
        </is>
      </c>
      <c r="E447" s="2" t="inlineStr">
        <is>
          <t>Kaybedildi</t>
        </is>
      </c>
      <c r="F447" s="3" t="n">
        <v>34373.52</v>
      </c>
      <c r="G447" s="2" t="inlineStr">
        <is>
          <t>EUR</t>
        </is>
      </c>
      <c r="H447" s="5" t="n">
        <v>1.1257</v>
      </c>
      <c r="I447" s="2" t="n">
        <v>30</v>
      </c>
      <c r="J447" s="5" t="inlineStr">
        <is>
          <t>FCA</t>
        </is>
      </c>
      <c r="K447" s="6" t="n">
        <v>45980</v>
      </c>
      <c r="L447" s="2" t="inlineStr">
        <is>
          <t>Kaybedildi</t>
        </is>
      </c>
      <c r="M447" s="2" t="inlineStr">
        <is>
          <t>Rakipte Teknik Onay</t>
        </is>
      </c>
    </row>
    <row r="448">
      <c r="A448" s="2" t="inlineStr">
        <is>
          <t>TKL-0447</t>
        </is>
      </c>
      <c r="B448" s="6" t="n">
        <v>45932</v>
      </c>
      <c r="C448" s="2" t="inlineStr">
        <is>
          <t>MUS-014</t>
        </is>
      </c>
      <c r="D448" s="2" t="inlineStr">
        <is>
          <t>ST-007</t>
        </is>
      </c>
      <c r="E448" s="2" t="inlineStr">
        <is>
          <t>Beklemede</t>
        </is>
      </c>
      <c r="F448" s="3" t="n">
        <v>48199.18</v>
      </c>
      <c r="G448" s="2" t="inlineStr">
        <is>
          <t>USD</t>
        </is>
      </c>
      <c r="H448" s="5" t="n">
        <v>1</v>
      </c>
      <c r="I448" s="2" t="n">
        <v>20</v>
      </c>
      <c r="J448" s="5" t="inlineStr">
        <is>
          <t>FCA</t>
        </is>
      </c>
      <c r="K448" s="6" t="n">
        <v>45940</v>
      </c>
      <c r="L448" s="2" t="inlineStr">
        <is>
          <t>Acik</t>
        </is>
      </c>
      <c r="M448" s="2" t="inlineStr"/>
    </row>
    <row r="449">
      <c r="A449" s="2" t="inlineStr">
        <is>
          <t>TKL-0448</t>
        </is>
      </c>
      <c r="B449" s="6" t="n">
        <v>45951</v>
      </c>
      <c r="C449" s="2" t="inlineStr">
        <is>
          <t>MUS-062</t>
        </is>
      </c>
      <c r="D449" s="2" t="inlineStr">
        <is>
          <t>ST-007</t>
        </is>
      </c>
      <c r="E449" s="2" t="inlineStr">
        <is>
          <t>Siparise Donustu</t>
        </is>
      </c>
      <c r="F449" s="3" t="n">
        <v>14023.67</v>
      </c>
      <c r="G449" s="2" t="inlineStr">
        <is>
          <t>USD</t>
        </is>
      </c>
      <c r="H449" s="5" t="n">
        <v>1</v>
      </c>
      <c r="I449" s="2" t="n">
        <v>45</v>
      </c>
      <c r="J449" s="5" t="inlineStr">
        <is>
          <t>FCA</t>
        </is>
      </c>
      <c r="K449" s="6" t="n">
        <v>45979</v>
      </c>
      <c r="L449" s="2" t="inlineStr">
        <is>
          <t>Kazanildi</t>
        </is>
      </c>
      <c r="M449" s="2" t="inlineStr"/>
    </row>
    <row r="450">
      <c r="A450" s="2" t="inlineStr">
        <is>
          <t>TKL-0449</t>
        </is>
      </c>
      <c r="B450" s="6" t="n">
        <v>45944</v>
      </c>
      <c r="C450" s="2" t="inlineStr">
        <is>
          <t>MUS-053</t>
        </is>
      </c>
      <c r="D450" s="2" t="inlineStr">
        <is>
          <t>ST-001</t>
        </is>
      </c>
      <c r="E450" s="2" t="inlineStr">
        <is>
          <t>Kaybedildi</t>
        </is>
      </c>
      <c r="F450" s="3" t="n">
        <v>53838.61</v>
      </c>
      <c r="G450" s="2" t="inlineStr">
        <is>
          <t>EUR</t>
        </is>
      </c>
      <c r="H450" s="5" t="n">
        <v>1.1257</v>
      </c>
      <c r="I450" s="2" t="n">
        <v>30</v>
      </c>
      <c r="J450" s="5" t="inlineStr">
        <is>
          <t>DAP</t>
        </is>
      </c>
      <c r="K450" s="6" t="n">
        <v>45950</v>
      </c>
      <c r="L450" s="2" t="inlineStr">
        <is>
          <t>Kaybedildi</t>
        </is>
      </c>
      <c r="M450" s="2" t="inlineStr">
        <is>
          <t>Fiyat Yuksek</t>
        </is>
      </c>
    </row>
    <row r="451">
      <c r="A451" s="2" t="inlineStr">
        <is>
          <t>TKL-0450</t>
        </is>
      </c>
      <c r="B451" s="6" t="n">
        <v>45954</v>
      </c>
      <c r="C451" s="2" t="inlineStr">
        <is>
          <t>MUS-046</t>
        </is>
      </c>
      <c r="D451" s="2" t="inlineStr">
        <is>
          <t>ST-002</t>
        </is>
      </c>
      <c r="E451" s="2" t="inlineStr">
        <is>
          <t>Siparise Donustu</t>
        </is>
      </c>
      <c r="F451" s="3" t="n">
        <v>48270.2</v>
      </c>
      <c r="G451" s="2" t="inlineStr">
        <is>
          <t>EUR</t>
        </is>
      </c>
      <c r="H451" s="5" t="n">
        <v>1.1257</v>
      </c>
      <c r="I451" s="2" t="n">
        <v>20</v>
      </c>
      <c r="J451" s="5" t="inlineStr">
        <is>
          <t>FCA</t>
        </is>
      </c>
      <c r="K451" s="6" t="n">
        <v>45974</v>
      </c>
      <c r="L451" s="2" t="inlineStr">
        <is>
          <t>Kazanildi</t>
        </is>
      </c>
      <c r="M451" s="2" t="inlineStr"/>
    </row>
    <row r="452">
      <c r="A452" s="2" t="inlineStr">
        <is>
          <t>TKL-0451</t>
        </is>
      </c>
      <c r="B452" s="6" t="n">
        <v>45967</v>
      </c>
      <c r="C452" s="2" t="inlineStr">
        <is>
          <t>MUS-064</t>
        </is>
      </c>
      <c r="D452" s="2" t="inlineStr">
        <is>
          <t>ST-002</t>
        </is>
      </c>
      <c r="E452" s="2" t="inlineStr">
        <is>
          <t>Siparise Donustu</t>
        </is>
      </c>
      <c r="F452" s="3" t="n">
        <v>16122.55</v>
      </c>
      <c r="G452" s="2" t="inlineStr">
        <is>
          <t>EUR</t>
        </is>
      </c>
      <c r="H452" s="5" t="n">
        <v>1.1131</v>
      </c>
      <c r="I452" s="2" t="n">
        <v>30</v>
      </c>
      <c r="J452" s="5" t="inlineStr">
        <is>
          <t>FCA</t>
        </is>
      </c>
      <c r="K452" s="6" t="n">
        <v>45993</v>
      </c>
      <c r="L452" s="2" t="inlineStr">
        <is>
          <t>Kazanildi</t>
        </is>
      </c>
      <c r="M452" s="2" t="inlineStr"/>
    </row>
    <row r="453">
      <c r="A453" s="2" t="inlineStr">
        <is>
          <t>TKL-0452</t>
        </is>
      </c>
      <c r="B453" s="6" t="n">
        <v>45984</v>
      </c>
      <c r="C453" s="2" t="inlineStr">
        <is>
          <t>MUS-067</t>
        </is>
      </c>
      <c r="D453" s="2" t="inlineStr">
        <is>
          <t>ST-003</t>
        </is>
      </c>
      <c r="E453" s="2" t="inlineStr">
        <is>
          <t>Siparise Donustu</t>
        </is>
      </c>
      <c r="F453" s="3" t="n">
        <v>18680.74</v>
      </c>
      <c r="G453" s="2" t="inlineStr">
        <is>
          <t>USD</t>
        </is>
      </c>
      <c r="H453" s="5" t="n">
        <v>1</v>
      </c>
      <c r="I453" s="2" t="n">
        <v>20</v>
      </c>
      <c r="J453" s="5" t="inlineStr">
        <is>
          <t>CIF</t>
        </is>
      </c>
      <c r="K453" s="6" t="n">
        <v>45999</v>
      </c>
      <c r="L453" s="2" t="inlineStr">
        <is>
          <t>Kazanildi</t>
        </is>
      </c>
      <c r="M453" s="2" t="inlineStr"/>
    </row>
    <row r="454">
      <c r="A454" s="2" t="inlineStr">
        <is>
          <t>TKL-0453</t>
        </is>
      </c>
      <c r="B454" s="6" t="n">
        <v>45975</v>
      </c>
      <c r="C454" s="2" t="inlineStr">
        <is>
          <t>MUS-044</t>
        </is>
      </c>
      <c r="D454" s="2" t="inlineStr">
        <is>
          <t>ST-001</t>
        </is>
      </c>
      <c r="E454" s="2" t="inlineStr">
        <is>
          <t>Siparise Donustu</t>
        </is>
      </c>
      <c r="F454" s="3" t="n">
        <v>27877.77</v>
      </c>
      <c r="G454" s="2" t="inlineStr">
        <is>
          <t>EUR</t>
        </is>
      </c>
      <c r="H454" s="5" t="n">
        <v>1.1131</v>
      </c>
      <c r="I454" s="2" t="n">
        <v>20</v>
      </c>
      <c r="J454" s="5" t="inlineStr">
        <is>
          <t>DAP</t>
        </is>
      </c>
      <c r="K454" s="6" t="n">
        <v>45990</v>
      </c>
      <c r="L454" s="2" t="inlineStr">
        <is>
          <t>Kazanildi</t>
        </is>
      </c>
      <c r="M454" s="2" t="inlineStr"/>
    </row>
    <row r="455">
      <c r="A455" s="2" t="inlineStr">
        <is>
          <t>TKL-0454</t>
        </is>
      </c>
      <c r="B455" s="6" t="n">
        <v>45982</v>
      </c>
      <c r="C455" s="2" t="inlineStr">
        <is>
          <t>MUS-079</t>
        </is>
      </c>
      <c r="D455" s="2" t="inlineStr">
        <is>
          <t>ST-004</t>
        </is>
      </c>
      <c r="E455" s="2" t="inlineStr">
        <is>
          <t>Kaybedildi</t>
        </is>
      </c>
      <c r="F455" s="3" t="n">
        <v>36546.26</v>
      </c>
      <c r="G455" s="2" t="inlineStr">
        <is>
          <t>USD</t>
        </is>
      </c>
      <c r="H455" s="5" t="n">
        <v>1</v>
      </c>
      <c r="I455" s="2" t="n">
        <v>20</v>
      </c>
      <c r="J455" s="5" t="inlineStr">
        <is>
          <t>CIF</t>
        </is>
      </c>
      <c r="K455" s="6" t="n">
        <v>45998</v>
      </c>
      <c r="L455" s="2" t="inlineStr">
        <is>
          <t>Kaybedildi</t>
        </is>
      </c>
      <c r="M455" s="2" t="inlineStr">
        <is>
          <t>Fiyat Yuksek</t>
        </is>
      </c>
    </row>
    <row r="456">
      <c r="A456" s="2" t="inlineStr">
        <is>
          <t>TKL-0455</t>
        </is>
      </c>
      <c r="B456" s="6" t="n">
        <v>45982</v>
      </c>
      <c r="C456" s="2" t="inlineStr">
        <is>
          <t>MUS-015</t>
        </is>
      </c>
      <c r="D456" s="2" t="inlineStr">
        <is>
          <t>ST-002</t>
        </is>
      </c>
      <c r="E456" s="2" t="inlineStr">
        <is>
          <t>Siparise Donustu</t>
        </is>
      </c>
      <c r="F456" s="3" t="n">
        <v>16097.56</v>
      </c>
      <c r="G456" s="2" t="inlineStr">
        <is>
          <t>EUR</t>
        </is>
      </c>
      <c r="H456" s="5" t="n">
        <v>1.1131</v>
      </c>
      <c r="I456" s="2" t="n">
        <v>20</v>
      </c>
      <c r="J456" s="5" t="inlineStr">
        <is>
          <t>DAP</t>
        </is>
      </c>
      <c r="K456" s="6" t="n">
        <v>45990</v>
      </c>
      <c r="L456" s="2" t="inlineStr">
        <is>
          <t>Kazanildi</t>
        </is>
      </c>
      <c r="M456" s="2" t="inlineStr"/>
    </row>
    <row r="457">
      <c r="A457" s="2" t="inlineStr">
        <is>
          <t>TKL-0456</t>
        </is>
      </c>
      <c r="B457" s="6" t="n">
        <v>45969</v>
      </c>
      <c r="C457" s="2" t="inlineStr">
        <is>
          <t>MUS-042</t>
        </is>
      </c>
      <c r="D457" s="2" t="inlineStr">
        <is>
          <t>ST-005</t>
        </is>
      </c>
      <c r="E457" s="2" t="inlineStr">
        <is>
          <t>Kaybedildi</t>
        </is>
      </c>
      <c r="F457" s="3" t="n">
        <v>46546.59</v>
      </c>
      <c r="G457" s="2" t="inlineStr">
        <is>
          <t>USD</t>
        </is>
      </c>
      <c r="H457" s="5" t="n">
        <v>1</v>
      </c>
      <c r="I457" s="2" t="n">
        <v>20</v>
      </c>
      <c r="J457" s="5" t="inlineStr">
        <is>
          <t>CFR</t>
        </is>
      </c>
      <c r="K457" s="6" t="n">
        <v>45974</v>
      </c>
      <c r="L457" s="2" t="inlineStr">
        <is>
          <t>Kaybedildi</t>
        </is>
      </c>
      <c r="M457" s="2" t="inlineStr">
        <is>
          <t>Fiyat Yuksek</t>
        </is>
      </c>
    </row>
    <row r="458">
      <c r="A458" s="2" t="inlineStr">
        <is>
          <t>TKL-0457</t>
        </is>
      </c>
      <c r="B458" s="6" t="n">
        <v>45964</v>
      </c>
      <c r="C458" s="2" t="inlineStr">
        <is>
          <t>MUS-083</t>
        </is>
      </c>
      <c r="D458" s="2" t="inlineStr">
        <is>
          <t>ST-001</t>
        </is>
      </c>
      <c r="E458" s="2" t="inlineStr">
        <is>
          <t>Siparise Donustu</t>
        </is>
      </c>
      <c r="F458" s="3" t="n">
        <v>52807.08</v>
      </c>
      <c r="G458" s="2" t="inlineStr">
        <is>
          <t>EUR</t>
        </is>
      </c>
      <c r="H458" s="5" t="n">
        <v>1.1131</v>
      </c>
      <c r="I458" s="2" t="n">
        <v>15</v>
      </c>
      <c r="J458" s="5" t="inlineStr">
        <is>
          <t>DAP</t>
        </is>
      </c>
      <c r="K458" s="6" t="n">
        <v>45971</v>
      </c>
      <c r="L458" s="2" t="inlineStr">
        <is>
          <t>Kazanildi</t>
        </is>
      </c>
      <c r="M458" s="2" t="inlineStr"/>
    </row>
    <row r="459">
      <c r="A459" s="2" t="inlineStr">
        <is>
          <t>TKL-0458</t>
        </is>
      </c>
      <c r="B459" s="6" t="n">
        <v>45984</v>
      </c>
      <c r="C459" s="2" t="inlineStr">
        <is>
          <t>MUS-039</t>
        </is>
      </c>
      <c r="D459" s="2" t="inlineStr">
        <is>
          <t>ST-004</t>
        </is>
      </c>
      <c r="E459" s="2" t="inlineStr">
        <is>
          <t>Siparise Donustu</t>
        </is>
      </c>
      <c r="F459" s="3" t="n">
        <v>21340.2</v>
      </c>
      <c r="G459" s="2" t="inlineStr">
        <is>
          <t>USD</t>
        </is>
      </c>
      <c r="H459" s="5" t="n">
        <v>1</v>
      </c>
      <c r="I459" s="2" t="n">
        <v>20</v>
      </c>
      <c r="J459" s="5" t="inlineStr">
        <is>
          <t>CIF</t>
        </is>
      </c>
      <c r="K459" s="6" t="n">
        <v>45990</v>
      </c>
      <c r="L459" s="2" t="inlineStr">
        <is>
          <t>Kazanildi</t>
        </is>
      </c>
      <c r="M459" s="2" t="inlineStr"/>
    </row>
    <row r="460">
      <c r="A460" s="2" t="inlineStr">
        <is>
          <t>TKL-0459</t>
        </is>
      </c>
      <c r="B460" s="6" t="n">
        <v>45978</v>
      </c>
      <c r="C460" s="2" t="inlineStr">
        <is>
          <t>MUS-025</t>
        </is>
      </c>
      <c r="D460" s="2" t="inlineStr">
        <is>
          <t>ST-002</t>
        </is>
      </c>
      <c r="E460" s="2" t="inlineStr">
        <is>
          <t>Kaybedildi</t>
        </is>
      </c>
      <c r="F460" s="3" t="n">
        <v>62259.02</v>
      </c>
      <c r="G460" s="2" t="inlineStr">
        <is>
          <t>EUR</t>
        </is>
      </c>
      <c r="H460" s="5" t="n">
        <v>1.1131</v>
      </c>
      <c r="I460" s="2" t="n">
        <v>45</v>
      </c>
      <c r="J460" s="5" t="inlineStr">
        <is>
          <t>DAP</t>
        </is>
      </c>
      <c r="K460" s="6" t="n">
        <v>45994</v>
      </c>
      <c r="L460" s="2" t="inlineStr">
        <is>
          <t>Kaybedildi</t>
        </is>
      </c>
      <c r="M460" s="2" t="inlineStr">
        <is>
          <t>Fiyat Yuksek</t>
        </is>
      </c>
    </row>
    <row r="461">
      <c r="A461" s="2" t="inlineStr">
        <is>
          <t>TKL-0460</t>
        </is>
      </c>
      <c r="B461" s="6" t="n">
        <v>45989</v>
      </c>
      <c r="C461" s="2" t="inlineStr">
        <is>
          <t>MUS-022</t>
        </is>
      </c>
      <c r="D461" s="2" t="inlineStr">
        <is>
          <t>ST-002</t>
        </is>
      </c>
      <c r="E461" s="2" t="inlineStr">
        <is>
          <t>Siparise Donustu</t>
        </is>
      </c>
      <c r="F461" s="3" t="n">
        <v>15652.27</v>
      </c>
      <c r="G461" s="2" t="inlineStr">
        <is>
          <t>EUR</t>
        </is>
      </c>
      <c r="H461" s="5" t="n">
        <v>1.1131</v>
      </c>
      <c r="I461" s="2" t="n">
        <v>15</v>
      </c>
      <c r="J461" s="5" t="inlineStr">
        <is>
          <t>DAP</t>
        </is>
      </c>
      <c r="K461" s="6" t="n">
        <v>45999</v>
      </c>
      <c r="L461" s="2" t="inlineStr">
        <is>
          <t>Kazanildi</t>
        </is>
      </c>
      <c r="M461" s="2" t="inlineStr"/>
    </row>
    <row r="462">
      <c r="A462" s="2" t="inlineStr">
        <is>
          <t>TKL-0461</t>
        </is>
      </c>
      <c r="B462" s="6" t="n">
        <v>45980</v>
      </c>
      <c r="C462" s="2" t="inlineStr">
        <is>
          <t>MUS-005</t>
        </is>
      </c>
      <c r="D462" s="2" t="inlineStr">
        <is>
          <t>ST-001</t>
        </is>
      </c>
      <c r="E462" s="2" t="inlineStr">
        <is>
          <t>Beklemede</t>
        </is>
      </c>
      <c r="F462" s="3" t="n">
        <v>18694.13</v>
      </c>
      <c r="G462" s="2" t="inlineStr">
        <is>
          <t>EUR</t>
        </is>
      </c>
      <c r="H462" s="5" t="n">
        <v>1.1131</v>
      </c>
      <c r="I462" s="2" t="n">
        <v>45</v>
      </c>
      <c r="J462" s="5" t="inlineStr">
        <is>
          <t>DAP</t>
        </is>
      </c>
      <c r="K462" s="6" t="n">
        <v>46025</v>
      </c>
      <c r="L462" s="2" t="inlineStr">
        <is>
          <t>Acik</t>
        </is>
      </c>
      <c r="M462" s="2" t="inlineStr"/>
    </row>
    <row r="463">
      <c r="A463" s="2" t="inlineStr">
        <is>
          <t>TKL-0462</t>
        </is>
      </c>
      <c r="B463" s="6" t="n">
        <v>45985</v>
      </c>
      <c r="C463" s="2" t="inlineStr">
        <is>
          <t>MUS-067</t>
        </is>
      </c>
      <c r="D463" s="2" t="inlineStr">
        <is>
          <t>ST-003</t>
        </is>
      </c>
      <c r="E463" s="2" t="inlineStr">
        <is>
          <t>Siparise Donustu</t>
        </is>
      </c>
      <c r="F463" s="3" t="n">
        <v>28936.43</v>
      </c>
      <c r="G463" s="2" t="inlineStr">
        <is>
          <t>USD</t>
        </is>
      </c>
      <c r="H463" s="5" t="n">
        <v>1</v>
      </c>
      <c r="I463" s="2" t="n">
        <v>45</v>
      </c>
      <c r="J463" s="5" t="inlineStr">
        <is>
          <t>CIF</t>
        </is>
      </c>
      <c r="K463" s="6" t="n">
        <v>46001</v>
      </c>
      <c r="L463" s="2" t="inlineStr">
        <is>
          <t>Kazanildi</t>
        </is>
      </c>
      <c r="M463" s="2" t="inlineStr"/>
    </row>
    <row r="464">
      <c r="A464" s="2" t="inlineStr">
        <is>
          <t>TKL-0463</t>
        </is>
      </c>
      <c r="B464" s="6" t="n">
        <v>45963</v>
      </c>
      <c r="C464" s="2" t="inlineStr">
        <is>
          <t>MUS-042</t>
        </is>
      </c>
      <c r="D464" s="2" t="inlineStr">
        <is>
          <t>ST-005</t>
        </is>
      </c>
      <c r="E464" s="2" t="inlineStr">
        <is>
          <t>Siparise Donustu</t>
        </is>
      </c>
      <c r="F464" s="3" t="n">
        <v>34704.04</v>
      </c>
      <c r="G464" s="2" t="inlineStr">
        <is>
          <t>USD</t>
        </is>
      </c>
      <c r="H464" s="5" t="n">
        <v>1</v>
      </c>
      <c r="I464" s="2" t="n">
        <v>15</v>
      </c>
      <c r="J464" s="5" t="inlineStr">
        <is>
          <t>CFR</t>
        </is>
      </c>
      <c r="K464" s="6" t="n">
        <v>45976</v>
      </c>
      <c r="L464" s="2" t="inlineStr">
        <is>
          <t>Kazanildi</t>
        </is>
      </c>
      <c r="M464" s="2" t="inlineStr"/>
    </row>
    <row r="465">
      <c r="A465" s="2" t="inlineStr">
        <is>
          <t>TKL-0464</t>
        </is>
      </c>
      <c r="B465" s="6" t="n">
        <v>45986</v>
      </c>
      <c r="C465" s="2" t="inlineStr">
        <is>
          <t>MUS-069</t>
        </is>
      </c>
      <c r="D465" s="2" t="inlineStr">
        <is>
          <t>ST-001</t>
        </is>
      </c>
      <c r="E465" s="2" t="inlineStr">
        <is>
          <t>Siparise Donustu</t>
        </is>
      </c>
      <c r="F465" s="3" t="n">
        <v>68541.7</v>
      </c>
      <c r="G465" s="2" t="inlineStr">
        <is>
          <t>EUR</t>
        </is>
      </c>
      <c r="H465" s="5" t="n">
        <v>1.1131</v>
      </c>
      <c r="I465" s="2" t="n">
        <v>20</v>
      </c>
      <c r="J465" s="5" t="inlineStr">
        <is>
          <t>FCA</t>
        </is>
      </c>
      <c r="K465" s="6" t="n">
        <v>46005</v>
      </c>
      <c r="L465" s="2" t="inlineStr">
        <is>
          <t>Kazanildi</t>
        </is>
      </c>
      <c r="M465" s="2" t="inlineStr"/>
    </row>
    <row r="466">
      <c r="A466" s="2" t="inlineStr">
        <is>
          <t>TKL-0465</t>
        </is>
      </c>
      <c r="B466" s="6" t="n">
        <v>45977</v>
      </c>
      <c r="C466" s="2" t="inlineStr">
        <is>
          <t>MUS-015</t>
        </is>
      </c>
      <c r="D466" s="2" t="inlineStr">
        <is>
          <t>ST-002</t>
        </is>
      </c>
      <c r="E466" s="2" t="inlineStr">
        <is>
          <t>Siparise Donustu</t>
        </is>
      </c>
      <c r="F466" s="3" t="n">
        <v>21102.64</v>
      </c>
      <c r="G466" s="2" t="inlineStr">
        <is>
          <t>EUR</t>
        </is>
      </c>
      <c r="H466" s="5" t="n">
        <v>1.1131</v>
      </c>
      <c r="I466" s="2" t="n">
        <v>15</v>
      </c>
      <c r="J466" s="5" t="inlineStr">
        <is>
          <t>DAP</t>
        </is>
      </c>
      <c r="K466" s="6" t="n">
        <v>45991</v>
      </c>
      <c r="L466" s="2" t="inlineStr">
        <is>
          <t>Kazanildi</t>
        </is>
      </c>
      <c r="M466" s="2" t="inlineStr"/>
    </row>
    <row r="467">
      <c r="A467" s="2" t="inlineStr">
        <is>
          <t>TKL-0466</t>
        </is>
      </c>
      <c r="B467" s="6" t="n">
        <v>45985</v>
      </c>
      <c r="C467" s="2" t="inlineStr">
        <is>
          <t>MUS-039</t>
        </is>
      </c>
      <c r="D467" s="2" t="inlineStr">
        <is>
          <t>ST-003</t>
        </is>
      </c>
      <c r="E467" s="2" t="inlineStr">
        <is>
          <t>Kaybedildi</t>
        </is>
      </c>
      <c r="F467" s="3" t="n">
        <v>7037.91</v>
      </c>
      <c r="G467" s="2" t="inlineStr">
        <is>
          <t>USD</t>
        </is>
      </c>
      <c r="H467" s="5" t="n">
        <v>1</v>
      </c>
      <c r="I467" s="2" t="n">
        <v>15</v>
      </c>
      <c r="J467" s="5" t="inlineStr">
        <is>
          <t>CIF</t>
        </is>
      </c>
      <c r="K467" s="6" t="n">
        <v>45990</v>
      </c>
      <c r="L467" s="2" t="inlineStr">
        <is>
          <t>Kaybedildi</t>
        </is>
      </c>
      <c r="M467" s="2" t="inlineStr">
        <is>
          <t>Rakipte Teknik Onay</t>
        </is>
      </c>
    </row>
    <row r="468">
      <c r="A468" s="2" t="inlineStr">
        <is>
          <t>TKL-0467</t>
        </is>
      </c>
      <c r="B468" s="6" t="n">
        <v>45976</v>
      </c>
      <c r="C468" s="2" t="inlineStr">
        <is>
          <t>MUS-005</t>
        </is>
      </c>
      <c r="D468" s="2" t="inlineStr">
        <is>
          <t>ST-001</t>
        </is>
      </c>
      <c r="E468" s="2" t="inlineStr">
        <is>
          <t>Kaybedildi</t>
        </is>
      </c>
      <c r="F468" s="3" t="n">
        <v>25564.52</v>
      </c>
      <c r="G468" s="2" t="inlineStr">
        <is>
          <t>EUR</t>
        </is>
      </c>
      <c r="H468" s="5" t="n">
        <v>1.1131</v>
      </c>
      <c r="I468" s="2" t="n">
        <v>15</v>
      </c>
      <c r="J468" s="5" t="inlineStr">
        <is>
          <t>DAP</t>
        </is>
      </c>
      <c r="K468" s="6" t="n">
        <v>45991</v>
      </c>
      <c r="L468" s="2" t="inlineStr">
        <is>
          <t>Kaybedildi</t>
        </is>
      </c>
      <c r="M468" s="2" t="inlineStr">
        <is>
          <t>Fiyat Yuksek</t>
        </is>
      </c>
    </row>
    <row r="469">
      <c r="A469" s="2" t="inlineStr">
        <is>
          <t>TKL-0468</t>
        </is>
      </c>
      <c r="B469" s="6" t="n">
        <v>45990</v>
      </c>
      <c r="C469" s="2" t="inlineStr">
        <is>
          <t>MUS-014</t>
        </is>
      </c>
      <c r="D469" s="2" t="inlineStr">
        <is>
          <t>ST-007</t>
        </is>
      </c>
      <c r="E469" s="2" t="inlineStr">
        <is>
          <t>Beklemede</t>
        </is>
      </c>
      <c r="F469" s="3" t="n">
        <v>1627.1</v>
      </c>
      <c r="G469" s="2" t="inlineStr">
        <is>
          <t>USD</t>
        </is>
      </c>
      <c r="H469" s="5" t="n">
        <v>1</v>
      </c>
      <c r="I469" s="2" t="n">
        <v>15</v>
      </c>
      <c r="J469" s="5" t="inlineStr">
        <is>
          <t>FCA</t>
        </is>
      </c>
      <c r="K469" s="6" t="n">
        <v>45997</v>
      </c>
      <c r="L469" s="2" t="inlineStr">
        <is>
          <t>Acik</t>
        </is>
      </c>
      <c r="M469" s="2" t="inlineStr"/>
    </row>
    <row r="470">
      <c r="A470" s="2" t="inlineStr">
        <is>
          <t>TKL-0469</t>
        </is>
      </c>
      <c r="B470" s="6" t="n">
        <v>45967</v>
      </c>
      <c r="C470" s="2" t="inlineStr">
        <is>
          <t>MUS-067</t>
        </is>
      </c>
      <c r="D470" s="2" t="inlineStr">
        <is>
          <t>ST-003</t>
        </is>
      </c>
      <c r="E470" s="2" t="inlineStr">
        <is>
          <t>Beklemede</t>
        </is>
      </c>
      <c r="F470" s="3" t="n">
        <v>21971.5</v>
      </c>
      <c r="G470" s="2" t="inlineStr">
        <is>
          <t>USD</t>
        </is>
      </c>
      <c r="H470" s="5" t="n">
        <v>1</v>
      </c>
      <c r="I470" s="2" t="n">
        <v>15</v>
      </c>
      <c r="J470" s="5" t="inlineStr">
        <is>
          <t>CIF</t>
        </is>
      </c>
      <c r="K470" s="6" t="n">
        <v>45982</v>
      </c>
      <c r="L470" s="2" t="inlineStr">
        <is>
          <t>Acik</t>
        </is>
      </c>
      <c r="M470" s="2" t="inlineStr"/>
    </row>
    <row r="471">
      <c r="A471" s="2" t="inlineStr">
        <is>
          <t>TKL-0470</t>
        </is>
      </c>
      <c r="B471" s="6" t="n">
        <v>45989</v>
      </c>
      <c r="C471" s="2" t="inlineStr">
        <is>
          <t>MUS-052</t>
        </is>
      </c>
      <c r="D471" s="2" t="inlineStr">
        <is>
          <t>ST-007</t>
        </is>
      </c>
      <c r="E471" s="2" t="inlineStr">
        <is>
          <t>Siparise Donustu</t>
        </is>
      </c>
      <c r="F471" s="3" t="n">
        <v>70915.60000000001</v>
      </c>
      <c r="G471" s="2" t="inlineStr">
        <is>
          <t>USD</t>
        </is>
      </c>
      <c r="H471" s="5" t="n">
        <v>1</v>
      </c>
      <c r="I471" s="2" t="n">
        <v>15</v>
      </c>
      <c r="J471" s="5" t="inlineStr">
        <is>
          <t>FCA</t>
        </is>
      </c>
      <c r="K471" s="6" t="n">
        <v>45997</v>
      </c>
      <c r="L471" s="2" t="inlineStr">
        <is>
          <t>Kazanildi</t>
        </is>
      </c>
      <c r="M471" s="2" t="inlineStr"/>
    </row>
    <row r="472">
      <c r="A472" s="2" t="inlineStr">
        <is>
          <t>TKL-0471</t>
        </is>
      </c>
      <c r="B472" s="6" t="n">
        <v>45967</v>
      </c>
      <c r="C472" s="2" t="inlineStr">
        <is>
          <t>MUS-040</t>
        </is>
      </c>
      <c r="D472" s="2" t="inlineStr">
        <is>
          <t>ST-003</t>
        </is>
      </c>
      <c r="E472" s="2" t="inlineStr">
        <is>
          <t>Kaybedildi</t>
        </is>
      </c>
      <c r="F472" s="3" t="n">
        <v>29869.83</v>
      </c>
      <c r="G472" s="2" t="inlineStr">
        <is>
          <t>USD</t>
        </is>
      </c>
      <c r="H472" s="5" t="n">
        <v>1</v>
      </c>
      <c r="I472" s="2" t="n">
        <v>20</v>
      </c>
      <c r="J472" s="5" t="inlineStr">
        <is>
          <t>CIF</t>
        </is>
      </c>
      <c r="K472" s="6" t="n">
        <v>45985</v>
      </c>
      <c r="L472" s="2" t="inlineStr">
        <is>
          <t>Kaybedildi</t>
        </is>
      </c>
      <c r="M472" s="2" t="inlineStr">
        <is>
          <t>Butce Ertelendi</t>
        </is>
      </c>
    </row>
    <row r="473">
      <c r="A473" s="2" t="inlineStr">
        <is>
          <t>TKL-0472</t>
        </is>
      </c>
      <c r="B473" s="6" t="n">
        <v>45969</v>
      </c>
      <c r="C473" s="2" t="inlineStr">
        <is>
          <t>MUS-003</t>
        </is>
      </c>
      <c r="D473" s="2" t="inlineStr">
        <is>
          <t>ST-004</t>
        </is>
      </c>
      <c r="E473" s="2" t="inlineStr">
        <is>
          <t>Siparise Donustu</t>
        </is>
      </c>
      <c r="F473" s="3" t="n">
        <v>42735.78</v>
      </c>
      <c r="G473" s="2" t="inlineStr">
        <is>
          <t>USD</t>
        </is>
      </c>
      <c r="H473" s="5" t="n">
        <v>1</v>
      </c>
      <c r="I473" s="2" t="n">
        <v>45</v>
      </c>
      <c r="J473" s="5" t="inlineStr">
        <is>
          <t>CIF</t>
        </is>
      </c>
      <c r="K473" s="6" t="n">
        <v>46000</v>
      </c>
      <c r="L473" s="2" t="inlineStr">
        <is>
          <t>Kazanildi</t>
        </is>
      </c>
      <c r="M473" s="2" t="inlineStr"/>
    </row>
    <row r="474">
      <c r="A474" s="2" t="inlineStr">
        <is>
          <t>TKL-0473</t>
        </is>
      </c>
      <c r="B474" s="6" t="n">
        <v>45990</v>
      </c>
      <c r="C474" s="2" t="inlineStr">
        <is>
          <t>MUS-021</t>
        </is>
      </c>
      <c r="D474" s="2" t="inlineStr">
        <is>
          <t>ST-001</t>
        </is>
      </c>
      <c r="E474" s="2" t="inlineStr">
        <is>
          <t>Siparise Donustu</t>
        </is>
      </c>
      <c r="F474" s="3" t="n">
        <v>56819.99</v>
      </c>
      <c r="G474" s="2" t="inlineStr">
        <is>
          <t>EUR</t>
        </is>
      </c>
      <c r="H474" s="5" t="n">
        <v>1.1131</v>
      </c>
      <c r="I474" s="2" t="n">
        <v>15</v>
      </c>
      <c r="J474" s="5" t="inlineStr">
        <is>
          <t>DAP</t>
        </is>
      </c>
      <c r="K474" s="6" t="n">
        <v>46002</v>
      </c>
      <c r="L474" s="2" t="inlineStr">
        <is>
          <t>Kazanildi</t>
        </is>
      </c>
      <c r="M474" s="2" t="inlineStr"/>
    </row>
    <row r="475">
      <c r="A475" s="2" t="inlineStr">
        <is>
          <t>TKL-0474</t>
        </is>
      </c>
      <c r="B475" s="6" t="n">
        <v>45989</v>
      </c>
      <c r="C475" s="2" t="inlineStr">
        <is>
          <t>MUS-065</t>
        </is>
      </c>
      <c r="D475" s="2" t="inlineStr">
        <is>
          <t>ST-006</t>
        </is>
      </c>
      <c r="E475" s="2" t="inlineStr">
        <is>
          <t>Kaybedildi</t>
        </is>
      </c>
      <c r="F475" s="3" t="n">
        <v>62210.06</v>
      </c>
      <c r="G475" s="2" t="inlineStr">
        <is>
          <t>USD</t>
        </is>
      </c>
      <c r="H475" s="5" t="n">
        <v>1</v>
      </c>
      <c r="I475" s="2" t="n">
        <v>20</v>
      </c>
      <c r="J475" s="5" t="inlineStr">
        <is>
          <t>CFR</t>
        </is>
      </c>
      <c r="K475" s="6" t="n">
        <v>45997</v>
      </c>
      <c r="L475" s="2" t="inlineStr">
        <is>
          <t>Kaybedildi</t>
        </is>
      </c>
      <c r="M475" s="2" t="inlineStr">
        <is>
          <t>Rakipte Teknik Onay</t>
        </is>
      </c>
    </row>
    <row r="476">
      <c r="A476" s="2" t="inlineStr">
        <is>
          <t>TKL-0475</t>
        </is>
      </c>
      <c r="B476" s="6" t="n">
        <v>45985</v>
      </c>
      <c r="C476" s="2" t="inlineStr">
        <is>
          <t>MUS-008</t>
        </is>
      </c>
      <c r="D476" s="2" t="inlineStr">
        <is>
          <t>ST-008</t>
        </is>
      </c>
      <c r="E476" s="2" t="inlineStr">
        <is>
          <t>Siparise Donustu</t>
        </is>
      </c>
      <c r="F476" s="3" t="n">
        <v>54302.29</v>
      </c>
      <c r="G476" s="2" t="inlineStr">
        <is>
          <t>USD</t>
        </is>
      </c>
      <c r="H476" s="5" t="n">
        <v>1</v>
      </c>
      <c r="I476" s="2" t="n">
        <v>20</v>
      </c>
      <c r="J476" s="5" t="inlineStr">
        <is>
          <t>FCA</t>
        </is>
      </c>
      <c r="K476" s="6" t="n">
        <v>46000</v>
      </c>
      <c r="L476" s="2" t="inlineStr">
        <is>
          <t>Kazanildi</t>
        </is>
      </c>
      <c r="M476" s="2" t="inlineStr"/>
    </row>
    <row r="477">
      <c r="A477" s="2" t="inlineStr">
        <is>
          <t>TKL-0476</t>
        </is>
      </c>
      <c r="B477" s="6" t="n">
        <v>45966</v>
      </c>
      <c r="C477" s="2" t="inlineStr">
        <is>
          <t>MUS-034</t>
        </is>
      </c>
      <c r="D477" s="2" t="inlineStr">
        <is>
          <t>ST-002</t>
        </is>
      </c>
      <c r="E477" s="2" t="inlineStr">
        <is>
          <t>Kaybedildi</t>
        </is>
      </c>
      <c r="F477" s="3" t="n">
        <v>54977.82</v>
      </c>
      <c r="G477" s="2" t="inlineStr">
        <is>
          <t>EUR</t>
        </is>
      </c>
      <c r="H477" s="5" t="n">
        <v>1.1131</v>
      </c>
      <c r="I477" s="2" t="n">
        <v>15</v>
      </c>
      <c r="J477" s="5" t="inlineStr">
        <is>
          <t>DAP</t>
        </is>
      </c>
      <c r="K477" s="6" t="n">
        <v>45977</v>
      </c>
      <c r="L477" s="2" t="inlineStr">
        <is>
          <t>Kaybedildi</t>
        </is>
      </c>
      <c r="M477" s="2" t="inlineStr">
        <is>
          <t>Rakipte Teknik Onay</t>
        </is>
      </c>
    </row>
    <row r="478">
      <c r="A478" s="2" t="inlineStr">
        <is>
          <t>TKL-0477</t>
        </is>
      </c>
      <c r="B478" s="6" t="n">
        <v>45987</v>
      </c>
      <c r="C478" s="2" t="inlineStr">
        <is>
          <t>MUS-044</t>
        </is>
      </c>
      <c r="D478" s="2" t="inlineStr">
        <is>
          <t>ST-002</t>
        </is>
      </c>
      <c r="E478" s="2" t="inlineStr">
        <is>
          <t>Kaybedildi</t>
        </is>
      </c>
      <c r="F478" s="3" t="n">
        <v>93663.03</v>
      </c>
      <c r="G478" s="2" t="inlineStr">
        <is>
          <t>EUR</t>
        </is>
      </c>
      <c r="H478" s="5" t="n">
        <v>1.1131</v>
      </c>
      <c r="I478" s="2" t="n">
        <v>15</v>
      </c>
      <c r="J478" s="5" t="inlineStr">
        <is>
          <t>DAP</t>
        </is>
      </c>
      <c r="K478" s="6" t="n">
        <v>45999</v>
      </c>
      <c r="L478" s="2" t="inlineStr">
        <is>
          <t>Kaybedildi</t>
        </is>
      </c>
      <c r="M478" s="2" t="inlineStr">
        <is>
          <t>Rakipte Teknik Onay</t>
        </is>
      </c>
    </row>
    <row r="479">
      <c r="A479" s="2" t="inlineStr">
        <is>
          <t>TKL-0478</t>
        </is>
      </c>
      <c r="B479" s="6" t="n">
        <v>45988</v>
      </c>
      <c r="C479" s="2" t="inlineStr">
        <is>
          <t>MUS-001</t>
        </is>
      </c>
      <c r="D479" s="2" t="inlineStr">
        <is>
          <t>ST-006</t>
        </is>
      </c>
      <c r="E479" s="2" t="inlineStr">
        <is>
          <t>Siparise Donustu</t>
        </is>
      </c>
      <c r="F479" s="3" t="n">
        <v>7949.11</v>
      </c>
      <c r="G479" s="2" t="inlineStr">
        <is>
          <t>USD</t>
        </is>
      </c>
      <c r="H479" s="5" t="n">
        <v>1</v>
      </c>
      <c r="I479" s="2" t="n">
        <v>15</v>
      </c>
      <c r="J479" s="5" t="inlineStr">
        <is>
          <t>CFR</t>
        </is>
      </c>
      <c r="K479" s="6" t="n">
        <v>45997</v>
      </c>
      <c r="L479" s="2" t="inlineStr">
        <is>
          <t>Kazanildi</t>
        </is>
      </c>
      <c r="M479" s="2" t="inlineStr"/>
    </row>
    <row r="480">
      <c r="A480" s="2" t="inlineStr">
        <is>
          <t>TKL-0479</t>
        </is>
      </c>
      <c r="B480" s="6" t="n">
        <v>45968</v>
      </c>
      <c r="C480" s="2" t="inlineStr">
        <is>
          <t>MUS-053</t>
        </is>
      </c>
      <c r="D480" s="2" t="inlineStr">
        <is>
          <t>ST-002</t>
        </is>
      </c>
      <c r="E480" s="2" t="inlineStr">
        <is>
          <t>Siparise Donustu</t>
        </is>
      </c>
      <c r="F480" s="3" t="n">
        <v>22857.82</v>
      </c>
      <c r="G480" s="2" t="inlineStr">
        <is>
          <t>EUR</t>
        </is>
      </c>
      <c r="H480" s="5" t="n">
        <v>1.1131</v>
      </c>
      <c r="I480" s="2" t="n">
        <v>45</v>
      </c>
      <c r="J480" s="5" t="inlineStr">
        <is>
          <t>DAP</t>
        </is>
      </c>
      <c r="K480" s="6" t="n">
        <v>45982</v>
      </c>
      <c r="L480" s="2" t="inlineStr">
        <is>
          <t>Kazanildi</t>
        </is>
      </c>
      <c r="M480" s="2" t="inlineStr"/>
    </row>
    <row r="481">
      <c r="A481" s="2" t="inlineStr">
        <is>
          <t>TKL-0480</t>
        </is>
      </c>
      <c r="B481" s="6" t="n">
        <v>45988</v>
      </c>
      <c r="C481" s="2" t="inlineStr">
        <is>
          <t>MUS-063</t>
        </is>
      </c>
      <c r="D481" s="2" t="inlineStr">
        <is>
          <t>ST-002</t>
        </is>
      </c>
      <c r="E481" s="2" t="inlineStr">
        <is>
          <t>Siparise Donustu</t>
        </is>
      </c>
      <c r="F481" s="3" t="n">
        <v>66506.49000000001</v>
      </c>
      <c r="G481" s="2" t="inlineStr">
        <is>
          <t>EUR</t>
        </is>
      </c>
      <c r="H481" s="5" t="n">
        <v>1.1131</v>
      </c>
      <c r="I481" s="2" t="n">
        <v>15</v>
      </c>
      <c r="J481" s="5" t="inlineStr">
        <is>
          <t>DAP</t>
        </is>
      </c>
      <c r="K481" s="6" t="n">
        <v>45996</v>
      </c>
      <c r="L481" s="2" t="inlineStr">
        <is>
          <t>Kazanildi</t>
        </is>
      </c>
      <c r="M481" s="2" t="inlineStr"/>
    </row>
    <row r="482">
      <c r="A482" s="2" t="inlineStr">
        <is>
          <t>TKL-0481</t>
        </is>
      </c>
      <c r="B482" s="6" t="n">
        <v>45997</v>
      </c>
      <c r="C482" s="2" t="inlineStr">
        <is>
          <t>MUS-033</t>
        </is>
      </c>
      <c r="D482" s="2" t="inlineStr">
        <is>
          <t>ST-006</t>
        </is>
      </c>
      <c r="E482" s="2" t="inlineStr">
        <is>
          <t>Siparise Donustu</t>
        </is>
      </c>
      <c r="F482" s="3" t="n">
        <v>5207.6</v>
      </c>
      <c r="G482" s="2" t="inlineStr">
        <is>
          <t>USD</t>
        </is>
      </c>
      <c r="H482" s="5" t="n">
        <v>1</v>
      </c>
      <c r="I482" s="2" t="n">
        <v>45</v>
      </c>
      <c r="J482" s="5" t="inlineStr">
        <is>
          <t>CFR</t>
        </is>
      </c>
      <c r="K482" s="6" t="n">
        <v>46021</v>
      </c>
      <c r="L482" s="2" t="inlineStr">
        <is>
          <t>Kazanildi</t>
        </is>
      </c>
      <c r="M482" s="2" t="inlineStr"/>
    </row>
    <row r="483">
      <c r="A483" s="2" t="inlineStr">
        <is>
          <t>TKL-0482</t>
        </is>
      </c>
      <c r="B483" s="6" t="n">
        <v>46008</v>
      </c>
      <c r="C483" s="2" t="inlineStr">
        <is>
          <t>MUS-017</t>
        </is>
      </c>
      <c r="D483" s="2" t="inlineStr">
        <is>
          <t>ST-002</t>
        </is>
      </c>
      <c r="E483" s="2" t="inlineStr">
        <is>
          <t>Kaybedildi</t>
        </is>
      </c>
      <c r="F483" s="3" t="n">
        <v>27523.23</v>
      </c>
      <c r="G483" s="2" t="inlineStr">
        <is>
          <t>EUR</t>
        </is>
      </c>
      <c r="H483" s="5" t="n">
        <v>1.0849</v>
      </c>
      <c r="I483" s="2" t="n">
        <v>30</v>
      </c>
      <c r="J483" s="5" t="inlineStr">
        <is>
          <t>DAP</t>
        </is>
      </c>
      <c r="K483" s="6" t="n">
        <v>46023</v>
      </c>
      <c r="L483" s="2" t="inlineStr">
        <is>
          <t>Kaybedildi</t>
        </is>
      </c>
      <c r="M483" s="2" t="inlineStr">
        <is>
          <t>Fiyat Yuksek</t>
        </is>
      </c>
    </row>
    <row r="484">
      <c r="A484" s="2" t="inlineStr">
        <is>
          <t>TKL-0483</t>
        </is>
      </c>
      <c r="B484" s="6" t="n">
        <v>46002</v>
      </c>
      <c r="C484" s="2" t="inlineStr">
        <is>
          <t>MUS-014</t>
        </is>
      </c>
      <c r="D484" s="2" t="inlineStr">
        <is>
          <t>ST-008</t>
        </is>
      </c>
      <c r="E484" s="2" t="inlineStr">
        <is>
          <t>Kaybedildi</t>
        </is>
      </c>
      <c r="F484" s="3" t="n">
        <v>31390.27</v>
      </c>
      <c r="G484" s="2" t="inlineStr">
        <is>
          <t>USD</t>
        </is>
      </c>
      <c r="H484" s="5" t="n">
        <v>1</v>
      </c>
      <c r="I484" s="2" t="n">
        <v>20</v>
      </c>
      <c r="J484" s="5" t="inlineStr">
        <is>
          <t>FCA</t>
        </is>
      </c>
      <c r="K484" s="6" t="n">
        <v>46019</v>
      </c>
      <c r="L484" s="2" t="inlineStr">
        <is>
          <t>Kaybedildi</t>
        </is>
      </c>
      <c r="M484" s="2" t="inlineStr">
        <is>
          <t>Termin Uzun</t>
        </is>
      </c>
    </row>
    <row r="485">
      <c r="A485" s="2" t="inlineStr">
        <is>
          <t>TKL-0484</t>
        </is>
      </c>
      <c r="B485" s="6" t="n">
        <v>46009</v>
      </c>
      <c r="C485" s="2" t="inlineStr">
        <is>
          <t>MUS-039</t>
        </is>
      </c>
      <c r="D485" s="2" t="inlineStr">
        <is>
          <t>ST-003</t>
        </is>
      </c>
      <c r="E485" s="2" t="inlineStr">
        <is>
          <t>Siparise Donustu</t>
        </is>
      </c>
      <c r="F485" s="3" t="n">
        <v>34422.82</v>
      </c>
      <c r="G485" s="2" t="inlineStr">
        <is>
          <t>USD</t>
        </is>
      </c>
      <c r="H485" s="5" t="n">
        <v>1</v>
      </c>
      <c r="I485" s="2" t="n">
        <v>30</v>
      </c>
      <c r="J485" s="5" t="inlineStr">
        <is>
          <t>CIF</t>
        </is>
      </c>
      <c r="K485" s="6" t="n">
        <v>46025</v>
      </c>
      <c r="L485" s="2" t="inlineStr">
        <is>
          <t>Kazanildi</t>
        </is>
      </c>
      <c r="M485" s="2" t="inlineStr"/>
    </row>
    <row r="486">
      <c r="A486" s="2" t="inlineStr">
        <is>
          <t>TKL-0485</t>
        </is>
      </c>
      <c r="B486" s="6" t="n">
        <v>45995</v>
      </c>
      <c r="C486" s="2" t="inlineStr">
        <is>
          <t>MUS-084</t>
        </is>
      </c>
      <c r="D486" s="2" t="inlineStr">
        <is>
          <t>ST-001</t>
        </is>
      </c>
      <c r="E486" s="2" t="inlineStr">
        <is>
          <t>Kaybedildi</t>
        </is>
      </c>
      <c r="F486" s="3" t="n">
        <v>68292.75</v>
      </c>
      <c r="G486" s="2" t="inlineStr">
        <is>
          <t>EUR</t>
        </is>
      </c>
      <c r="H486" s="5" t="n">
        <v>1.0849</v>
      </c>
      <c r="I486" s="2" t="n">
        <v>45</v>
      </c>
      <c r="J486" s="5" t="inlineStr">
        <is>
          <t>DAP</t>
        </is>
      </c>
      <c r="K486" s="6" t="n">
        <v>46004</v>
      </c>
      <c r="L486" s="2" t="inlineStr">
        <is>
          <t>Kaybedildi</t>
        </is>
      </c>
      <c r="M486" s="2" t="inlineStr">
        <is>
          <t>Rakipte Teknik Onay</t>
        </is>
      </c>
    </row>
    <row r="487">
      <c r="A487" s="2" t="inlineStr">
        <is>
          <t>TKL-0486</t>
        </is>
      </c>
      <c r="B487" s="6" t="n">
        <v>45996</v>
      </c>
      <c r="C487" s="2" t="inlineStr">
        <is>
          <t>MUS-064</t>
        </is>
      </c>
      <c r="D487" s="2" t="inlineStr">
        <is>
          <t>ST-002</t>
        </is>
      </c>
      <c r="E487" s="2" t="inlineStr">
        <is>
          <t>Kaybedildi</t>
        </is>
      </c>
      <c r="F487" s="3" t="n">
        <v>33953.39</v>
      </c>
      <c r="G487" s="2" t="inlineStr">
        <is>
          <t>EUR</t>
        </is>
      </c>
      <c r="H487" s="5" t="n">
        <v>1.0849</v>
      </c>
      <c r="I487" s="2" t="n">
        <v>20</v>
      </c>
      <c r="J487" s="5" t="inlineStr">
        <is>
          <t>FCA</t>
        </is>
      </c>
      <c r="K487" s="6" t="n">
        <v>46014</v>
      </c>
      <c r="L487" s="2" t="inlineStr">
        <is>
          <t>Kaybedildi</t>
        </is>
      </c>
      <c r="M487" s="2" t="inlineStr">
        <is>
          <t>Fiyat Yuksek</t>
        </is>
      </c>
    </row>
    <row r="488">
      <c r="A488" s="2" t="inlineStr">
        <is>
          <t>TKL-0487</t>
        </is>
      </c>
      <c r="B488" s="6" t="n">
        <v>46011</v>
      </c>
      <c r="C488" s="2" t="inlineStr">
        <is>
          <t>MUS-029</t>
        </is>
      </c>
      <c r="D488" s="2" t="inlineStr">
        <is>
          <t>ST-005</t>
        </is>
      </c>
      <c r="E488" s="2" t="inlineStr">
        <is>
          <t>Siparise Donustu</t>
        </is>
      </c>
      <c r="F488" s="3" t="n">
        <v>81874.5</v>
      </c>
      <c r="G488" s="2" t="inlineStr">
        <is>
          <t>USD</t>
        </is>
      </c>
      <c r="H488" s="5" t="n">
        <v>1</v>
      </c>
      <c r="I488" s="2" t="n">
        <v>15</v>
      </c>
      <c r="J488" s="5" t="inlineStr">
        <is>
          <t>CFR</t>
        </is>
      </c>
      <c r="K488" s="6" t="n">
        <v>46016</v>
      </c>
      <c r="L488" s="2" t="inlineStr">
        <is>
          <t>Kazanildi</t>
        </is>
      </c>
      <c r="M488" s="2" t="inlineStr"/>
    </row>
    <row r="489">
      <c r="A489" s="2" t="inlineStr">
        <is>
          <t>TKL-0488</t>
        </is>
      </c>
      <c r="B489" s="6" t="n">
        <v>46020</v>
      </c>
      <c r="C489" s="2" t="inlineStr">
        <is>
          <t>MUS-054</t>
        </is>
      </c>
      <c r="D489" s="2" t="inlineStr">
        <is>
          <t>ST-003</t>
        </is>
      </c>
      <c r="E489" s="2" t="inlineStr">
        <is>
          <t>Kaybedildi</t>
        </is>
      </c>
      <c r="F489" s="3" t="n">
        <v>30472.28</v>
      </c>
      <c r="G489" s="2" t="inlineStr">
        <is>
          <t>USD</t>
        </is>
      </c>
      <c r="H489" s="5" t="n">
        <v>1</v>
      </c>
      <c r="I489" s="2" t="n">
        <v>30</v>
      </c>
      <c r="J489" s="5" t="inlineStr">
        <is>
          <t>CIF</t>
        </is>
      </c>
      <c r="K489" s="6" t="n">
        <v>46028</v>
      </c>
      <c r="L489" s="2" t="inlineStr">
        <is>
          <t>Kaybedildi</t>
        </is>
      </c>
      <c r="M489" s="2" t="inlineStr">
        <is>
          <t>Fiyat Yuksek</t>
        </is>
      </c>
    </row>
    <row r="490">
      <c r="A490" s="2" t="inlineStr">
        <is>
          <t>TKL-0489</t>
        </is>
      </c>
      <c r="B490" s="6" t="n">
        <v>45993</v>
      </c>
      <c r="C490" s="2" t="inlineStr">
        <is>
          <t>MUS-073</t>
        </is>
      </c>
      <c r="D490" s="2" t="inlineStr">
        <is>
          <t>ST-003</t>
        </is>
      </c>
      <c r="E490" s="2" t="inlineStr">
        <is>
          <t>Siparise Donustu</t>
        </is>
      </c>
      <c r="F490" s="3" t="n">
        <v>83462.13</v>
      </c>
      <c r="G490" s="2" t="inlineStr">
        <is>
          <t>USD</t>
        </is>
      </c>
      <c r="H490" s="5" t="n">
        <v>1</v>
      </c>
      <c r="I490" s="2" t="n">
        <v>20</v>
      </c>
      <c r="J490" s="5" t="inlineStr">
        <is>
          <t>CIF</t>
        </is>
      </c>
      <c r="K490" s="6" t="n">
        <v>46004</v>
      </c>
      <c r="L490" s="2" t="inlineStr">
        <is>
          <t>Kazanildi</t>
        </is>
      </c>
      <c r="M490" s="2" t="inlineStr"/>
    </row>
    <row r="491">
      <c r="A491" s="2" t="inlineStr">
        <is>
          <t>TKL-0490</t>
        </is>
      </c>
      <c r="B491" s="6" t="n">
        <v>46022</v>
      </c>
      <c r="C491" s="2" t="inlineStr">
        <is>
          <t>MUS-037</t>
        </is>
      </c>
      <c r="D491" s="2" t="inlineStr">
        <is>
          <t>ST-001</t>
        </is>
      </c>
      <c r="E491" s="2" t="inlineStr">
        <is>
          <t>Siparise Donustu</t>
        </is>
      </c>
      <c r="F491" s="3" t="n">
        <v>39809.33</v>
      </c>
      <c r="G491" s="2" t="inlineStr">
        <is>
          <t>EUR</t>
        </is>
      </c>
      <c r="H491" s="5" t="n">
        <v>1.0849</v>
      </c>
      <c r="I491" s="2" t="n">
        <v>30</v>
      </c>
      <c r="J491" s="5" t="inlineStr">
        <is>
          <t>DAP</t>
        </is>
      </c>
      <c r="K491" s="6" t="n">
        <v>46039</v>
      </c>
      <c r="L491" s="2" t="inlineStr">
        <is>
          <t>Kazanildi</t>
        </is>
      </c>
      <c r="M491" s="2" t="inlineStr"/>
    </row>
    <row r="492">
      <c r="A492" s="2" t="inlineStr">
        <is>
          <t>TKL-0491</t>
        </is>
      </c>
      <c r="B492" s="6" t="n">
        <v>46001</v>
      </c>
      <c r="C492" s="2" t="inlineStr">
        <is>
          <t>MUS-056</t>
        </is>
      </c>
      <c r="D492" s="2" t="inlineStr">
        <is>
          <t>ST-001</t>
        </is>
      </c>
      <c r="E492" s="2" t="inlineStr">
        <is>
          <t>Siparise Donustu</t>
        </is>
      </c>
      <c r="F492" s="3" t="n">
        <v>68371.75</v>
      </c>
      <c r="G492" s="2" t="inlineStr">
        <is>
          <t>EUR</t>
        </is>
      </c>
      <c r="H492" s="5" t="n">
        <v>1.0849</v>
      </c>
      <c r="I492" s="2" t="n">
        <v>30</v>
      </c>
      <c r="J492" s="5" t="inlineStr">
        <is>
          <t>DAP</t>
        </is>
      </c>
      <c r="K492" s="6" t="n">
        <v>46010</v>
      </c>
      <c r="L492" s="2" t="inlineStr">
        <is>
          <t>Kazanildi</t>
        </is>
      </c>
      <c r="M492" s="2" t="inlineStr"/>
    </row>
    <row r="493">
      <c r="A493" s="2" t="inlineStr">
        <is>
          <t>TKL-0492</t>
        </is>
      </c>
      <c r="B493" s="6" t="n">
        <v>46016</v>
      </c>
      <c r="C493" s="2" t="inlineStr">
        <is>
          <t>MUS-020</t>
        </is>
      </c>
      <c r="D493" s="2" t="inlineStr">
        <is>
          <t>ST-006</t>
        </is>
      </c>
      <c r="E493" s="2" t="inlineStr">
        <is>
          <t>Kaybedildi</t>
        </is>
      </c>
      <c r="F493" s="3" t="n">
        <v>46318.92</v>
      </c>
      <c r="G493" s="2" t="inlineStr">
        <is>
          <t>USD</t>
        </is>
      </c>
      <c r="H493" s="5" t="n">
        <v>1</v>
      </c>
      <c r="I493" s="2" t="n">
        <v>45</v>
      </c>
      <c r="J493" s="5" t="inlineStr">
        <is>
          <t>CFR</t>
        </is>
      </c>
      <c r="K493" s="6" t="n">
        <v>46053</v>
      </c>
      <c r="L493" s="2" t="inlineStr">
        <is>
          <t>Kaybedildi</t>
        </is>
      </c>
      <c r="M493" s="2" t="inlineStr">
        <is>
          <t>Butce Ertelendi</t>
        </is>
      </c>
    </row>
    <row r="494">
      <c r="A494" s="2" t="inlineStr">
        <is>
          <t>TKL-0493</t>
        </is>
      </c>
      <c r="B494" s="6" t="n">
        <v>46015</v>
      </c>
      <c r="C494" s="2" t="inlineStr">
        <is>
          <t>MUS-032</t>
        </is>
      </c>
      <c r="D494" s="2" t="inlineStr">
        <is>
          <t>ST-004</t>
        </is>
      </c>
      <c r="E494" s="2" t="inlineStr">
        <is>
          <t>Siparise Donustu</t>
        </is>
      </c>
      <c r="F494" s="3" t="n">
        <v>59838.35</v>
      </c>
      <c r="G494" s="2" t="inlineStr">
        <is>
          <t>USD</t>
        </is>
      </c>
      <c r="H494" s="5" t="n">
        <v>1</v>
      </c>
      <c r="I494" s="2" t="n">
        <v>15</v>
      </c>
      <c r="J494" s="5" t="inlineStr">
        <is>
          <t>CIF</t>
        </is>
      </c>
      <c r="K494" s="6" t="n">
        <v>46025</v>
      </c>
      <c r="L494" s="2" t="inlineStr">
        <is>
          <t>Kazanildi</t>
        </is>
      </c>
      <c r="M494" s="2" t="inlineStr"/>
    </row>
    <row r="495">
      <c r="A495" s="2" t="inlineStr">
        <is>
          <t>TKL-0494</t>
        </is>
      </c>
      <c r="B495" s="6" t="n">
        <v>46000</v>
      </c>
      <c r="C495" s="2" t="inlineStr">
        <is>
          <t>MUS-073</t>
        </is>
      </c>
      <c r="D495" s="2" t="inlineStr">
        <is>
          <t>ST-003</t>
        </is>
      </c>
      <c r="E495" s="2" t="inlineStr">
        <is>
          <t>Kaybedildi</t>
        </is>
      </c>
      <c r="F495" s="3" t="n">
        <v>36809.72</v>
      </c>
      <c r="G495" s="2" t="inlineStr">
        <is>
          <t>USD</t>
        </is>
      </c>
      <c r="H495" s="5" t="n">
        <v>1</v>
      </c>
      <c r="I495" s="2" t="n">
        <v>15</v>
      </c>
      <c r="J495" s="5" t="inlineStr">
        <is>
          <t>CIF</t>
        </is>
      </c>
      <c r="K495" s="6" t="n">
        <v>46006</v>
      </c>
      <c r="L495" s="2" t="inlineStr">
        <is>
          <t>Kaybedildi</t>
        </is>
      </c>
      <c r="M495" s="2" t="inlineStr">
        <is>
          <t>Fiyat Yuksek</t>
        </is>
      </c>
    </row>
    <row r="496">
      <c r="A496" s="2" t="inlineStr">
        <is>
          <t>TKL-0495</t>
        </is>
      </c>
      <c r="B496" s="6" t="n">
        <v>46019</v>
      </c>
      <c r="C496" s="2" t="inlineStr">
        <is>
          <t>MUS-040</t>
        </is>
      </c>
      <c r="D496" s="2" t="inlineStr">
        <is>
          <t>ST-004</t>
        </is>
      </c>
      <c r="E496" s="2" t="inlineStr">
        <is>
          <t>Beklemede</t>
        </is>
      </c>
      <c r="F496" s="3" t="n">
        <v>67873.50999999999</v>
      </c>
      <c r="G496" s="2" t="inlineStr">
        <is>
          <t>USD</t>
        </is>
      </c>
      <c r="H496" s="5" t="n">
        <v>1</v>
      </c>
      <c r="I496" s="2" t="n">
        <v>45</v>
      </c>
      <c r="J496" s="5" t="inlineStr">
        <is>
          <t>CIF</t>
        </is>
      </c>
      <c r="K496" s="6" t="n">
        <v>46057</v>
      </c>
      <c r="L496" s="2" t="inlineStr">
        <is>
          <t>Acik</t>
        </is>
      </c>
      <c r="M496" s="2" t="inlineStr"/>
    </row>
    <row r="497">
      <c r="A497" s="2" t="inlineStr">
        <is>
          <t>TKL-0496</t>
        </is>
      </c>
      <c r="B497" s="6" t="n">
        <v>45996</v>
      </c>
      <c r="C497" s="2" t="inlineStr">
        <is>
          <t>MUS-048</t>
        </is>
      </c>
      <c r="D497" s="2" t="inlineStr">
        <is>
          <t>ST-002</t>
        </is>
      </c>
      <c r="E497" s="2" t="inlineStr">
        <is>
          <t>Kaybedildi</t>
        </is>
      </c>
      <c r="F497" s="3" t="n">
        <v>16811.32</v>
      </c>
      <c r="G497" s="2" t="inlineStr">
        <is>
          <t>EUR</t>
        </is>
      </c>
      <c r="H497" s="5" t="n">
        <v>1.0849</v>
      </c>
      <c r="I497" s="2" t="n">
        <v>45</v>
      </c>
      <c r="J497" s="5" t="inlineStr">
        <is>
          <t>DAP</t>
        </is>
      </c>
      <c r="K497" s="6" t="n">
        <v>46036</v>
      </c>
      <c r="L497" s="2" t="inlineStr">
        <is>
          <t>Kaybedildi</t>
        </is>
      </c>
      <c r="M497" s="2" t="inlineStr">
        <is>
          <t>Fiyat Yuksek</t>
        </is>
      </c>
    </row>
    <row r="498">
      <c r="A498" s="2" t="inlineStr">
        <is>
          <t>TKL-0497</t>
        </is>
      </c>
      <c r="B498" s="6" t="n">
        <v>45997</v>
      </c>
      <c r="C498" s="2" t="inlineStr">
        <is>
          <t>MUS-035</t>
        </is>
      </c>
      <c r="D498" s="2" t="inlineStr">
        <is>
          <t>ST-002</t>
        </is>
      </c>
      <c r="E498" s="2" t="inlineStr">
        <is>
          <t>Kaybedildi</t>
        </is>
      </c>
      <c r="F498" s="3" t="n">
        <v>44557.6</v>
      </c>
      <c r="G498" s="2" t="inlineStr">
        <is>
          <t>EUR</t>
        </is>
      </c>
      <c r="H498" s="5" t="n">
        <v>1.0849</v>
      </c>
      <c r="I498" s="2" t="n">
        <v>20</v>
      </c>
      <c r="J498" s="5" t="inlineStr">
        <is>
          <t>FCA</t>
        </is>
      </c>
      <c r="K498" s="6" t="n">
        <v>46010</v>
      </c>
      <c r="L498" s="2" t="inlineStr">
        <is>
          <t>Kaybedildi</t>
        </is>
      </c>
      <c r="M498" s="2" t="inlineStr">
        <is>
          <t>Butce Ertelendi</t>
        </is>
      </c>
    </row>
    <row r="499">
      <c r="A499" s="2" t="inlineStr">
        <is>
          <t>TKL-0498</t>
        </is>
      </c>
      <c r="B499" s="6" t="n">
        <v>46007</v>
      </c>
      <c r="C499" s="2" t="inlineStr">
        <is>
          <t>MUS-081</t>
        </is>
      </c>
      <c r="D499" s="2" t="inlineStr">
        <is>
          <t>ST-003</t>
        </is>
      </c>
      <c r="E499" s="2" t="inlineStr">
        <is>
          <t>Siparise Donustu</t>
        </is>
      </c>
      <c r="F499" s="3" t="n">
        <v>18801.97</v>
      </c>
      <c r="G499" s="2" t="inlineStr">
        <is>
          <t>USD</t>
        </is>
      </c>
      <c r="H499" s="5" t="n">
        <v>1</v>
      </c>
      <c r="I499" s="2" t="n">
        <v>20</v>
      </c>
      <c r="J499" s="5" t="inlineStr">
        <is>
          <t>CIF</t>
        </is>
      </c>
      <c r="K499" s="6" t="n">
        <v>46016</v>
      </c>
      <c r="L499" s="2" t="inlineStr">
        <is>
          <t>Kazanildi</t>
        </is>
      </c>
      <c r="M499" s="2" t="inlineStr"/>
    </row>
    <row r="500">
      <c r="A500" s="2" t="inlineStr">
        <is>
          <t>TKL-0499</t>
        </is>
      </c>
      <c r="B500" s="6" t="n">
        <v>45995</v>
      </c>
      <c r="C500" s="2" t="inlineStr">
        <is>
          <t>MUS-012</t>
        </is>
      </c>
      <c r="D500" s="2" t="inlineStr">
        <is>
          <t>ST-001</t>
        </is>
      </c>
      <c r="E500" s="2" t="inlineStr">
        <is>
          <t>Kaybedildi</t>
        </is>
      </c>
      <c r="F500" s="3" t="n">
        <v>19997.48</v>
      </c>
      <c r="G500" s="2" t="inlineStr">
        <is>
          <t>EUR</t>
        </is>
      </c>
      <c r="H500" s="5" t="n">
        <v>1.0849</v>
      </c>
      <c r="I500" s="2" t="n">
        <v>15</v>
      </c>
      <c r="J500" s="5" t="inlineStr">
        <is>
          <t>DAP</t>
        </is>
      </c>
      <c r="K500" s="6" t="n">
        <v>46004</v>
      </c>
      <c r="L500" s="2" t="inlineStr">
        <is>
          <t>Kaybedildi</t>
        </is>
      </c>
      <c r="M500" s="2" t="inlineStr">
        <is>
          <t>Butce Ertelendi</t>
        </is>
      </c>
    </row>
    <row r="501">
      <c r="A501" s="2" t="inlineStr">
        <is>
          <t>TKL-0500</t>
        </is>
      </c>
      <c r="B501" s="6" t="n">
        <v>46022</v>
      </c>
      <c r="C501" s="2" t="inlineStr">
        <is>
          <t>MUS-011</t>
        </is>
      </c>
      <c r="D501" s="2" t="inlineStr">
        <is>
          <t>ST-003</t>
        </is>
      </c>
      <c r="E501" s="2" t="inlineStr">
        <is>
          <t>Siparise Donustu</t>
        </is>
      </c>
      <c r="F501" s="3" t="n">
        <v>70123.13</v>
      </c>
      <c r="G501" s="2" t="inlineStr">
        <is>
          <t>USD</t>
        </is>
      </c>
      <c r="H501" s="5" t="n">
        <v>1</v>
      </c>
      <c r="I501" s="2" t="n">
        <v>45</v>
      </c>
      <c r="J501" s="5" t="inlineStr">
        <is>
          <t>CIF</t>
        </is>
      </c>
      <c r="K501" s="6" t="n">
        <v>46038</v>
      </c>
      <c r="L501" s="2" t="inlineStr">
        <is>
          <t>Kazanildi</t>
        </is>
      </c>
      <c r="M501" s="2" t="inlineStr"/>
    </row>
    <row r="502">
      <c r="A502" s="2" t="inlineStr">
        <is>
          <t>TKL-0501</t>
        </is>
      </c>
      <c r="B502" s="6" t="n">
        <v>46003</v>
      </c>
      <c r="C502" s="2" t="inlineStr">
        <is>
          <t>MUS-028</t>
        </is>
      </c>
      <c r="D502" s="2" t="inlineStr">
        <is>
          <t>ST-001</t>
        </is>
      </c>
      <c r="E502" s="2" t="inlineStr">
        <is>
          <t>Beklemede</t>
        </is>
      </c>
      <c r="F502" s="3" t="n">
        <v>47885.43</v>
      </c>
      <c r="G502" s="2" t="inlineStr">
        <is>
          <t>EUR</t>
        </is>
      </c>
      <c r="H502" s="5" t="n">
        <v>1.0849</v>
      </c>
      <c r="I502" s="2" t="n">
        <v>20</v>
      </c>
      <c r="J502" s="5" t="inlineStr">
        <is>
          <t>DAP</t>
        </is>
      </c>
      <c r="K502" s="6" t="n">
        <v>46016</v>
      </c>
      <c r="L502" s="2" t="inlineStr">
        <is>
          <t>Acik</t>
        </is>
      </c>
      <c r="M502" s="2" t="inlineStr"/>
    </row>
    <row r="503">
      <c r="A503" s="2" t="inlineStr">
        <is>
          <t>TKL-0502</t>
        </is>
      </c>
      <c r="B503" s="6" t="n">
        <v>45997</v>
      </c>
      <c r="C503" s="2" t="inlineStr">
        <is>
          <t>MUS-014</t>
        </is>
      </c>
      <c r="D503" s="2" t="inlineStr">
        <is>
          <t>ST-007</t>
        </is>
      </c>
      <c r="E503" s="2" t="inlineStr">
        <is>
          <t>Kaybedildi</t>
        </is>
      </c>
      <c r="F503" s="3" t="n">
        <v>21187.52</v>
      </c>
      <c r="G503" s="2" t="inlineStr">
        <is>
          <t>USD</t>
        </is>
      </c>
      <c r="H503" s="5" t="n">
        <v>1</v>
      </c>
      <c r="I503" s="2" t="n">
        <v>20</v>
      </c>
      <c r="J503" s="5" t="inlineStr">
        <is>
          <t>FCA</t>
        </is>
      </c>
      <c r="K503" s="6" t="n">
        <v>46017</v>
      </c>
      <c r="L503" s="2" t="inlineStr">
        <is>
          <t>Kaybedildi</t>
        </is>
      </c>
      <c r="M503" s="2" t="inlineStr">
        <is>
          <t>Rakipte Teknik Onay</t>
        </is>
      </c>
    </row>
    <row r="504">
      <c r="A504" s="2" t="inlineStr">
        <is>
          <t>TKL-0503</t>
        </is>
      </c>
      <c r="B504" s="6" t="n">
        <v>46023</v>
      </c>
      <c r="C504" s="2" t="inlineStr">
        <is>
          <t>MUS-016</t>
        </is>
      </c>
      <c r="D504" s="2" t="inlineStr">
        <is>
          <t>ST-001</t>
        </is>
      </c>
      <c r="E504" s="2" t="inlineStr">
        <is>
          <t>Kaybedildi</t>
        </is>
      </c>
      <c r="F504" s="3" t="n">
        <v>55546.52</v>
      </c>
      <c r="G504" s="2" t="inlineStr">
        <is>
          <t>EUR</t>
        </is>
      </c>
      <c r="H504" s="5" t="n">
        <v>1.0938</v>
      </c>
      <c r="I504" s="2" t="n">
        <v>45</v>
      </c>
      <c r="J504" s="5" t="inlineStr">
        <is>
          <t>DAP</t>
        </is>
      </c>
      <c r="K504" s="6" t="n">
        <v>46060</v>
      </c>
      <c r="L504" s="2" t="inlineStr">
        <is>
          <t>Kaybedildi</t>
        </is>
      </c>
      <c r="M504" s="2" t="inlineStr">
        <is>
          <t>Termin Uzun</t>
        </is>
      </c>
    </row>
    <row r="505">
      <c r="A505" s="2" t="inlineStr">
        <is>
          <t>TKL-0504</t>
        </is>
      </c>
      <c r="B505" s="6" t="n">
        <v>46030</v>
      </c>
      <c r="C505" s="2" t="inlineStr">
        <is>
          <t>MUS-008</t>
        </is>
      </c>
      <c r="D505" s="2" t="inlineStr">
        <is>
          <t>ST-008</t>
        </is>
      </c>
      <c r="E505" s="2" t="inlineStr">
        <is>
          <t>Siparise Donustu</t>
        </is>
      </c>
      <c r="F505" s="3" t="n">
        <v>33130.34</v>
      </c>
      <c r="G505" s="2" t="inlineStr">
        <is>
          <t>USD</t>
        </is>
      </c>
      <c r="H505" s="5" t="n">
        <v>1</v>
      </c>
      <c r="I505" s="2" t="n">
        <v>45</v>
      </c>
      <c r="J505" s="5" t="inlineStr">
        <is>
          <t>FCA</t>
        </is>
      </c>
      <c r="K505" s="6" t="n">
        <v>46073</v>
      </c>
      <c r="L505" s="2" t="inlineStr">
        <is>
          <t>Kazanildi</t>
        </is>
      </c>
      <c r="M505" s="2" t="inlineStr"/>
    </row>
    <row r="506">
      <c r="A506" s="2" t="inlineStr">
        <is>
          <t>TKL-0505</t>
        </is>
      </c>
      <c r="B506" s="6" t="n">
        <v>46053</v>
      </c>
      <c r="C506" s="2" t="inlineStr">
        <is>
          <t>MUS-052</t>
        </is>
      </c>
      <c r="D506" s="2" t="inlineStr">
        <is>
          <t>ST-007</t>
        </is>
      </c>
      <c r="E506" s="2" t="inlineStr">
        <is>
          <t>Kaybedildi</t>
        </is>
      </c>
      <c r="F506" s="3" t="n">
        <v>12887</v>
      </c>
      <c r="G506" s="2" t="inlineStr">
        <is>
          <t>USD</t>
        </is>
      </c>
      <c r="H506" s="5" t="n">
        <v>1</v>
      </c>
      <c r="I506" s="2" t="n">
        <v>45</v>
      </c>
      <c r="J506" s="5" t="inlineStr">
        <is>
          <t>FCA</t>
        </is>
      </c>
      <c r="K506" s="6" t="n">
        <v>46071</v>
      </c>
      <c r="L506" s="2" t="inlineStr">
        <is>
          <t>Kaybedildi</t>
        </is>
      </c>
      <c r="M506" s="2" t="inlineStr">
        <is>
          <t>Fiyat Yuksek</t>
        </is>
      </c>
    </row>
    <row r="507">
      <c r="A507" s="2" t="inlineStr">
        <is>
          <t>TKL-0506</t>
        </is>
      </c>
      <c r="B507" s="6" t="n">
        <v>46052</v>
      </c>
      <c r="C507" s="2" t="inlineStr">
        <is>
          <t>MUS-009</t>
        </is>
      </c>
      <c r="D507" s="2" t="inlineStr">
        <is>
          <t>ST-002</t>
        </is>
      </c>
      <c r="E507" s="2" t="inlineStr">
        <is>
          <t>Kaybedildi</t>
        </is>
      </c>
      <c r="F507" s="3" t="n">
        <v>6113.92</v>
      </c>
      <c r="G507" s="2" t="inlineStr">
        <is>
          <t>EUR</t>
        </is>
      </c>
      <c r="H507" s="5" t="n">
        <v>1.0938</v>
      </c>
      <c r="I507" s="2" t="n">
        <v>20</v>
      </c>
      <c r="J507" s="5" t="inlineStr">
        <is>
          <t>DAP</t>
        </is>
      </c>
      <c r="K507" s="6" t="n">
        <v>46069</v>
      </c>
      <c r="L507" s="2" t="inlineStr">
        <is>
          <t>Kaybedildi</t>
        </is>
      </c>
      <c r="M507" s="2" t="inlineStr">
        <is>
          <t>Termin Uzun</t>
        </is>
      </c>
    </row>
    <row r="508">
      <c r="A508" s="2" t="inlineStr">
        <is>
          <t>TKL-0507</t>
        </is>
      </c>
      <c r="B508" s="6" t="n">
        <v>46044</v>
      </c>
      <c r="C508" s="2" t="inlineStr">
        <is>
          <t>MUS-064</t>
        </is>
      </c>
      <c r="D508" s="2" t="inlineStr">
        <is>
          <t>ST-001</t>
        </is>
      </c>
      <c r="E508" s="2" t="inlineStr">
        <is>
          <t>Siparise Donustu</t>
        </is>
      </c>
      <c r="F508" s="3" t="n">
        <v>72649.17</v>
      </c>
      <c r="G508" s="2" t="inlineStr">
        <is>
          <t>EUR</t>
        </is>
      </c>
      <c r="H508" s="5" t="n">
        <v>1.0938</v>
      </c>
      <c r="I508" s="2" t="n">
        <v>30</v>
      </c>
      <c r="J508" s="5" t="inlineStr">
        <is>
          <t>FCA</t>
        </is>
      </c>
      <c r="K508" s="6" t="n">
        <v>46072</v>
      </c>
      <c r="L508" s="2" t="inlineStr">
        <is>
          <t>Kazanildi</t>
        </is>
      </c>
      <c r="M508" s="2" t="inlineStr"/>
    </row>
    <row r="509">
      <c r="A509" s="2" t="inlineStr">
        <is>
          <t>TKL-0508</t>
        </is>
      </c>
      <c r="B509" s="6" t="n">
        <v>46044</v>
      </c>
      <c r="C509" s="2" t="inlineStr">
        <is>
          <t>MUS-054</t>
        </is>
      </c>
      <c r="D509" s="2" t="inlineStr">
        <is>
          <t>ST-003</t>
        </is>
      </c>
      <c r="E509" s="2" t="inlineStr">
        <is>
          <t>Beklemede</t>
        </is>
      </c>
      <c r="F509" s="3" t="n">
        <v>67393.31</v>
      </c>
      <c r="G509" s="2" t="inlineStr">
        <is>
          <t>USD</t>
        </is>
      </c>
      <c r="H509" s="5" t="n">
        <v>1</v>
      </c>
      <c r="I509" s="2" t="n">
        <v>20</v>
      </c>
      <c r="J509" s="5" t="inlineStr">
        <is>
          <t>CIF</t>
        </is>
      </c>
      <c r="K509" s="6" t="n">
        <v>46063</v>
      </c>
      <c r="L509" s="2" t="inlineStr">
        <is>
          <t>Acik</t>
        </is>
      </c>
      <c r="M509" s="2" t="inlineStr"/>
    </row>
    <row r="510">
      <c r="A510" s="2" t="inlineStr">
        <is>
          <t>TKL-0509</t>
        </is>
      </c>
      <c r="B510" s="6" t="n">
        <v>46035</v>
      </c>
      <c r="C510" s="2" t="inlineStr">
        <is>
          <t>MUS-044</t>
        </is>
      </c>
      <c r="D510" s="2" t="inlineStr">
        <is>
          <t>ST-001</t>
        </is>
      </c>
      <c r="E510" s="2" t="inlineStr">
        <is>
          <t>Siparise Donustu</t>
        </is>
      </c>
      <c r="F510" s="3" t="n">
        <v>3520.02</v>
      </c>
      <c r="G510" s="2" t="inlineStr">
        <is>
          <t>EUR</t>
        </is>
      </c>
      <c r="H510" s="5" t="n">
        <v>1.0938</v>
      </c>
      <c r="I510" s="2" t="n">
        <v>15</v>
      </c>
      <c r="J510" s="5" t="inlineStr">
        <is>
          <t>DAP</t>
        </is>
      </c>
      <c r="K510" s="6" t="n">
        <v>46046</v>
      </c>
      <c r="L510" s="2" t="inlineStr">
        <is>
          <t>Kazanildi</t>
        </is>
      </c>
      <c r="M510" s="2" t="inlineStr"/>
    </row>
    <row r="511">
      <c r="A511" s="2" t="inlineStr">
        <is>
          <t>TKL-0510</t>
        </is>
      </c>
      <c r="B511" s="6" t="n">
        <v>46031</v>
      </c>
      <c r="C511" s="2" t="inlineStr">
        <is>
          <t>MUS-067</t>
        </is>
      </c>
      <c r="D511" s="2" t="inlineStr">
        <is>
          <t>ST-004</t>
        </is>
      </c>
      <c r="E511" s="2" t="inlineStr">
        <is>
          <t>Kaybedildi</t>
        </is>
      </c>
      <c r="F511" s="3" t="n">
        <v>51963.39</v>
      </c>
      <c r="G511" s="2" t="inlineStr">
        <is>
          <t>USD</t>
        </is>
      </c>
      <c r="H511" s="5" t="n">
        <v>1</v>
      </c>
      <c r="I511" s="2" t="n">
        <v>20</v>
      </c>
      <c r="J511" s="5" t="inlineStr">
        <is>
          <t>CIF</t>
        </is>
      </c>
      <c r="K511" s="6" t="n">
        <v>46039</v>
      </c>
      <c r="L511" s="2" t="inlineStr">
        <is>
          <t>Kaybedildi</t>
        </is>
      </c>
      <c r="M511" s="2" t="inlineStr">
        <is>
          <t>Fiyat Yuksek</t>
        </is>
      </c>
    </row>
    <row r="512">
      <c r="A512" s="2" t="inlineStr">
        <is>
          <t>TKL-0511</t>
        </is>
      </c>
      <c r="B512" s="6" t="n">
        <v>46042</v>
      </c>
      <c r="C512" s="2" t="inlineStr">
        <is>
          <t>MUS-039</t>
        </is>
      </c>
      <c r="D512" s="2" t="inlineStr">
        <is>
          <t>ST-004</t>
        </is>
      </c>
      <c r="E512" s="2" t="inlineStr">
        <is>
          <t>Siparise Donustu</t>
        </is>
      </c>
      <c r="F512" s="3" t="n">
        <v>20239.14</v>
      </c>
      <c r="G512" s="2" t="inlineStr">
        <is>
          <t>USD</t>
        </is>
      </c>
      <c r="H512" s="5" t="n">
        <v>1</v>
      </c>
      <c r="I512" s="2" t="n">
        <v>45</v>
      </c>
      <c r="J512" s="5" t="inlineStr">
        <is>
          <t>CIF</t>
        </is>
      </c>
      <c r="K512" s="6" t="n">
        <v>46070</v>
      </c>
      <c r="L512" s="2" t="inlineStr">
        <is>
          <t>Kazanildi</t>
        </is>
      </c>
      <c r="M512" s="2" t="inlineStr"/>
    </row>
    <row r="513">
      <c r="A513" s="2" t="inlineStr">
        <is>
          <t>TKL-0512</t>
        </is>
      </c>
      <c r="B513" s="6" t="n">
        <v>46042</v>
      </c>
      <c r="C513" s="2" t="inlineStr">
        <is>
          <t>MUS-022</t>
        </is>
      </c>
      <c r="D513" s="2" t="inlineStr">
        <is>
          <t>ST-001</t>
        </is>
      </c>
      <c r="E513" s="2" t="inlineStr">
        <is>
          <t>Kaybedildi</t>
        </is>
      </c>
      <c r="F513" s="3" t="n">
        <v>21434.25</v>
      </c>
      <c r="G513" s="2" t="inlineStr">
        <is>
          <t>EUR</t>
        </is>
      </c>
      <c r="H513" s="5" t="n">
        <v>1.0938</v>
      </c>
      <c r="I513" s="2" t="n">
        <v>45</v>
      </c>
      <c r="J513" s="5" t="inlineStr">
        <is>
          <t>DAP</t>
        </is>
      </c>
      <c r="K513" s="6" t="n">
        <v>46076</v>
      </c>
      <c r="L513" s="2" t="inlineStr">
        <is>
          <t>Kaybedildi</t>
        </is>
      </c>
      <c r="M513" s="2" t="inlineStr">
        <is>
          <t>Butce Ertelendi</t>
        </is>
      </c>
    </row>
    <row r="514">
      <c r="A514" s="2" t="inlineStr">
        <is>
          <t>TKL-0513</t>
        </is>
      </c>
      <c r="B514" s="6" t="n">
        <v>46026</v>
      </c>
      <c r="C514" s="2" t="inlineStr">
        <is>
          <t>MUS-030</t>
        </is>
      </c>
      <c r="D514" s="2" t="inlineStr">
        <is>
          <t>ST-002</t>
        </is>
      </c>
      <c r="E514" s="2" t="inlineStr">
        <is>
          <t>Siparise Donustu</t>
        </is>
      </c>
      <c r="F514" s="3" t="n">
        <v>60805.83</v>
      </c>
      <c r="G514" s="2" t="inlineStr">
        <is>
          <t>EUR</t>
        </is>
      </c>
      <c r="H514" s="5" t="n">
        <v>1.0938</v>
      </c>
      <c r="I514" s="2" t="n">
        <v>20</v>
      </c>
      <c r="J514" s="5" t="inlineStr">
        <is>
          <t>DAP</t>
        </is>
      </c>
      <c r="K514" s="6" t="n">
        <v>46046</v>
      </c>
      <c r="L514" s="2" t="inlineStr">
        <is>
          <t>Kazanildi</t>
        </is>
      </c>
      <c r="M514" s="2" t="inlineStr"/>
    </row>
    <row r="515">
      <c r="A515" s="2" t="inlineStr">
        <is>
          <t>TKL-0514</t>
        </is>
      </c>
      <c r="B515" s="6" t="n">
        <v>46023</v>
      </c>
      <c r="C515" s="2" t="inlineStr">
        <is>
          <t>MUS-017</t>
        </is>
      </c>
      <c r="D515" s="2" t="inlineStr">
        <is>
          <t>ST-001</t>
        </is>
      </c>
      <c r="E515" s="2" t="inlineStr">
        <is>
          <t>Siparise Donustu</t>
        </is>
      </c>
      <c r="F515" s="3" t="n">
        <v>20992.54</v>
      </c>
      <c r="G515" s="2" t="inlineStr">
        <is>
          <t>EUR</t>
        </is>
      </c>
      <c r="H515" s="5" t="n">
        <v>1.0938</v>
      </c>
      <c r="I515" s="2" t="n">
        <v>45</v>
      </c>
      <c r="J515" s="5" t="inlineStr">
        <is>
          <t>DAP</t>
        </is>
      </c>
      <c r="K515" s="6" t="n">
        <v>46049</v>
      </c>
      <c r="L515" s="2" t="inlineStr">
        <is>
          <t>Kazanildi</t>
        </is>
      </c>
      <c r="M515" s="2" t="inlineStr"/>
    </row>
    <row r="516">
      <c r="A516" s="2" t="inlineStr">
        <is>
          <t>TKL-0515</t>
        </is>
      </c>
      <c r="B516" s="6" t="n">
        <v>46045</v>
      </c>
      <c r="C516" s="2" t="inlineStr">
        <is>
          <t>MUS-034</t>
        </is>
      </c>
      <c r="D516" s="2" t="inlineStr">
        <is>
          <t>ST-002</t>
        </is>
      </c>
      <c r="E516" s="2" t="inlineStr">
        <is>
          <t>Siparise Donustu</t>
        </is>
      </c>
      <c r="F516" s="3" t="n">
        <v>76858.92999999999</v>
      </c>
      <c r="G516" s="2" t="inlineStr">
        <is>
          <t>EUR</t>
        </is>
      </c>
      <c r="H516" s="5" t="n">
        <v>1.0938</v>
      </c>
      <c r="I516" s="2" t="n">
        <v>15</v>
      </c>
      <c r="J516" s="5" t="inlineStr">
        <is>
          <t>DAP</t>
        </is>
      </c>
      <c r="K516" s="6" t="n">
        <v>46051</v>
      </c>
      <c r="L516" s="2" t="inlineStr">
        <is>
          <t>Kazanildi</t>
        </is>
      </c>
      <c r="M516" s="2" t="inlineStr"/>
    </row>
    <row r="517">
      <c r="A517" s="2" t="inlineStr">
        <is>
          <t>TKL-0516</t>
        </is>
      </c>
      <c r="B517" s="6" t="n">
        <v>46043</v>
      </c>
      <c r="C517" s="2" t="inlineStr">
        <is>
          <t>MUS-025</t>
        </is>
      </c>
      <c r="D517" s="2" t="inlineStr">
        <is>
          <t>ST-001</t>
        </is>
      </c>
      <c r="E517" s="2" t="inlineStr">
        <is>
          <t>Kaybedildi</t>
        </is>
      </c>
      <c r="F517" s="3" t="n">
        <v>81659.14</v>
      </c>
      <c r="G517" s="2" t="inlineStr">
        <is>
          <t>EUR</t>
        </is>
      </c>
      <c r="H517" s="5" t="n">
        <v>1.0938</v>
      </c>
      <c r="I517" s="2" t="n">
        <v>15</v>
      </c>
      <c r="J517" s="5" t="inlineStr">
        <is>
          <t>DAP</t>
        </is>
      </c>
      <c r="K517" s="6" t="n">
        <v>46058</v>
      </c>
      <c r="L517" s="2" t="inlineStr">
        <is>
          <t>Kaybedildi</t>
        </is>
      </c>
      <c r="M517" s="2" t="inlineStr">
        <is>
          <t>Fiyat Yuksek</t>
        </is>
      </c>
    </row>
    <row r="518">
      <c r="A518" s="2" t="inlineStr">
        <is>
          <t>TKL-0517</t>
        </is>
      </c>
      <c r="B518" s="6" t="n">
        <v>46030</v>
      </c>
      <c r="C518" s="2" t="inlineStr">
        <is>
          <t>MUS-016</t>
        </is>
      </c>
      <c r="D518" s="2" t="inlineStr">
        <is>
          <t>ST-002</t>
        </is>
      </c>
      <c r="E518" s="2" t="inlineStr">
        <is>
          <t>Siparise Donustu</t>
        </is>
      </c>
      <c r="F518" s="3" t="n">
        <v>37669.18</v>
      </c>
      <c r="G518" s="2" t="inlineStr">
        <is>
          <t>EUR</t>
        </is>
      </c>
      <c r="H518" s="5" t="n">
        <v>1.0938</v>
      </c>
      <c r="I518" s="2" t="n">
        <v>45</v>
      </c>
      <c r="J518" s="5" t="inlineStr">
        <is>
          <t>DAP</t>
        </is>
      </c>
      <c r="K518" s="6" t="n">
        <v>46038</v>
      </c>
      <c r="L518" s="2" t="inlineStr">
        <is>
          <t>Kazanildi</t>
        </is>
      </c>
      <c r="M518" s="2" t="inlineStr"/>
    </row>
    <row r="519">
      <c r="A519" s="2" t="inlineStr">
        <is>
          <t>TKL-0518</t>
        </is>
      </c>
      <c r="B519" s="6" t="n">
        <v>46063</v>
      </c>
      <c r="C519" s="2" t="inlineStr">
        <is>
          <t>MUS-013</t>
        </is>
      </c>
      <c r="D519" s="2" t="inlineStr">
        <is>
          <t>ST-002</t>
        </is>
      </c>
      <c r="E519" s="2" t="inlineStr">
        <is>
          <t>Kaybedildi</t>
        </is>
      </c>
      <c r="F519" s="3" t="n">
        <v>34320.89</v>
      </c>
      <c r="G519" s="2" t="inlineStr">
        <is>
          <t>EUR</t>
        </is>
      </c>
      <c r="H519" s="5" t="n">
        <v>1.0657</v>
      </c>
      <c r="I519" s="2" t="n">
        <v>20</v>
      </c>
      <c r="J519" s="5" t="inlineStr">
        <is>
          <t>FCA</t>
        </is>
      </c>
      <c r="K519" s="6" t="n">
        <v>46076</v>
      </c>
      <c r="L519" s="2" t="inlineStr">
        <is>
          <t>Kaybedildi</t>
        </is>
      </c>
      <c r="M519" s="2" t="inlineStr">
        <is>
          <t>Fiyat Yuksek</t>
        </is>
      </c>
    </row>
    <row r="520">
      <c r="A520" s="2" t="inlineStr">
        <is>
          <t>TKL-0519</t>
        </is>
      </c>
      <c r="B520" s="6" t="n">
        <v>46067</v>
      </c>
      <c r="C520" s="2" t="inlineStr">
        <is>
          <t>MUS-047</t>
        </is>
      </c>
      <c r="D520" s="2" t="inlineStr">
        <is>
          <t>ST-005</t>
        </is>
      </c>
      <c r="E520" s="2" t="inlineStr">
        <is>
          <t>Kaybedildi</t>
        </is>
      </c>
      <c r="F520" s="3" t="n">
        <v>32556.68</v>
      </c>
      <c r="G520" s="2" t="inlineStr">
        <is>
          <t>USD</t>
        </is>
      </c>
      <c r="H520" s="5" t="n">
        <v>1</v>
      </c>
      <c r="I520" s="2" t="n">
        <v>15</v>
      </c>
      <c r="J520" s="5" t="inlineStr">
        <is>
          <t>CFR</t>
        </is>
      </c>
      <c r="K520" s="6" t="n">
        <v>46080</v>
      </c>
      <c r="L520" s="2" t="inlineStr">
        <is>
          <t>Kaybedildi</t>
        </is>
      </c>
      <c r="M520" s="2" t="inlineStr">
        <is>
          <t>Fiyat Yuksek</t>
        </is>
      </c>
    </row>
    <row r="521">
      <c r="A521" s="2" t="inlineStr">
        <is>
          <t>TKL-0520</t>
        </is>
      </c>
      <c r="B521" s="6" t="n">
        <v>46055</v>
      </c>
      <c r="C521" s="2" t="inlineStr">
        <is>
          <t>MUS-058</t>
        </is>
      </c>
      <c r="D521" s="2" t="inlineStr">
        <is>
          <t>ST-002</t>
        </is>
      </c>
      <c r="E521" s="2" t="inlineStr">
        <is>
          <t>Beklemede</t>
        </is>
      </c>
      <c r="F521" s="3" t="n">
        <v>73978.42</v>
      </c>
      <c r="G521" s="2" t="inlineStr">
        <is>
          <t>EUR</t>
        </is>
      </c>
      <c r="H521" s="5" t="n">
        <v>1.0657</v>
      </c>
      <c r="I521" s="2" t="n">
        <v>45</v>
      </c>
      <c r="J521" s="5" t="inlineStr">
        <is>
          <t>DAP</t>
        </is>
      </c>
      <c r="K521" s="6" t="n">
        <v>46074</v>
      </c>
      <c r="L521" s="2" t="inlineStr">
        <is>
          <t>Acik</t>
        </is>
      </c>
      <c r="M521" s="2" t="inlineStr"/>
    </row>
    <row r="522">
      <c r="A522" s="2" t="inlineStr">
        <is>
          <t>TKL-0521</t>
        </is>
      </c>
      <c r="B522" s="6" t="n">
        <v>46066</v>
      </c>
      <c r="C522" s="2" t="inlineStr">
        <is>
          <t>MUS-084</t>
        </is>
      </c>
      <c r="D522" s="2" t="inlineStr">
        <is>
          <t>ST-001</t>
        </is>
      </c>
      <c r="E522" s="2" t="inlineStr">
        <is>
          <t>Siparise Donustu</t>
        </is>
      </c>
      <c r="F522" s="3" t="n">
        <v>18237.35</v>
      </c>
      <c r="G522" s="2" t="inlineStr">
        <is>
          <t>EUR</t>
        </is>
      </c>
      <c r="H522" s="5" t="n">
        <v>1.0657</v>
      </c>
      <c r="I522" s="2" t="n">
        <v>20</v>
      </c>
      <c r="J522" s="5" t="inlineStr">
        <is>
          <t>DAP</t>
        </is>
      </c>
      <c r="K522" s="6" t="n">
        <v>46086</v>
      </c>
      <c r="L522" s="2" t="inlineStr">
        <is>
          <t>Kazanildi</t>
        </is>
      </c>
      <c r="M522" s="2" t="inlineStr"/>
    </row>
    <row r="523">
      <c r="A523" s="2" t="inlineStr">
        <is>
          <t>TKL-0522</t>
        </is>
      </c>
      <c r="B523" s="6" t="n">
        <v>46059</v>
      </c>
      <c r="C523" s="2" t="inlineStr">
        <is>
          <t>MUS-066</t>
        </is>
      </c>
      <c r="D523" s="2" t="inlineStr">
        <is>
          <t>ST-007</t>
        </is>
      </c>
      <c r="E523" s="2" t="inlineStr">
        <is>
          <t>Siparise Donustu</t>
        </is>
      </c>
      <c r="F523" s="3" t="n">
        <v>13548.18</v>
      </c>
      <c r="G523" s="2" t="inlineStr">
        <is>
          <t>USD</t>
        </is>
      </c>
      <c r="H523" s="5" t="n">
        <v>1</v>
      </c>
      <c r="I523" s="2" t="n">
        <v>45</v>
      </c>
      <c r="J523" s="5" t="inlineStr">
        <is>
          <t>FCA</t>
        </is>
      </c>
      <c r="K523" s="6" t="n">
        <v>46071</v>
      </c>
      <c r="L523" s="2" t="inlineStr">
        <is>
          <t>Kazanildi</t>
        </is>
      </c>
      <c r="M523" s="2" t="inlineStr"/>
    </row>
    <row r="524">
      <c r="A524" s="2" t="inlineStr">
        <is>
          <t>TKL-0523</t>
        </is>
      </c>
      <c r="B524" s="6" t="n">
        <v>46060</v>
      </c>
      <c r="C524" s="2" t="inlineStr">
        <is>
          <t>MUS-041</t>
        </is>
      </c>
      <c r="D524" s="2" t="inlineStr">
        <is>
          <t>ST-002</t>
        </is>
      </c>
      <c r="E524" s="2" t="inlineStr">
        <is>
          <t>Siparise Donustu</t>
        </is>
      </c>
      <c r="F524" s="3" t="n">
        <v>47266.87</v>
      </c>
      <c r="G524" s="2" t="inlineStr">
        <is>
          <t>EUR</t>
        </is>
      </c>
      <c r="H524" s="5" t="n">
        <v>1.0657</v>
      </c>
      <c r="I524" s="2" t="n">
        <v>15</v>
      </c>
      <c r="J524" s="5" t="inlineStr">
        <is>
          <t>DAP</t>
        </is>
      </c>
      <c r="K524" s="6" t="n">
        <v>46073</v>
      </c>
      <c r="L524" s="2" t="inlineStr">
        <is>
          <t>Kazanildi</t>
        </is>
      </c>
      <c r="M524" s="2" t="inlineStr"/>
    </row>
    <row r="525">
      <c r="A525" s="2" t="inlineStr">
        <is>
          <t>TKL-0524</t>
        </is>
      </c>
      <c r="B525" s="6" t="n">
        <v>46067</v>
      </c>
      <c r="C525" s="2" t="inlineStr">
        <is>
          <t>MUS-074</t>
        </is>
      </c>
      <c r="D525" s="2" t="inlineStr">
        <is>
          <t>ST-007</t>
        </is>
      </c>
      <c r="E525" s="2" t="inlineStr">
        <is>
          <t>Kaybedildi</t>
        </is>
      </c>
      <c r="F525" s="3" t="n">
        <v>25435.02</v>
      </c>
      <c r="G525" s="2" t="inlineStr">
        <is>
          <t>USD</t>
        </is>
      </c>
      <c r="H525" s="5" t="n">
        <v>1</v>
      </c>
      <c r="I525" s="2" t="n">
        <v>15</v>
      </c>
      <c r="J525" s="5" t="inlineStr">
        <is>
          <t>FCA</t>
        </is>
      </c>
      <c r="K525" s="6" t="n">
        <v>46073</v>
      </c>
      <c r="L525" s="2" t="inlineStr">
        <is>
          <t>Kaybedildi</t>
        </is>
      </c>
      <c r="M525" s="2" t="inlineStr">
        <is>
          <t>Fiyat Yuksek</t>
        </is>
      </c>
    </row>
    <row r="526">
      <c r="A526" s="2" t="inlineStr">
        <is>
          <t>TKL-0525</t>
        </is>
      </c>
      <c r="B526" s="6" t="n">
        <v>46064</v>
      </c>
      <c r="C526" s="2" t="inlineStr">
        <is>
          <t>MUS-072</t>
        </is>
      </c>
      <c r="D526" s="2" t="inlineStr">
        <is>
          <t>ST-001</t>
        </is>
      </c>
      <c r="E526" s="2" t="inlineStr">
        <is>
          <t>Siparise Donustu</t>
        </is>
      </c>
      <c r="F526" s="3" t="n">
        <v>40599.27</v>
      </c>
      <c r="G526" s="2" t="inlineStr">
        <is>
          <t>EUR</t>
        </is>
      </c>
      <c r="H526" s="5" t="n">
        <v>1.0657</v>
      </c>
      <c r="I526" s="2" t="n">
        <v>30</v>
      </c>
      <c r="J526" s="5" t="inlineStr">
        <is>
          <t>DAP</t>
        </is>
      </c>
      <c r="K526" s="6" t="n">
        <v>46084</v>
      </c>
      <c r="L526" s="2" t="inlineStr">
        <is>
          <t>Kazanildi</t>
        </is>
      </c>
      <c r="M526" s="2" t="inlineStr"/>
    </row>
    <row r="527">
      <c r="A527" s="2" t="inlineStr">
        <is>
          <t>TKL-0526</t>
        </is>
      </c>
      <c r="B527" s="6" t="n">
        <v>46059</v>
      </c>
      <c r="C527" s="2" t="inlineStr">
        <is>
          <t>MUS-058</t>
        </is>
      </c>
      <c r="D527" s="2" t="inlineStr">
        <is>
          <t>ST-002</t>
        </is>
      </c>
      <c r="E527" s="2" t="inlineStr">
        <is>
          <t>Siparise Donustu</t>
        </is>
      </c>
      <c r="F527" s="3" t="n">
        <v>19352.19</v>
      </c>
      <c r="G527" s="2" t="inlineStr">
        <is>
          <t>EUR</t>
        </is>
      </c>
      <c r="H527" s="5" t="n">
        <v>1.0657</v>
      </c>
      <c r="I527" s="2" t="n">
        <v>15</v>
      </c>
      <c r="J527" s="5" t="inlineStr">
        <is>
          <t>DAP</t>
        </is>
      </c>
      <c r="K527" s="6" t="n">
        <v>46069</v>
      </c>
      <c r="L527" s="2" t="inlineStr">
        <is>
          <t>Kazanildi</t>
        </is>
      </c>
      <c r="M527" s="2" t="inlineStr"/>
    </row>
    <row r="528">
      <c r="A528" s="2" t="inlineStr">
        <is>
          <t>TKL-0527</t>
        </is>
      </c>
      <c r="B528" s="6" t="n">
        <v>46068</v>
      </c>
      <c r="C528" s="2" t="inlineStr">
        <is>
          <t>MUS-001</t>
        </is>
      </c>
      <c r="D528" s="2" t="inlineStr">
        <is>
          <t>ST-006</t>
        </is>
      </c>
      <c r="E528" s="2" t="inlineStr">
        <is>
          <t>Siparise Donustu</t>
        </is>
      </c>
      <c r="F528" s="3" t="n">
        <v>72924.2</v>
      </c>
      <c r="G528" s="2" t="inlineStr">
        <is>
          <t>USD</t>
        </is>
      </c>
      <c r="H528" s="5" t="n">
        <v>1</v>
      </c>
      <c r="I528" s="2" t="n">
        <v>30</v>
      </c>
      <c r="J528" s="5" t="inlineStr">
        <is>
          <t>CFR</t>
        </is>
      </c>
      <c r="K528" s="6" t="n">
        <v>46078</v>
      </c>
      <c r="L528" s="2" t="inlineStr">
        <is>
          <t>Kazanildi</t>
        </is>
      </c>
      <c r="M528" s="2" t="inlineStr"/>
    </row>
    <row r="529">
      <c r="A529" s="2" t="inlineStr">
        <is>
          <t>TKL-0528</t>
        </is>
      </c>
      <c r="B529" s="6" t="n">
        <v>46073</v>
      </c>
      <c r="C529" s="2" t="inlineStr">
        <is>
          <t>MUS-046</t>
        </is>
      </c>
      <c r="D529" s="2" t="inlineStr">
        <is>
          <t>ST-001</t>
        </is>
      </c>
      <c r="E529" s="2" t="inlineStr">
        <is>
          <t>Siparise Donustu</t>
        </is>
      </c>
      <c r="F529" s="3" t="n">
        <v>31431.5</v>
      </c>
      <c r="G529" s="2" t="inlineStr">
        <is>
          <t>EUR</t>
        </is>
      </c>
      <c r="H529" s="5" t="n">
        <v>1.0657</v>
      </c>
      <c r="I529" s="2" t="n">
        <v>15</v>
      </c>
      <c r="J529" s="5" t="inlineStr">
        <is>
          <t>FCA</t>
        </is>
      </c>
      <c r="K529" s="6" t="n">
        <v>46081</v>
      </c>
      <c r="L529" s="2" t="inlineStr">
        <is>
          <t>Kazanildi</t>
        </is>
      </c>
      <c r="M529" s="2" t="inlineStr"/>
    </row>
    <row r="530">
      <c r="A530" s="2" t="inlineStr">
        <is>
          <t>TKL-0529</t>
        </is>
      </c>
      <c r="B530" s="6" t="n">
        <v>46077</v>
      </c>
      <c r="C530" s="2" t="inlineStr">
        <is>
          <t>MUS-007</t>
        </is>
      </c>
      <c r="D530" s="2" t="inlineStr">
        <is>
          <t>ST-004</t>
        </is>
      </c>
      <c r="E530" s="2" t="inlineStr">
        <is>
          <t>Siparise Donustu</t>
        </is>
      </c>
      <c r="F530" s="3" t="n">
        <v>32015.16</v>
      </c>
      <c r="G530" s="2" t="inlineStr">
        <is>
          <t>USD</t>
        </is>
      </c>
      <c r="H530" s="5" t="n">
        <v>1</v>
      </c>
      <c r="I530" s="2" t="n">
        <v>45</v>
      </c>
      <c r="J530" s="5" t="inlineStr">
        <is>
          <t>CIF</t>
        </is>
      </c>
      <c r="K530" s="6" t="n">
        <v>46090</v>
      </c>
      <c r="L530" s="2" t="inlineStr">
        <is>
          <t>Kazanildi</t>
        </is>
      </c>
      <c r="M530" s="2" t="inlineStr"/>
    </row>
    <row r="531">
      <c r="A531" s="2" t="inlineStr">
        <is>
          <t>TKL-0530</t>
        </is>
      </c>
      <c r="B531" s="6" t="n">
        <v>46074</v>
      </c>
      <c r="C531" s="2" t="inlineStr">
        <is>
          <t>MUS-046</t>
        </is>
      </c>
      <c r="D531" s="2" t="inlineStr">
        <is>
          <t>ST-001</t>
        </is>
      </c>
      <c r="E531" s="2" t="inlineStr">
        <is>
          <t>Kaybedildi</t>
        </is>
      </c>
      <c r="F531" s="3" t="n">
        <v>52324.62</v>
      </c>
      <c r="G531" s="2" t="inlineStr">
        <is>
          <t>EUR</t>
        </is>
      </c>
      <c r="H531" s="5" t="n">
        <v>1.0657</v>
      </c>
      <c r="I531" s="2" t="n">
        <v>15</v>
      </c>
      <c r="J531" s="5" t="inlineStr">
        <is>
          <t>FCA</t>
        </is>
      </c>
      <c r="K531" s="6" t="n">
        <v>46089</v>
      </c>
      <c r="L531" s="2" t="inlineStr">
        <is>
          <t>Kaybedildi</t>
        </is>
      </c>
      <c r="M531" s="2" t="inlineStr">
        <is>
          <t>Termin Uzun</t>
        </is>
      </c>
    </row>
    <row r="532">
      <c r="A532" s="2" t="inlineStr">
        <is>
          <t>TKL-0531</t>
        </is>
      </c>
      <c r="B532" s="6" t="n">
        <v>46056</v>
      </c>
      <c r="C532" s="2" t="inlineStr">
        <is>
          <t>MUS-029</t>
        </is>
      </c>
      <c r="D532" s="2" t="inlineStr">
        <is>
          <t>ST-005</t>
        </is>
      </c>
      <c r="E532" s="2" t="inlineStr">
        <is>
          <t>Kaybedildi</t>
        </is>
      </c>
      <c r="F532" s="3" t="n">
        <v>25962.99</v>
      </c>
      <c r="G532" s="2" t="inlineStr">
        <is>
          <t>USD</t>
        </is>
      </c>
      <c r="H532" s="5" t="n">
        <v>1</v>
      </c>
      <c r="I532" s="2" t="n">
        <v>15</v>
      </c>
      <c r="J532" s="5" t="inlineStr">
        <is>
          <t>CFR</t>
        </is>
      </c>
      <c r="K532" s="6" t="n">
        <v>46062</v>
      </c>
      <c r="L532" s="2" t="inlineStr">
        <is>
          <t>Kaybedildi</t>
        </is>
      </c>
      <c r="M532" s="2" t="inlineStr">
        <is>
          <t>Rakipte Teknik Onay</t>
        </is>
      </c>
    </row>
    <row r="533">
      <c r="A533" s="2" t="inlineStr">
        <is>
          <t>TKL-0532</t>
        </is>
      </c>
      <c r="B533" s="6" t="n">
        <v>46055</v>
      </c>
      <c r="C533" s="2" t="inlineStr">
        <is>
          <t>MUS-016</t>
        </is>
      </c>
      <c r="D533" s="2" t="inlineStr">
        <is>
          <t>ST-001</t>
        </is>
      </c>
      <c r="E533" s="2" t="inlineStr">
        <is>
          <t>Beklemede</t>
        </is>
      </c>
      <c r="F533" s="3" t="n">
        <v>6727.89</v>
      </c>
      <c r="G533" s="2" t="inlineStr">
        <is>
          <t>EUR</t>
        </is>
      </c>
      <c r="H533" s="5" t="n">
        <v>1.0657</v>
      </c>
      <c r="I533" s="2" t="n">
        <v>30</v>
      </c>
      <c r="J533" s="5" t="inlineStr">
        <is>
          <t>DAP</t>
        </is>
      </c>
      <c r="K533" s="6" t="n">
        <v>46069</v>
      </c>
      <c r="L533" s="2" t="inlineStr">
        <is>
          <t>Acik</t>
        </is>
      </c>
      <c r="M533" s="2" t="inlineStr"/>
    </row>
    <row r="534">
      <c r="A534" s="2" t="inlineStr">
        <is>
          <t>TKL-0533</t>
        </is>
      </c>
      <c r="B534" s="6" t="n">
        <v>46071</v>
      </c>
      <c r="C534" s="2" t="inlineStr">
        <is>
          <t>MUS-017</t>
        </is>
      </c>
      <c r="D534" s="2" t="inlineStr">
        <is>
          <t>ST-002</t>
        </is>
      </c>
      <c r="E534" s="2" t="inlineStr">
        <is>
          <t>Siparise Donustu</t>
        </is>
      </c>
      <c r="F534" s="3" t="n">
        <v>12136.12</v>
      </c>
      <c r="G534" s="2" t="inlineStr">
        <is>
          <t>EUR</t>
        </is>
      </c>
      <c r="H534" s="5" t="n">
        <v>1.0657</v>
      </c>
      <c r="I534" s="2" t="n">
        <v>30</v>
      </c>
      <c r="J534" s="5" t="inlineStr">
        <is>
          <t>DAP</t>
        </is>
      </c>
      <c r="K534" s="6" t="n">
        <v>46091</v>
      </c>
      <c r="L534" s="2" t="inlineStr">
        <is>
          <t>Kazanildi</t>
        </is>
      </c>
      <c r="M534" s="2" t="inlineStr"/>
    </row>
    <row r="535">
      <c r="A535" s="2" t="inlineStr">
        <is>
          <t>TKL-0534</t>
        </is>
      </c>
      <c r="B535" s="6" t="n">
        <v>46054</v>
      </c>
      <c r="C535" s="2" t="inlineStr">
        <is>
          <t>MUS-036</t>
        </is>
      </c>
      <c r="D535" s="2" t="inlineStr">
        <is>
          <t>ST-005</t>
        </is>
      </c>
      <c r="E535" s="2" t="inlineStr">
        <is>
          <t>Siparise Donustu</t>
        </is>
      </c>
      <c r="F535" s="3" t="n">
        <v>36866.6</v>
      </c>
      <c r="G535" s="2" t="inlineStr">
        <is>
          <t>USD</t>
        </is>
      </c>
      <c r="H535" s="5" t="n">
        <v>1</v>
      </c>
      <c r="I535" s="2" t="n">
        <v>30</v>
      </c>
      <c r="J535" s="5" t="inlineStr">
        <is>
          <t>CFR</t>
        </is>
      </c>
      <c r="K535" s="6" t="n">
        <v>46065</v>
      </c>
      <c r="L535" s="2" t="inlineStr">
        <is>
          <t>Kazanildi</t>
        </is>
      </c>
      <c r="M535" s="2" t="inlineStr"/>
    </row>
    <row r="536">
      <c r="A536" s="2" t="inlineStr">
        <is>
          <t>TKL-0535</t>
        </is>
      </c>
      <c r="B536" s="6" t="n">
        <v>46066</v>
      </c>
      <c r="C536" s="2" t="inlineStr">
        <is>
          <t>MUS-053</t>
        </is>
      </c>
      <c r="D536" s="2" t="inlineStr">
        <is>
          <t>ST-001</t>
        </is>
      </c>
      <c r="E536" s="2" t="inlineStr">
        <is>
          <t>Kaybedildi</t>
        </is>
      </c>
      <c r="F536" s="3" t="n">
        <v>52876.08</v>
      </c>
      <c r="G536" s="2" t="inlineStr">
        <is>
          <t>EUR</t>
        </is>
      </c>
      <c r="H536" s="5" t="n">
        <v>1.0657</v>
      </c>
      <c r="I536" s="2" t="n">
        <v>30</v>
      </c>
      <c r="J536" s="5" t="inlineStr">
        <is>
          <t>DAP</t>
        </is>
      </c>
      <c r="K536" s="6" t="n">
        <v>46096</v>
      </c>
      <c r="L536" s="2" t="inlineStr">
        <is>
          <t>Kaybedildi</t>
        </is>
      </c>
      <c r="M536" s="2" t="inlineStr">
        <is>
          <t>Fiyat Yuksek</t>
        </is>
      </c>
    </row>
    <row r="537">
      <c r="A537" s="2" t="inlineStr">
        <is>
          <t>TKL-0536</t>
        </is>
      </c>
      <c r="B537" s="6" t="n">
        <v>46058</v>
      </c>
      <c r="C537" s="2" t="inlineStr">
        <is>
          <t>MUS-023</t>
        </is>
      </c>
      <c r="D537" s="2" t="inlineStr">
        <is>
          <t>ST-003</t>
        </is>
      </c>
      <c r="E537" s="2" t="inlineStr">
        <is>
          <t>Kaybedildi</t>
        </is>
      </c>
      <c r="F537" s="3" t="n">
        <v>13794.4</v>
      </c>
      <c r="G537" s="2" t="inlineStr">
        <is>
          <t>USD</t>
        </is>
      </c>
      <c r="H537" s="5" t="n">
        <v>1</v>
      </c>
      <c r="I537" s="2" t="n">
        <v>45</v>
      </c>
      <c r="J537" s="5" t="inlineStr">
        <is>
          <t>CIF</t>
        </is>
      </c>
      <c r="K537" s="6" t="n">
        <v>46081</v>
      </c>
      <c r="L537" s="2" t="inlineStr">
        <is>
          <t>Kaybedildi</t>
        </is>
      </c>
      <c r="M537" s="2" t="inlineStr">
        <is>
          <t>Fiyat Yuksek</t>
        </is>
      </c>
    </row>
    <row r="538">
      <c r="A538" s="2" t="inlineStr">
        <is>
          <t>TKL-0537</t>
        </is>
      </c>
      <c r="B538" s="6" t="n">
        <v>46057</v>
      </c>
      <c r="C538" s="2" t="inlineStr">
        <is>
          <t>MUS-047</t>
        </is>
      </c>
      <c r="D538" s="2" t="inlineStr">
        <is>
          <t>ST-005</t>
        </is>
      </c>
      <c r="E538" s="2" t="inlineStr">
        <is>
          <t>Siparise Donustu</t>
        </is>
      </c>
      <c r="F538" s="3" t="n">
        <v>29498.28</v>
      </c>
      <c r="G538" s="2" t="inlineStr">
        <is>
          <t>USD</t>
        </is>
      </c>
      <c r="H538" s="5" t="n">
        <v>1</v>
      </c>
      <c r="I538" s="2" t="n">
        <v>45</v>
      </c>
      <c r="J538" s="5" t="inlineStr">
        <is>
          <t>CFR</t>
        </is>
      </c>
      <c r="K538" s="6" t="n">
        <v>46066</v>
      </c>
      <c r="L538" s="2" t="inlineStr">
        <is>
          <t>Kazanildi</t>
        </is>
      </c>
      <c r="M538" s="2" t="inlineStr"/>
    </row>
    <row r="539">
      <c r="A539" s="2" t="inlineStr">
        <is>
          <t>TKL-0538</t>
        </is>
      </c>
      <c r="B539" s="6" t="n">
        <v>46058</v>
      </c>
      <c r="C539" s="2" t="inlineStr">
        <is>
          <t>MUS-025</t>
        </is>
      </c>
      <c r="D539" s="2" t="inlineStr">
        <is>
          <t>ST-001</t>
        </is>
      </c>
      <c r="E539" s="2" t="inlineStr">
        <is>
          <t>Kaybedildi</t>
        </is>
      </c>
      <c r="F539" s="3" t="n">
        <v>8349.209999999999</v>
      </c>
      <c r="G539" s="2" t="inlineStr">
        <is>
          <t>EUR</t>
        </is>
      </c>
      <c r="H539" s="5" t="n">
        <v>1.0657</v>
      </c>
      <c r="I539" s="2" t="n">
        <v>15</v>
      </c>
      <c r="J539" s="5" t="inlineStr">
        <is>
          <t>DAP</t>
        </is>
      </c>
      <c r="K539" s="6" t="n">
        <v>46070</v>
      </c>
      <c r="L539" s="2" t="inlineStr">
        <is>
          <t>Kaybedildi</t>
        </is>
      </c>
      <c r="M539" s="2" t="inlineStr">
        <is>
          <t>Rakipte Teknik Onay</t>
        </is>
      </c>
    </row>
    <row r="540">
      <c r="A540" s="2" t="inlineStr">
        <is>
          <t>TKL-0539</t>
        </is>
      </c>
      <c r="B540" s="6" t="n">
        <v>46071</v>
      </c>
      <c r="C540" s="2" t="inlineStr">
        <is>
          <t>MUS-039</t>
        </is>
      </c>
      <c r="D540" s="2" t="inlineStr">
        <is>
          <t>ST-003</t>
        </is>
      </c>
      <c r="E540" s="2" t="inlineStr">
        <is>
          <t>Siparise Donustu</t>
        </is>
      </c>
      <c r="F540" s="3" t="n">
        <v>67550.97</v>
      </c>
      <c r="G540" s="2" t="inlineStr">
        <is>
          <t>USD</t>
        </is>
      </c>
      <c r="H540" s="5" t="n">
        <v>1</v>
      </c>
      <c r="I540" s="2" t="n">
        <v>30</v>
      </c>
      <c r="J540" s="5" t="inlineStr">
        <is>
          <t>CIF</t>
        </is>
      </c>
      <c r="K540" s="6" t="n">
        <v>46081</v>
      </c>
      <c r="L540" s="2" t="inlineStr">
        <is>
          <t>Kazanildi</t>
        </is>
      </c>
      <c r="M540" s="2" t="inlineStr"/>
    </row>
    <row r="541">
      <c r="A541" s="2" t="inlineStr">
        <is>
          <t>TKL-0540</t>
        </is>
      </c>
      <c r="B541" s="6" t="n">
        <v>46075</v>
      </c>
      <c r="C541" s="2" t="inlineStr">
        <is>
          <t>MUS-056</t>
        </is>
      </c>
      <c r="D541" s="2" t="inlineStr">
        <is>
          <t>ST-002</t>
        </is>
      </c>
      <c r="E541" s="2" t="inlineStr">
        <is>
          <t>Kaybedildi</t>
        </is>
      </c>
      <c r="F541" s="3" t="n">
        <v>2110.3</v>
      </c>
      <c r="G541" s="2" t="inlineStr">
        <is>
          <t>EUR</t>
        </is>
      </c>
      <c r="H541" s="5" t="n">
        <v>1.0657</v>
      </c>
      <c r="I541" s="2" t="n">
        <v>30</v>
      </c>
      <c r="J541" s="5" t="inlineStr">
        <is>
          <t>DAP</t>
        </is>
      </c>
      <c r="K541" s="6" t="n">
        <v>46080</v>
      </c>
      <c r="L541" s="2" t="inlineStr">
        <is>
          <t>Kaybedildi</t>
        </is>
      </c>
      <c r="M541" s="2" t="inlineStr">
        <is>
          <t>Termin Uzun</t>
        </is>
      </c>
    </row>
    <row r="542">
      <c r="A542" s="2" t="inlineStr">
        <is>
          <t>TKL-0541</t>
        </is>
      </c>
      <c r="B542" s="6" t="n">
        <v>46088</v>
      </c>
      <c r="C542" s="2" t="inlineStr">
        <is>
          <t>MUS-081</t>
        </is>
      </c>
      <c r="D542" s="2" t="inlineStr">
        <is>
          <t>ST-004</t>
        </is>
      </c>
      <c r="E542" s="2" t="inlineStr">
        <is>
          <t>Siparise Donustu</t>
        </is>
      </c>
      <c r="F542" s="3" t="n">
        <v>35992.14</v>
      </c>
      <c r="G542" s="2" t="inlineStr">
        <is>
          <t>USD</t>
        </is>
      </c>
      <c r="H542" s="5" t="n">
        <v>1</v>
      </c>
      <c r="I542" s="2" t="n">
        <v>30</v>
      </c>
      <c r="J542" s="5" t="inlineStr">
        <is>
          <t>CIF</t>
        </is>
      </c>
      <c r="K542" s="6" t="n">
        <v>46114</v>
      </c>
      <c r="L542" s="2" t="inlineStr">
        <is>
          <t>Kazanildi</t>
        </is>
      </c>
      <c r="M542" s="2" t="inlineStr"/>
    </row>
    <row r="543">
      <c r="A543" s="2" t="inlineStr">
        <is>
          <t>TKL-0542</t>
        </is>
      </c>
      <c r="B543" s="6" t="n">
        <v>46112</v>
      </c>
      <c r="C543" s="2" t="inlineStr">
        <is>
          <t>MUS-033</t>
        </is>
      </c>
      <c r="D543" s="2" t="inlineStr">
        <is>
          <t>ST-006</t>
        </is>
      </c>
      <c r="E543" s="2" t="inlineStr">
        <is>
          <t>Siparise Donustu</t>
        </is>
      </c>
      <c r="F543" s="3" t="n">
        <v>63566.89</v>
      </c>
      <c r="G543" s="2" t="inlineStr">
        <is>
          <t>USD</t>
        </is>
      </c>
      <c r="H543" s="5" t="n">
        <v>1</v>
      </c>
      <c r="I543" s="2" t="n">
        <v>30</v>
      </c>
      <c r="J543" s="5" t="inlineStr">
        <is>
          <t>CFR</t>
        </is>
      </c>
      <c r="K543" s="6" t="n">
        <v>46124</v>
      </c>
      <c r="L543" s="2" t="inlineStr">
        <is>
          <t>Kazanildi</t>
        </is>
      </c>
      <c r="M543" s="2" t="inlineStr"/>
    </row>
    <row r="544">
      <c r="A544" s="2" t="inlineStr">
        <is>
          <t>TKL-0543</t>
        </is>
      </c>
      <c r="B544" s="6" t="n">
        <v>46082</v>
      </c>
      <c r="C544" s="2" t="inlineStr">
        <is>
          <t>MUS-035</t>
        </is>
      </c>
      <c r="D544" s="2" t="inlineStr">
        <is>
          <t>ST-001</t>
        </is>
      </c>
      <c r="E544" s="2" t="inlineStr">
        <is>
          <t>Kaybedildi</t>
        </is>
      </c>
      <c r="F544" s="3" t="n">
        <v>78085.14999999999</v>
      </c>
      <c r="G544" s="2" t="inlineStr">
        <is>
          <t>EUR</t>
        </is>
      </c>
      <c r="H544" s="5" t="n">
        <v>1.0656</v>
      </c>
      <c r="I544" s="2" t="n">
        <v>15</v>
      </c>
      <c r="J544" s="5" t="inlineStr">
        <is>
          <t>FCA</t>
        </is>
      </c>
      <c r="K544" s="6" t="n">
        <v>46093</v>
      </c>
      <c r="L544" s="2" t="inlineStr">
        <is>
          <t>Kaybedildi</t>
        </is>
      </c>
      <c r="M544" s="2" t="inlineStr">
        <is>
          <t>Fiyat Yuksek</t>
        </is>
      </c>
    </row>
    <row r="545">
      <c r="A545" s="2" t="inlineStr">
        <is>
          <t>TKL-0544</t>
        </is>
      </c>
      <c r="B545" s="6" t="n">
        <v>46095</v>
      </c>
      <c r="C545" s="2" t="inlineStr">
        <is>
          <t>MUS-078</t>
        </is>
      </c>
      <c r="D545" s="2" t="inlineStr">
        <is>
          <t>ST-001</t>
        </is>
      </c>
      <c r="E545" s="2" t="inlineStr">
        <is>
          <t>Siparise Donustu</t>
        </is>
      </c>
      <c r="F545" s="3" t="n">
        <v>19323.52</v>
      </c>
      <c r="G545" s="2" t="inlineStr">
        <is>
          <t>EUR</t>
        </is>
      </c>
      <c r="H545" s="5" t="n">
        <v>1.0656</v>
      </c>
      <c r="I545" s="2" t="n">
        <v>20</v>
      </c>
      <c r="J545" s="5" t="inlineStr">
        <is>
          <t>DAP</t>
        </is>
      </c>
      <c r="K545" s="6" t="n">
        <v>46112</v>
      </c>
      <c r="L545" s="2" t="inlineStr">
        <is>
          <t>Kazanildi</t>
        </is>
      </c>
      <c r="M545" s="2" t="inlineStr"/>
    </row>
    <row r="546">
      <c r="A546" s="2" t="inlineStr">
        <is>
          <t>TKL-0545</t>
        </is>
      </c>
      <c r="B546" s="6" t="n">
        <v>46102</v>
      </c>
      <c r="C546" s="2" t="inlineStr">
        <is>
          <t>MUS-059</t>
        </is>
      </c>
      <c r="D546" s="2" t="inlineStr">
        <is>
          <t>ST-003</t>
        </is>
      </c>
      <c r="E546" s="2" t="inlineStr">
        <is>
          <t>Kaybedildi</t>
        </is>
      </c>
      <c r="F546" s="3" t="n">
        <v>16630.42</v>
      </c>
      <c r="G546" s="2" t="inlineStr">
        <is>
          <t>USD</t>
        </is>
      </c>
      <c r="H546" s="5" t="n">
        <v>1</v>
      </c>
      <c r="I546" s="2" t="n">
        <v>45</v>
      </c>
      <c r="J546" s="5" t="inlineStr">
        <is>
          <t>CIF</t>
        </is>
      </c>
      <c r="K546" s="6" t="n">
        <v>46134</v>
      </c>
      <c r="L546" s="2" t="inlineStr">
        <is>
          <t>Kaybedildi</t>
        </is>
      </c>
      <c r="M546" s="2" t="inlineStr">
        <is>
          <t>Fiyat Yuksek</t>
        </is>
      </c>
    </row>
    <row r="547">
      <c r="A547" s="2" t="inlineStr">
        <is>
          <t>TKL-0546</t>
        </is>
      </c>
      <c r="B547" s="6" t="n">
        <v>46083</v>
      </c>
      <c r="C547" s="2" t="inlineStr">
        <is>
          <t>MUS-068</t>
        </is>
      </c>
      <c r="D547" s="2" t="inlineStr">
        <is>
          <t>ST-001</t>
        </is>
      </c>
      <c r="E547" s="2" t="inlineStr">
        <is>
          <t>Beklemede</t>
        </is>
      </c>
      <c r="F547" s="3" t="n">
        <v>12708.4</v>
      </c>
      <c r="G547" s="2" t="inlineStr">
        <is>
          <t>EUR</t>
        </is>
      </c>
      <c r="H547" s="5" t="n">
        <v>1.0656</v>
      </c>
      <c r="I547" s="2" t="n">
        <v>45</v>
      </c>
      <c r="J547" s="5" t="inlineStr">
        <is>
          <t>DAP</t>
        </is>
      </c>
      <c r="K547" s="6" t="n">
        <v>46128</v>
      </c>
      <c r="L547" s="2" t="inlineStr">
        <is>
          <t>Acik</t>
        </is>
      </c>
      <c r="M547" s="2" t="inlineStr"/>
    </row>
    <row r="548">
      <c r="A548" s="2" t="inlineStr">
        <is>
          <t>TKL-0547</t>
        </is>
      </c>
      <c r="B548" s="6" t="n">
        <v>46107</v>
      </c>
      <c r="C548" s="2" t="inlineStr">
        <is>
          <t>MUS-078</t>
        </is>
      </c>
      <c r="D548" s="2" t="inlineStr">
        <is>
          <t>ST-002</t>
        </is>
      </c>
      <c r="E548" s="2" t="inlineStr">
        <is>
          <t>Siparise Donustu</t>
        </is>
      </c>
      <c r="F548" s="3" t="n">
        <v>4795.07</v>
      </c>
      <c r="G548" s="2" t="inlineStr">
        <is>
          <t>EUR</t>
        </is>
      </c>
      <c r="H548" s="5" t="n">
        <v>1.0656</v>
      </c>
      <c r="I548" s="2" t="n">
        <v>15</v>
      </c>
      <c r="J548" s="5" t="inlineStr">
        <is>
          <t>DAP</t>
        </is>
      </c>
      <c r="K548" s="6" t="n">
        <v>46112</v>
      </c>
      <c r="L548" s="2" t="inlineStr">
        <is>
          <t>Kazanildi</t>
        </is>
      </c>
      <c r="M548" s="2" t="inlineStr"/>
    </row>
    <row r="549">
      <c r="A549" s="2" t="inlineStr">
        <is>
          <t>TKL-0548</t>
        </is>
      </c>
      <c r="B549" s="6" t="n">
        <v>46096</v>
      </c>
      <c r="C549" s="2" t="inlineStr">
        <is>
          <t>MUS-019</t>
        </is>
      </c>
      <c r="D549" s="2" t="inlineStr">
        <is>
          <t>ST-004</t>
        </is>
      </c>
      <c r="E549" s="2" t="inlineStr">
        <is>
          <t>Siparise Donustu</t>
        </is>
      </c>
      <c r="F549" s="3" t="n">
        <v>41658.72</v>
      </c>
      <c r="G549" s="2" t="inlineStr">
        <is>
          <t>USD</t>
        </is>
      </c>
      <c r="H549" s="5" t="n">
        <v>1</v>
      </c>
      <c r="I549" s="2" t="n">
        <v>30</v>
      </c>
      <c r="J549" s="5" t="inlineStr">
        <is>
          <t>CIF</t>
        </is>
      </c>
      <c r="K549" s="6" t="n">
        <v>46101</v>
      </c>
      <c r="L549" s="2" t="inlineStr">
        <is>
          <t>Kazanildi</t>
        </is>
      </c>
      <c r="M549" s="2" t="inlineStr"/>
    </row>
    <row r="550">
      <c r="A550" s="2" t="inlineStr">
        <is>
          <t>TKL-0549</t>
        </is>
      </c>
      <c r="B550" s="6" t="n">
        <v>46096</v>
      </c>
      <c r="C550" s="2" t="inlineStr">
        <is>
          <t>MUS-042</t>
        </is>
      </c>
      <c r="D550" s="2" t="inlineStr">
        <is>
          <t>ST-006</t>
        </is>
      </c>
      <c r="E550" s="2" t="inlineStr">
        <is>
          <t>Beklemede</t>
        </is>
      </c>
      <c r="F550" s="3" t="n">
        <v>68120.84</v>
      </c>
      <c r="G550" s="2" t="inlineStr">
        <is>
          <t>USD</t>
        </is>
      </c>
      <c r="H550" s="5" t="n">
        <v>1</v>
      </c>
      <c r="I550" s="2" t="n">
        <v>15</v>
      </c>
      <c r="J550" s="5" t="inlineStr">
        <is>
          <t>CFR</t>
        </is>
      </c>
      <c r="K550" s="6" t="n">
        <v>46106</v>
      </c>
      <c r="L550" s="2" t="inlineStr">
        <is>
          <t>Acik</t>
        </is>
      </c>
      <c r="M550" s="2" t="inlineStr"/>
    </row>
    <row r="551">
      <c r="A551" s="2" t="inlineStr">
        <is>
          <t>TKL-0550</t>
        </is>
      </c>
      <c r="B551" s="6" t="n">
        <v>46095</v>
      </c>
      <c r="C551" s="2" t="inlineStr">
        <is>
          <t>MUS-059</t>
        </is>
      </c>
      <c r="D551" s="2" t="inlineStr">
        <is>
          <t>ST-003</t>
        </is>
      </c>
      <c r="E551" s="2" t="inlineStr">
        <is>
          <t>Beklemede</t>
        </is>
      </c>
      <c r="F551" s="3" t="n">
        <v>16621.7</v>
      </c>
      <c r="G551" s="2" t="inlineStr">
        <is>
          <t>USD</t>
        </is>
      </c>
      <c r="H551" s="5" t="n">
        <v>1</v>
      </c>
      <c r="I551" s="2" t="n">
        <v>45</v>
      </c>
      <c r="J551" s="5" t="inlineStr">
        <is>
          <t>CIF</t>
        </is>
      </c>
      <c r="K551" s="6" t="n">
        <v>46105</v>
      </c>
      <c r="L551" s="2" t="inlineStr">
        <is>
          <t>Acik</t>
        </is>
      </c>
      <c r="M551" s="2" t="inlineStr"/>
    </row>
    <row r="552">
      <c r="A552" s="2" t="inlineStr">
        <is>
          <t>TKL-0551</t>
        </is>
      </c>
      <c r="B552" s="6" t="n">
        <v>46099</v>
      </c>
      <c r="C552" s="2" t="inlineStr">
        <is>
          <t>MUS-031</t>
        </is>
      </c>
      <c r="D552" s="2" t="inlineStr">
        <is>
          <t>ST-002</t>
        </is>
      </c>
      <c r="E552" s="2" t="inlineStr">
        <is>
          <t>Siparise Donustu</t>
        </is>
      </c>
      <c r="F552" s="3" t="n">
        <v>15777.3</v>
      </c>
      <c r="G552" s="2" t="inlineStr">
        <is>
          <t>EUR</t>
        </is>
      </c>
      <c r="H552" s="5" t="n">
        <v>1.0656</v>
      </c>
      <c r="I552" s="2" t="n">
        <v>30</v>
      </c>
      <c r="J552" s="5" t="inlineStr">
        <is>
          <t>DAP</t>
        </is>
      </c>
      <c r="K552" s="6" t="n">
        <v>46110</v>
      </c>
      <c r="L552" s="2" t="inlineStr">
        <is>
          <t>Kazanildi</t>
        </is>
      </c>
      <c r="M552" s="2" t="inlineStr"/>
    </row>
    <row r="553">
      <c r="A553" s="2" t="inlineStr">
        <is>
          <t>TKL-0552</t>
        </is>
      </c>
      <c r="B553" s="6" t="n">
        <v>46101</v>
      </c>
      <c r="C553" s="2" t="inlineStr">
        <is>
          <t>MUS-034</t>
        </is>
      </c>
      <c r="D553" s="2" t="inlineStr">
        <is>
          <t>ST-002</t>
        </is>
      </c>
      <c r="E553" s="2" t="inlineStr">
        <is>
          <t>Siparise Donustu</t>
        </is>
      </c>
      <c r="F553" s="3" t="n">
        <v>9397.540000000001</v>
      </c>
      <c r="G553" s="2" t="inlineStr">
        <is>
          <t>EUR</t>
        </is>
      </c>
      <c r="H553" s="5" t="n">
        <v>1.0656</v>
      </c>
      <c r="I553" s="2" t="n">
        <v>15</v>
      </c>
      <c r="J553" s="5" t="inlineStr">
        <is>
          <t>DAP</t>
        </is>
      </c>
      <c r="K553" s="6" t="n">
        <v>46112</v>
      </c>
      <c r="L553" s="2" t="inlineStr">
        <is>
          <t>Kazanildi</t>
        </is>
      </c>
      <c r="M553" s="2" t="inlineStr"/>
    </row>
    <row r="554">
      <c r="A554" s="2" t="inlineStr">
        <is>
          <t>TKL-0553</t>
        </is>
      </c>
      <c r="B554" s="6" t="n">
        <v>46104</v>
      </c>
      <c r="C554" s="2" t="inlineStr">
        <is>
          <t>MUS-069</t>
        </is>
      </c>
      <c r="D554" s="2" t="inlineStr">
        <is>
          <t>ST-002</t>
        </is>
      </c>
      <c r="E554" s="2" t="inlineStr">
        <is>
          <t>Kaybedildi</t>
        </is>
      </c>
      <c r="F554" s="3" t="n">
        <v>20452.59</v>
      </c>
      <c r="G554" s="2" t="inlineStr">
        <is>
          <t>EUR</t>
        </is>
      </c>
      <c r="H554" s="5" t="n">
        <v>1.0656</v>
      </c>
      <c r="I554" s="2" t="n">
        <v>30</v>
      </c>
      <c r="J554" s="5" t="inlineStr">
        <is>
          <t>FCA</t>
        </is>
      </c>
      <c r="K554" s="6" t="n">
        <v>46114</v>
      </c>
      <c r="L554" s="2" t="inlineStr">
        <is>
          <t>Kaybedildi</t>
        </is>
      </c>
      <c r="M554" s="2" t="inlineStr">
        <is>
          <t>Fiyat Yuksek</t>
        </is>
      </c>
    </row>
    <row r="555">
      <c r="A555" s="2" t="inlineStr">
        <is>
          <t>TKL-0554</t>
        </is>
      </c>
      <c r="B555" s="6" t="n">
        <v>46111</v>
      </c>
      <c r="C555" s="2" t="inlineStr">
        <is>
          <t>MUS-008</t>
        </is>
      </c>
      <c r="D555" s="2" t="inlineStr">
        <is>
          <t>ST-007</t>
        </is>
      </c>
      <c r="E555" s="2" t="inlineStr">
        <is>
          <t>Siparise Donustu</t>
        </is>
      </c>
      <c r="F555" s="3" t="n">
        <v>30554.41</v>
      </c>
      <c r="G555" s="2" t="inlineStr">
        <is>
          <t>USD</t>
        </is>
      </c>
      <c r="H555" s="5" t="n">
        <v>1</v>
      </c>
      <c r="I555" s="2" t="n">
        <v>45</v>
      </c>
      <c r="J555" s="5" t="inlineStr">
        <is>
          <t>FCA</t>
        </is>
      </c>
      <c r="K555" s="6" t="n">
        <v>46142</v>
      </c>
      <c r="L555" s="2" t="inlineStr">
        <is>
          <t>Kazanildi</t>
        </is>
      </c>
      <c r="M555" s="2" t="inlineStr"/>
    </row>
    <row r="556">
      <c r="A556" s="2" t="inlineStr">
        <is>
          <t>TKL-0555</t>
        </is>
      </c>
      <c r="B556" s="6" t="n">
        <v>46083</v>
      </c>
      <c r="C556" s="2" t="inlineStr">
        <is>
          <t>MUS-033</t>
        </is>
      </c>
      <c r="D556" s="2" t="inlineStr">
        <is>
          <t>ST-005</t>
        </is>
      </c>
      <c r="E556" s="2" t="inlineStr">
        <is>
          <t>Siparise Donustu</t>
        </is>
      </c>
      <c r="F556" s="3" t="n">
        <v>31602.7</v>
      </c>
      <c r="G556" s="2" t="inlineStr">
        <is>
          <t>USD</t>
        </is>
      </c>
      <c r="H556" s="5" t="n">
        <v>1</v>
      </c>
      <c r="I556" s="2" t="n">
        <v>15</v>
      </c>
      <c r="J556" s="5" t="inlineStr">
        <is>
          <t>CFR</t>
        </is>
      </c>
      <c r="K556" s="6" t="n">
        <v>46091</v>
      </c>
      <c r="L556" s="2" t="inlineStr">
        <is>
          <t>Kazanildi</t>
        </is>
      </c>
      <c r="M556" s="2" t="inlineStr"/>
    </row>
    <row r="557">
      <c r="A557" s="2" t="inlineStr">
        <is>
          <t>TKL-0556</t>
        </is>
      </c>
      <c r="B557" s="6" t="n">
        <v>46103</v>
      </c>
      <c r="C557" s="2" t="inlineStr">
        <is>
          <t>MUS-061</t>
        </is>
      </c>
      <c r="D557" s="2" t="inlineStr">
        <is>
          <t>ST-007</t>
        </is>
      </c>
      <c r="E557" s="2" t="inlineStr">
        <is>
          <t>Kaybedildi</t>
        </is>
      </c>
      <c r="F557" s="3" t="n">
        <v>16803.62</v>
      </c>
      <c r="G557" s="2" t="inlineStr">
        <is>
          <t>USD</t>
        </is>
      </c>
      <c r="H557" s="5" t="n">
        <v>1</v>
      </c>
      <c r="I557" s="2" t="n">
        <v>15</v>
      </c>
      <c r="J557" s="5" t="inlineStr">
        <is>
          <t>FCA</t>
        </is>
      </c>
      <c r="K557" s="6" t="n">
        <v>46117</v>
      </c>
      <c r="L557" s="2" t="inlineStr">
        <is>
          <t>Kaybedildi</t>
        </is>
      </c>
      <c r="M557" s="2" t="inlineStr">
        <is>
          <t>Rakipte Teknik Onay</t>
        </is>
      </c>
    </row>
    <row r="558">
      <c r="A558" s="2" t="inlineStr">
        <is>
          <t>TKL-0557</t>
        </is>
      </c>
      <c r="B558" s="6" t="n">
        <v>46110</v>
      </c>
      <c r="C558" s="2" t="inlineStr">
        <is>
          <t>MUS-024</t>
        </is>
      </c>
      <c r="D558" s="2" t="inlineStr">
        <is>
          <t>ST-003</t>
        </is>
      </c>
      <c r="E558" s="2" t="inlineStr">
        <is>
          <t>Siparise Donustu</t>
        </is>
      </c>
      <c r="F558" s="3" t="n">
        <v>18360.64</v>
      </c>
      <c r="G558" s="2" t="inlineStr">
        <is>
          <t>USD</t>
        </is>
      </c>
      <c r="H558" s="5" t="n">
        <v>1</v>
      </c>
      <c r="I558" s="2" t="n">
        <v>15</v>
      </c>
      <c r="J558" s="5" t="inlineStr">
        <is>
          <t>CIF</t>
        </is>
      </c>
      <c r="K558" s="6" t="n">
        <v>46119</v>
      </c>
      <c r="L558" s="2" t="inlineStr">
        <is>
          <t>Kazanildi</t>
        </is>
      </c>
      <c r="M558" s="2" t="inlineStr"/>
    </row>
    <row r="559">
      <c r="A559" s="2" t="inlineStr">
        <is>
          <t>TKL-0558</t>
        </is>
      </c>
      <c r="B559" s="6" t="n">
        <v>46112</v>
      </c>
      <c r="C559" s="2" t="inlineStr">
        <is>
          <t>MUS-061</t>
        </is>
      </c>
      <c r="D559" s="2" t="inlineStr">
        <is>
          <t>ST-007</t>
        </is>
      </c>
      <c r="E559" s="2" t="inlineStr">
        <is>
          <t>Kaybedildi</t>
        </is>
      </c>
      <c r="F559" s="3" t="n">
        <v>37149.96</v>
      </c>
      <c r="G559" s="2" t="inlineStr">
        <is>
          <t>USD</t>
        </is>
      </c>
      <c r="H559" s="5" t="n">
        <v>1</v>
      </c>
      <c r="I559" s="2" t="n">
        <v>30</v>
      </c>
      <c r="J559" s="5" t="inlineStr">
        <is>
          <t>FCA</t>
        </is>
      </c>
      <c r="K559" s="6" t="n">
        <v>46140</v>
      </c>
      <c r="L559" s="2" t="inlineStr">
        <is>
          <t>Kaybedildi</t>
        </is>
      </c>
      <c r="M559" s="2" t="inlineStr">
        <is>
          <t>Fiyat Yuksek</t>
        </is>
      </c>
    </row>
    <row r="560">
      <c r="A560" s="2" t="inlineStr">
        <is>
          <t>TKL-0559</t>
        </is>
      </c>
      <c r="B560" s="6" t="n">
        <v>46101</v>
      </c>
      <c r="C560" s="2" t="inlineStr">
        <is>
          <t>MUS-058</t>
        </is>
      </c>
      <c r="D560" s="2" t="inlineStr">
        <is>
          <t>ST-001</t>
        </is>
      </c>
      <c r="E560" s="2" t="inlineStr">
        <is>
          <t>Siparise Donustu</t>
        </is>
      </c>
      <c r="F560" s="3" t="n">
        <v>27761.62</v>
      </c>
      <c r="G560" s="2" t="inlineStr">
        <is>
          <t>EUR</t>
        </is>
      </c>
      <c r="H560" s="5" t="n">
        <v>1.0656</v>
      </c>
      <c r="I560" s="2" t="n">
        <v>15</v>
      </c>
      <c r="J560" s="5" t="inlineStr">
        <is>
          <t>DAP</t>
        </is>
      </c>
      <c r="K560" s="6" t="n">
        <v>46110</v>
      </c>
      <c r="L560" s="2" t="inlineStr">
        <is>
          <t>Kazanildi</t>
        </is>
      </c>
      <c r="M560" s="2" t="inlineStr"/>
    </row>
    <row r="561">
      <c r="A561" s="2" t="inlineStr">
        <is>
          <t>TKL-0560</t>
        </is>
      </c>
      <c r="B561" s="6" t="n">
        <v>46110</v>
      </c>
      <c r="C561" s="2" t="inlineStr">
        <is>
          <t>MUS-049</t>
        </is>
      </c>
      <c r="D561" s="2" t="inlineStr">
        <is>
          <t>ST-003</t>
        </is>
      </c>
      <c r="E561" s="2" t="inlineStr">
        <is>
          <t>Kaybedildi</t>
        </is>
      </c>
      <c r="F561" s="3" t="n">
        <v>14505.11</v>
      </c>
      <c r="G561" s="2" t="inlineStr">
        <is>
          <t>USD</t>
        </is>
      </c>
      <c r="H561" s="5" t="n">
        <v>1</v>
      </c>
      <c r="I561" s="2" t="n">
        <v>30</v>
      </c>
      <c r="J561" s="5" t="inlineStr">
        <is>
          <t>CIF</t>
        </is>
      </c>
      <c r="K561" s="6" t="n">
        <v>46135</v>
      </c>
      <c r="L561" s="2" t="inlineStr">
        <is>
          <t>Kaybedildi</t>
        </is>
      </c>
      <c r="M561" s="2" t="inlineStr">
        <is>
          <t>Termin Uzun</t>
        </is>
      </c>
    </row>
    <row r="562">
      <c r="A562" s="2" t="inlineStr">
        <is>
          <t>TKL-0561</t>
        </is>
      </c>
      <c r="B562" s="6" t="n">
        <v>46104</v>
      </c>
      <c r="C562" s="2" t="inlineStr">
        <is>
          <t>MUS-034</t>
        </is>
      </c>
      <c r="D562" s="2" t="inlineStr">
        <is>
          <t>ST-002</t>
        </is>
      </c>
      <c r="E562" s="2" t="inlineStr">
        <is>
          <t>Kaybedildi</t>
        </is>
      </c>
      <c r="F562" s="3" t="n">
        <v>4528.37</v>
      </c>
      <c r="G562" s="2" t="inlineStr">
        <is>
          <t>EUR</t>
        </is>
      </c>
      <c r="H562" s="5" t="n">
        <v>1.0656</v>
      </c>
      <c r="I562" s="2" t="n">
        <v>20</v>
      </c>
      <c r="J562" s="5" t="inlineStr">
        <is>
          <t>DAP</t>
        </is>
      </c>
      <c r="K562" s="6" t="n">
        <v>46123</v>
      </c>
      <c r="L562" s="2" t="inlineStr">
        <is>
          <t>Kaybedildi</t>
        </is>
      </c>
      <c r="M562" s="2" t="inlineStr">
        <is>
          <t>Termin Uzun</t>
        </is>
      </c>
    </row>
    <row r="563">
      <c r="A563" s="2" t="inlineStr">
        <is>
          <t>TKL-0562</t>
        </is>
      </c>
      <c r="B563" s="6" t="n">
        <v>46105</v>
      </c>
      <c r="C563" s="2" t="inlineStr">
        <is>
          <t>MUS-005</t>
        </is>
      </c>
      <c r="D563" s="2" t="inlineStr">
        <is>
          <t>ST-001</t>
        </is>
      </c>
      <c r="E563" s="2" t="inlineStr">
        <is>
          <t>Kaybedildi</t>
        </is>
      </c>
      <c r="F563" s="3" t="n">
        <v>14898.23</v>
      </c>
      <c r="G563" s="2" t="inlineStr">
        <is>
          <t>EUR</t>
        </is>
      </c>
      <c r="H563" s="5" t="n">
        <v>1.0656</v>
      </c>
      <c r="I563" s="2" t="n">
        <v>30</v>
      </c>
      <c r="J563" s="5" t="inlineStr">
        <is>
          <t>DAP</t>
        </is>
      </c>
      <c r="K563" s="6" t="n">
        <v>46120</v>
      </c>
      <c r="L563" s="2" t="inlineStr">
        <is>
          <t>Kaybedildi</t>
        </is>
      </c>
      <c r="M563" s="2" t="inlineStr">
        <is>
          <t>Fiyat Yuksek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2" customWidth="1" min="4" max="4"/>
    <col width="15" customWidth="1" min="5" max="5"/>
    <col width="16" customWidth="1" min="6" max="6"/>
    <col width="13" customWidth="1" min="7" max="7"/>
    <col width="12" customWidth="1" min="8" max="8"/>
    <col width="18" customWidth="1" min="9" max="9"/>
    <col width="12" customWidth="1" min="10" max="10"/>
    <col width="14" customWidth="1" min="11" max="11"/>
    <col width="23" customWidth="1" min="12" max="12"/>
    <col width="25" customWidth="1" min="13" max="13"/>
    <col width="22" customWidth="1" min="14" max="14"/>
    <col width="18" customWidth="1" min="15" max="15"/>
  </cols>
  <sheetData>
    <row r="1">
      <c r="A1" s="1" t="inlineStr">
        <is>
          <t>Siparis_No</t>
        </is>
      </c>
      <c r="B1" s="1" t="inlineStr">
        <is>
          <t>Siparis_Tarihi</t>
        </is>
      </c>
      <c r="C1" s="1" t="inlineStr">
        <is>
          <t>Musteri_Kodu</t>
        </is>
      </c>
      <c r="D1" s="1" t="inlineStr">
        <is>
          <t>Teklif_No</t>
        </is>
      </c>
      <c r="E1" s="1" t="inlineStr">
        <is>
          <t>Temsilci_Kodu</t>
        </is>
      </c>
      <c r="F1" s="1" t="inlineStr">
        <is>
          <t>Siparis_Durumu</t>
        </is>
      </c>
      <c r="G1" s="1" t="inlineStr">
        <is>
          <t>Para_Birimi</t>
        </is>
      </c>
      <c r="H1" s="1" t="inlineStr">
        <is>
          <t>Kur</t>
        </is>
      </c>
      <c r="I1" s="1" t="inlineStr">
        <is>
          <t>Toplam_Tutar_USD</t>
        </is>
      </c>
      <c r="J1" s="1" t="inlineStr">
        <is>
          <t>Incoterm</t>
        </is>
      </c>
      <c r="K1" s="1" t="inlineStr">
        <is>
          <t>Teslim_Sekli</t>
        </is>
      </c>
      <c r="L1" s="1" t="inlineStr">
        <is>
          <t>Planlanan_Sevk_Tarihi</t>
        </is>
      </c>
      <c r="M1" s="1" t="inlineStr">
        <is>
          <t>Gerceklesen_Sevk_Tarihi</t>
        </is>
      </c>
      <c r="N1" s="1" t="inlineStr">
        <is>
          <t>Teslimat_Gecikme_Gun</t>
        </is>
      </c>
      <c r="O1" s="1" t="inlineStr">
        <is>
          <t>Siparis_Onceligi</t>
        </is>
      </c>
    </row>
    <row r="2">
      <c r="A2" s="2" t="inlineStr">
        <is>
          <t>SIP-0001</t>
        </is>
      </c>
      <c r="B2" s="6" t="n">
        <v>45413</v>
      </c>
      <c r="C2" s="2" t="inlineStr">
        <is>
          <t>MUS-062</t>
        </is>
      </c>
      <c r="D2" s="2" t="inlineStr">
        <is>
          <t>TKL-0001</t>
        </is>
      </c>
      <c r="E2" s="2" t="inlineStr">
        <is>
          <t>ST-008</t>
        </is>
      </c>
      <c r="F2" s="2" t="inlineStr">
        <is>
          <t>Sevk Edildi</t>
        </is>
      </c>
      <c r="G2" s="2" t="inlineStr">
        <is>
          <t>USD</t>
        </is>
      </c>
      <c r="H2" s="5" t="n">
        <v>1</v>
      </c>
      <c r="I2" s="3" t="n">
        <v>59386.89</v>
      </c>
      <c r="J2" s="2" t="inlineStr">
        <is>
          <t>FCA</t>
        </is>
      </c>
      <c r="K2" s="2" t="inlineStr">
        <is>
          <t>Karayolu</t>
        </is>
      </c>
      <c r="L2" s="6" t="n">
        <v>45452</v>
      </c>
      <c r="M2" s="6" t="n">
        <v>45464</v>
      </c>
      <c r="N2" s="5" t="n">
        <v>12</v>
      </c>
      <c r="O2" s="2" t="inlineStr">
        <is>
          <t>Yuksek</t>
        </is>
      </c>
    </row>
    <row r="3">
      <c r="A3" s="2" t="inlineStr">
        <is>
          <t>SIP-0002</t>
        </is>
      </c>
      <c r="B3" s="6" t="n">
        <v>45441</v>
      </c>
      <c r="C3" s="2" t="inlineStr">
        <is>
          <t>MUS-006</t>
        </is>
      </c>
      <c r="D3" s="2" t="inlineStr">
        <is>
          <t>TKL-0002</t>
        </is>
      </c>
      <c r="E3" s="2" t="inlineStr">
        <is>
          <t>ST-007</t>
        </is>
      </c>
      <c r="F3" s="2" t="inlineStr">
        <is>
          <t>Tamamlandi</t>
        </is>
      </c>
      <c r="G3" s="2" t="inlineStr">
        <is>
          <t>USD</t>
        </is>
      </c>
      <c r="H3" s="5" t="n">
        <v>1</v>
      </c>
      <c r="I3" s="3" t="n">
        <v>43911.84</v>
      </c>
      <c r="J3" s="2" t="inlineStr">
        <is>
          <t>FCA</t>
        </is>
      </c>
      <c r="K3" s="2" t="inlineStr">
        <is>
          <t>Karayolu</t>
        </is>
      </c>
      <c r="L3" s="6" t="n">
        <v>45495</v>
      </c>
      <c r="M3" s="6" t="n">
        <v>45495</v>
      </c>
      <c r="N3" s="5" t="n">
        <v>0</v>
      </c>
      <c r="O3" s="2" t="inlineStr">
        <is>
          <t>Kritik</t>
        </is>
      </c>
    </row>
    <row r="4">
      <c r="A4" s="2" t="inlineStr">
        <is>
          <t>SIP-0003</t>
        </is>
      </c>
      <c r="B4" s="6" t="n">
        <v>45418</v>
      </c>
      <c r="C4" s="2" t="inlineStr">
        <is>
          <t>MUS-065</t>
        </is>
      </c>
      <c r="D4" s="2" t="inlineStr">
        <is>
          <t>TKL-0005</t>
        </is>
      </c>
      <c r="E4" s="2" t="inlineStr">
        <is>
          <t>ST-006</t>
        </is>
      </c>
      <c r="F4" s="2" t="inlineStr">
        <is>
          <t>Tamamlandi</t>
        </is>
      </c>
      <c r="G4" s="2" t="inlineStr">
        <is>
          <t>USD</t>
        </is>
      </c>
      <c r="H4" s="5" t="n">
        <v>1</v>
      </c>
      <c r="I4" s="3" t="n">
        <v>72655.17</v>
      </c>
      <c r="J4" s="2" t="inlineStr">
        <is>
          <t>CFR</t>
        </is>
      </c>
      <c r="K4" s="2" t="inlineStr">
        <is>
          <t>Denizyolu</t>
        </is>
      </c>
      <c r="L4" s="6" t="n">
        <v>45494</v>
      </c>
      <c r="M4" s="6" t="n">
        <v>45502</v>
      </c>
      <c r="N4" s="5" t="n">
        <v>8</v>
      </c>
      <c r="O4" s="2" t="inlineStr">
        <is>
          <t>Yuksek</t>
        </is>
      </c>
    </row>
    <row r="5">
      <c r="A5" s="2" t="inlineStr">
        <is>
          <t>SIP-0004</t>
        </is>
      </c>
      <c r="B5" s="6" t="n">
        <v>45410</v>
      </c>
      <c r="C5" s="2" t="inlineStr">
        <is>
          <t>MUS-036</t>
        </is>
      </c>
      <c r="D5" s="2" t="inlineStr">
        <is>
          <t>TKL-0006</t>
        </is>
      </c>
      <c r="E5" s="2" t="inlineStr">
        <is>
          <t>ST-005</t>
        </is>
      </c>
      <c r="F5" s="2" t="inlineStr">
        <is>
          <t>Tamamlandi</t>
        </is>
      </c>
      <c r="G5" s="2" t="inlineStr">
        <is>
          <t>USD</t>
        </is>
      </c>
      <c r="H5" s="5" t="n">
        <v>1</v>
      </c>
      <c r="I5" s="3" t="n">
        <v>21890.57</v>
      </c>
      <c r="J5" s="2" t="inlineStr">
        <is>
          <t>CFR</t>
        </is>
      </c>
      <c r="K5" s="2" t="inlineStr">
        <is>
          <t>Denizyolu</t>
        </is>
      </c>
      <c r="L5" s="6" t="n">
        <v>45481</v>
      </c>
      <c r="M5" s="6" t="n">
        <v>45481</v>
      </c>
      <c r="N5" s="5" t="n">
        <v>0</v>
      </c>
      <c r="O5" s="2" t="inlineStr">
        <is>
          <t>Yuksek</t>
        </is>
      </c>
    </row>
    <row r="6">
      <c r="A6" s="2" t="inlineStr">
        <is>
          <t>SIP-0005</t>
        </is>
      </c>
      <c r="B6" s="6" t="n">
        <v>45428</v>
      </c>
      <c r="C6" s="2" t="inlineStr">
        <is>
          <t>MUS-056</t>
        </is>
      </c>
      <c r="D6" s="2" t="inlineStr">
        <is>
          <t>TKL-0007</t>
        </is>
      </c>
      <c r="E6" s="2" t="inlineStr">
        <is>
          <t>ST-001</t>
        </is>
      </c>
      <c r="F6" s="2" t="inlineStr">
        <is>
          <t>Uretimde</t>
        </is>
      </c>
      <c r="G6" s="2" t="inlineStr">
        <is>
          <t>EUR</t>
        </is>
      </c>
      <c r="H6" s="5" t="n">
        <v>1.0763</v>
      </c>
      <c r="I6" s="3" t="n">
        <v>13649.38</v>
      </c>
      <c r="J6" s="2" t="inlineStr">
        <is>
          <t>DAP</t>
        </is>
      </c>
      <c r="K6" s="2" t="inlineStr">
        <is>
          <t>Karayolu</t>
        </is>
      </c>
      <c r="L6" s="6" t="n">
        <v>45479</v>
      </c>
      <c r="M6" s="6" t="n">
        <v>45479</v>
      </c>
      <c r="N6" s="5" t="n">
        <v>0</v>
      </c>
      <c r="O6" s="2" t="inlineStr">
        <is>
          <t>Normal</t>
        </is>
      </c>
    </row>
    <row r="7">
      <c r="A7" s="2" t="inlineStr">
        <is>
          <t>SIP-0006</t>
        </is>
      </c>
      <c r="B7" s="6" t="n">
        <v>45415</v>
      </c>
      <c r="C7" s="2" t="inlineStr">
        <is>
          <t>MUS-048</t>
        </is>
      </c>
      <c r="D7" s="2" t="inlineStr">
        <is>
          <t>TKL-0008</t>
        </is>
      </c>
      <c r="E7" s="2" t="inlineStr">
        <is>
          <t>ST-001</t>
        </is>
      </c>
      <c r="F7" s="2" t="inlineStr">
        <is>
          <t>Uretimde</t>
        </is>
      </c>
      <c r="G7" s="2" t="inlineStr">
        <is>
          <t>EUR</t>
        </is>
      </c>
      <c r="H7" s="5" t="n">
        <v>1.0763</v>
      </c>
      <c r="I7" s="3" t="n">
        <v>71776.94</v>
      </c>
      <c r="J7" s="2" t="inlineStr">
        <is>
          <t>DAP</t>
        </is>
      </c>
      <c r="K7" s="2" t="inlineStr">
        <is>
          <t>Havayolu</t>
        </is>
      </c>
      <c r="L7" s="6" t="n">
        <v>45463</v>
      </c>
      <c r="M7" s="6" t="n">
        <v>45475</v>
      </c>
      <c r="N7" s="5" t="n">
        <v>12</v>
      </c>
      <c r="O7" s="2" t="inlineStr">
        <is>
          <t>Normal</t>
        </is>
      </c>
    </row>
    <row r="8">
      <c r="A8" s="2" t="inlineStr">
        <is>
          <t>SIP-0007</t>
        </is>
      </c>
      <c r="B8" s="6" t="n">
        <v>45430</v>
      </c>
      <c r="C8" s="2" t="inlineStr">
        <is>
          <t>MUS-015</t>
        </is>
      </c>
      <c r="D8" s="2" t="inlineStr">
        <is>
          <t>TKL-0009</t>
        </is>
      </c>
      <c r="E8" s="2" t="inlineStr">
        <is>
          <t>ST-001</t>
        </is>
      </c>
      <c r="F8" s="2" t="inlineStr">
        <is>
          <t>Tamamlandi</t>
        </is>
      </c>
      <c r="G8" s="2" t="inlineStr">
        <is>
          <t>EUR</t>
        </is>
      </c>
      <c r="H8" s="5" t="n">
        <v>1.0763</v>
      </c>
      <c r="I8" s="3" t="n">
        <v>25598.86</v>
      </c>
      <c r="J8" s="2" t="inlineStr">
        <is>
          <t>DAP</t>
        </is>
      </c>
      <c r="K8" s="2" t="inlineStr">
        <is>
          <t>Karayolu</t>
        </is>
      </c>
      <c r="L8" s="6" t="n">
        <v>45477</v>
      </c>
      <c r="M8" s="6" t="n">
        <v>45479</v>
      </c>
      <c r="N8" s="5" t="n">
        <v>2</v>
      </c>
      <c r="O8" s="2" t="inlineStr">
        <is>
          <t>Normal</t>
        </is>
      </c>
    </row>
    <row r="9">
      <c r="A9" s="2" t="inlineStr">
        <is>
          <t>SIP-0008</t>
        </is>
      </c>
      <c r="B9" s="6" t="n">
        <v>45414</v>
      </c>
      <c r="C9" s="2" t="inlineStr">
        <is>
          <t>MUS-044</t>
        </is>
      </c>
      <c r="D9" s="2" t="inlineStr">
        <is>
          <t>TKL-0011</t>
        </is>
      </c>
      <c r="E9" s="2" t="inlineStr">
        <is>
          <t>ST-002</t>
        </is>
      </c>
      <c r="F9" s="2" t="inlineStr">
        <is>
          <t>Sevk Edildi</t>
        </is>
      </c>
      <c r="G9" s="2" t="inlineStr">
        <is>
          <t>EUR</t>
        </is>
      </c>
      <c r="H9" s="5" t="n">
        <v>1.0763</v>
      </c>
      <c r="I9" s="3" t="n">
        <v>33917.51</v>
      </c>
      <c r="J9" s="2" t="inlineStr">
        <is>
          <t>DAP</t>
        </is>
      </c>
      <c r="K9" s="2" t="inlineStr">
        <is>
          <t>Denizyolu</t>
        </is>
      </c>
      <c r="L9" s="6" t="n">
        <v>45459</v>
      </c>
      <c r="M9" s="6" t="n">
        <v>45459</v>
      </c>
      <c r="N9" s="5" t="n">
        <v>0</v>
      </c>
      <c r="O9" s="2" t="inlineStr">
        <is>
          <t>Normal</t>
        </is>
      </c>
    </row>
    <row r="10">
      <c r="A10" s="2" t="inlineStr">
        <is>
          <t>SIP-0009</t>
        </is>
      </c>
      <c r="B10" s="6" t="n">
        <v>45419</v>
      </c>
      <c r="C10" s="2" t="inlineStr">
        <is>
          <t>MUS-072</t>
        </is>
      </c>
      <c r="D10" s="2" t="inlineStr">
        <is>
          <t>TKL-0015</t>
        </is>
      </c>
      <c r="E10" s="2" t="inlineStr">
        <is>
          <t>ST-001</t>
        </is>
      </c>
      <c r="F10" s="2" t="inlineStr">
        <is>
          <t>Tamamlandi</t>
        </is>
      </c>
      <c r="G10" s="2" t="inlineStr">
        <is>
          <t>EUR</t>
        </is>
      </c>
      <c r="H10" s="5" t="n">
        <v>1.0763</v>
      </c>
      <c r="I10" s="3" t="n">
        <v>60730.88</v>
      </c>
      <c r="J10" s="2" t="inlineStr">
        <is>
          <t>DAP</t>
        </is>
      </c>
      <c r="K10" s="2" t="inlineStr">
        <is>
          <t>Karayolu</t>
        </is>
      </c>
      <c r="L10" s="6" t="n">
        <v>45454</v>
      </c>
      <c r="M10" s="6" t="n">
        <v>45456</v>
      </c>
      <c r="N10" s="5" t="n">
        <v>2</v>
      </c>
      <c r="O10" s="2" t="inlineStr">
        <is>
          <t>Normal</t>
        </is>
      </c>
    </row>
    <row r="11">
      <c r="A11" s="2" t="inlineStr">
        <is>
          <t>SIP-0010</t>
        </is>
      </c>
      <c r="B11" s="6" t="n">
        <v>45426</v>
      </c>
      <c r="C11" s="2" t="inlineStr">
        <is>
          <t>MUS-066</t>
        </is>
      </c>
      <c r="D11" s="2" t="inlineStr">
        <is>
          <t>TKL-0018</t>
        </is>
      </c>
      <c r="E11" s="2" t="inlineStr">
        <is>
          <t>ST-007</t>
        </is>
      </c>
      <c r="F11" s="2" t="inlineStr">
        <is>
          <t>Tamamlandi</t>
        </is>
      </c>
      <c r="G11" s="2" t="inlineStr">
        <is>
          <t>USD</t>
        </is>
      </c>
      <c r="H11" s="5" t="n">
        <v>1</v>
      </c>
      <c r="I11" s="3" t="n">
        <v>42759.84</v>
      </c>
      <c r="J11" s="2" t="inlineStr">
        <is>
          <t>FCA</t>
        </is>
      </c>
      <c r="K11" s="2" t="inlineStr">
        <is>
          <t>Karayolu</t>
        </is>
      </c>
      <c r="L11" s="6" t="n">
        <v>45469</v>
      </c>
      <c r="M11" s="6" t="n">
        <v>45474</v>
      </c>
      <c r="N11" s="5" t="n">
        <v>5</v>
      </c>
      <c r="O11" s="2" t="inlineStr">
        <is>
          <t>Normal</t>
        </is>
      </c>
    </row>
    <row r="12">
      <c r="A12" s="2" t="inlineStr">
        <is>
          <t>SIP-0011</t>
        </is>
      </c>
      <c r="B12" s="6" t="n">
        <v>45413</v>
      </c>
      <c r="C12" s="2" t="inlineStr">
        <is>
          <t>MUS-038</t>
        </is>
      </c>
      <c r="D12" s="2" t="inlineStr">
        <is>
          <t>TKL-0020</t>
        </is>
      </c>
      <c r="E12" s="2" t="inlineStr">
        <is>
          <t>ST-003</t>
        </is>
      </c>
      <c r="F12" s="2" t="inlineStr">
        <is>
          <t>Sevk Edildi</t>
        </is>
      </c>
      <c r="G12" s="2" t="inlineStr">
        <is>
          <t>USD</t>
        </is>
      </c>
      <c r="H12" s="5" t="n">
        <v>1</v>
      </c>
      <c r="I12" s="3" t="n">
        <v>87957.37</v>
      </c>
      <c r="J12" s="2" t="inlineStr">
        <is>
          <t>CIF</t>
        </is>
      </c>
      <c r="K12" s="2" t="inlineStr">
        <is>
          <t>Denizyolu</t>
        </is>
      </c>
      <c r="L12" s="6" t="n">
        <v>45464</v>
      </c>
      <c r="M12" s="6" t="n">
        <v>45465</v>
      </c>
      <c r="N12" s="5" t="n">
        <v>1</v>
      </c>
      <c r="O12" s="2" t="inlineStr">
        <is>
          <t>Yuksek</t>
        </is>
      </c>
    </row>
    <row r="13">
      <c r="A13" s="2" t="inlineStr">
        <is>
          <t>SIP-0012</t>
        </is>
      </c>
      <c r="B13" s="6" t="n">
        <v>45417</v>
      </c>
      <c r="C13" s="2" t="inlineStr">
        <is>
          <t>MUS-064</t>
        </is>
      </c>
      <c r="D13" s="2" t="inlineStr">
        <is>
          <t>TKL-0021</t>
        </is>
      </c>
      <c r="E13" s="2" t="inlineStr">
        <is>
          <t>ST-001</t>
        </is>
      </c>
      <c r="F13" s="2" t="inlineStr">
        <is>
          <t>Tamamlandi</t>
        </is>
      </c>
      <c r="G13" s="2" t="inlineStr">
        <is>
          <t>EUR</t>
        </is>
      </c>
      <c r="H13" s="5" t="n">
        <v>1.0763</v>
      </c>
      <c r="I13" s="3" t="n">
        <v>16554.46</v>
      </c>
      <c r="J13" s="2" t="inlineStr">
        <is>
          <t>FCA</t>
        </is>
      </c>
      <c r="K13" s="2" t="inlineStr">
        <is>
          <t>Karayolu</t>
        </is>
      </c>
      <c r="L13" s="6" t="n">
        <v>45449</v>
      </c>
      <c r="M13" s="6" t="n">
        <v>45449</v>
      </c>
      <c r="N13" s="5" t="n">
        <v>0</v>
      </c>
      <c r="O13" s="2" t="inlineStr">
        <is>
          <t>Normal</t>
        </is>
      </c>
    </row>
    <row r="14">
      <c r="A14" s="2" t="inlineStr">
        <is>
          <t>SIP-0013</t>
        </is>
      </c>
      <c r="B14" s="6" t="n">
        <v>45418</v>
      </c>
      <c r="C14" s="2" t="inlineStr">
        <is>
          <t>MUS-070</t>
        </is>
      </c>
      <c r="D14" s="2" t="inlineStr">
        <is>
          <t>TKL-0022</t>
        </is>
      </c>
      <c r="E14" s="2" t="inlineStr">
        <is>
          <t>ST-002</t>
        </is>
      </c>
      <c r="F14" s="2" t="inlineStr">
        <is>
          <t>Sevk Edildi</t>
        </is>
      </c>
      <c r="G14" s="2" t="inlineStr">
        <is>
          <t>EUR</t>
        </is>
      </c>
      <c r="H14" s="5" t="n">
        <v>1.0763</v>
      </c>
      <c r="I14" s="3" t="n">
        <v>15063.49</v>
      </c>
      <c r="J14" s="2" t="inlineStr">
        <is>
          <t>DAP</t>
        </is>
      </c>
      <c r="K14" s="2" t="inlineStr">
        <is>
          <t>Havayolu</t>
        </is>
      </c>
      <c r="L14" s="6" t="n">
        <v>45437</v>
      </c>
      <c r="M14" s="6" t="n">
        <v>45437</v>
      </c>
      <c r="N14" s="5" t="n">
        <v>0</v>
      </c>
      <c r="O14" s="2" t="inlineStr">
        <is>
          <t>Normal</t>
        </is>
      </c>
    </row>
    <row r="15">
      <c r="A15" s="2" t="inlineStr">
        <is>
          <t>SIP-0014</t>
        </is>
      </c>
      <c r="B15" s="6" t="n">
        <v>45429</v>
      </c>
      <c r="C15" s="2" t="inlineStr">
        <is>
          <t>MUS-027</t>
        </is>
      </c>
      <c r="D15" s="2" t="inlineStr">
        <is>
          <t>TKL-0025</t>
        </is>
      </c>
      <c r="E15" s="2" t="inlineStr">
        <is>
          <t>ST-003</t>
        </is>
      </c>
      <c r="F15" s="2" t="inlineStr">
        <is>
          <t>Sevk Edildi</t>
        </is>
      </c>
      <c r="G15" s="2" t="inlineStr">
        <is>
          <t>USD</t>
        </is>
      </c>
      <c r="H15" s="5" t="n">
        <v>1</v>
      </c>
      <c r="I15" s="3" t="n">
        <v>25117.77</v>
      </c>
      <c r="J15" s="2" t="inlineStr">
        <is>
          <t>CIF</t>
        </is>
      </c>
      <c r="K15" s="2" t="inlineStr">
        <is>
          <t>Denizyolu</t>
        </is>
      </c>
      <c r="L15" s="6" t="n">
        <v>45472</v>
      </c>
      <c r="M15" s="6" t="n">
        <v>45472</v>
      </c>
      <c r="N15" s="5" t="n">
        <v>0</v>
      </c>
      <c r="O15" s="2" t="inlineStr">
        <is>
          <t>Normal</t>
        </is>
      </c>
    </row>
    <row r="16">
      <c r="A16" s="2" t="inlineStr">
        <is>
          <t>SIP-0015</t>
        </is>
      </c>
      <c r="B16" s="6" t="n">
        <v>45394</v>
      </c>
      <c r="C16" s="2" t="inlineStr">
        <is>
          <t>MUS-017</t>
        </is>
      </c>
      <c r="D16" s="2" t="inlineStr">
        <is>
          <t>TKL-0026</t>
        </is>
      </c>
      <c r="E16" s="2" t="inlineStr">
        <is>
          <t>ST-001</t>
        </is>
      </c>
      <c r="F16" s="2" t="inlineStr">
        <is>
          <t>Sevk Edildi</t>
        </is>
      </c>
      <c r="G16" s="2" t="inlineStr">
        <is>
          <t>EUR</t>
        </is>
      </c>
      <c r="H16" s="5" t="n">
        <v>1.0763</v>
      </c>
      <c r="I16" s="3" t="n">
        <v>26797.57</v>
      </c>
      <c r="J16" s="2" t="inlineStr">
        <is>
          <t>DAP</t>
        </is>
      </c>
      <c r="K16" s="2" t="inlineStr">
        <is>
          <t>Karayolu</t>
        </is>
      </c>
      <c r="L16" s="6" t="n">
        <v>45460</v>
      </c>
      <c r="M16" s="6" t="n">
        <v>45460</v>
      </c>
      <c r="N16" s="5" t="n">
        <v>0</v>
      </c>
      <c r="O16" s="2" t="inlineStr">
        <is>
          <t>Kritik</t>
        </is>
      </c>
    </row>
    <row r="17">
      <c r="A17" s="2" t="inlineStr">
        <is>
          <t>SIP-0016</t>
        </is>
      </c>
      <c r="B17" s="6" t="n">
        <v>45459</v>
      </c>
      <c r="C17" s="2" t="inlineStr">
        <is>
          <t>MUS-017</t>
        </is>
      </c>
      <c r="D17" s="2" t="inlineStr">
        <is>
          <t>TKL-0036</t>
        </is>
      </c>
      <c r="E17" s="2" t="inlineStr">
        <is>
          <t>ST-001</t>
        </is>
      </c>
      <c r="F17" s="2" t="inlineStr">
        <is>
          <t>Sevk Edildi</t>
        </is>
      </c>
      <c r="G17" s="2" t="inlineStr">
        <is>
          <t>EUR</t>
        </is>
      </c>
      <c r="H17" s="5" t="n">
        <v>1.0481</v>
      </c>
      <c r="I17" s="3" t="n">
        <v>58743.26</v>
      </c>
      <c r="J17" s="2" t="inlineStr">
        <is>
          <t>DAP</t>
        </is>
      </c>
      <c r="K17" s="2" t="inlineStr">
        <is>
          <t>Denizyolu</t>
        </is>
      </c>
      <c r="L17" s="6" t="n">
        <v>45488</v>
      </c>
      <c r="M17" s="6" t="n">
        <v>45488</v>
      </c>
      <c r="N17" s="5" t="n">
        <v>0</v>
      </c>
      <c r="O17" s="2" t="inlineStr">
        <is>
          <t>Yuksek</t>
        </is>
      </c>
    </row>
    <row r="18">
      <c r="A18" s="2" t="inlineStr">
        <is>
          <t>SIP-0017</t>
        </is>
      </c>
      <c r="B18" s="6" t="n">
        <v>45440</v>
      </c>
      <c r="C18" s="2" t="inlineStr">
        <is>
          <t>MUS-071</t>
        </is>
      </c>
      <c r="D18" s="2" t="inlineStr">
        <is>
          <t>TKL-0037</t>
        </is>
      </c>
      <c r="E18" s="2" t="inlineStr">
        <is>
          <t>ST-007</t>
        </is>
      </c>
      <c r="F18" s="2" t="inlineStr">
        <is>
          <t>Sevk Edildi</t>
        </is>
      </c>
      <c r="G18" s="2" t="inlineStr">
        <is>
          <t>USD</t>
        </is>
      </c>
      <c r="H18" s="5" t="n">
        <v>1</v>
      </c>
      <c r="I18" s="3" t="n">
        <v>38235.92</v>
      </c>
      <c r="J18" s="2" t="inlineStr">
        <is>
          <t>FCA</t>
        </is>
      </c>
      <c r="K18" s="2" t="inlineStr">
        <is>
          <t>Havayolu</t>
        </is>
      </c>
      <c r="L18" s="6" t="n">
        <v>45486</v>
      </c>
      <c r="M18" s="6" t="n">
        <v>45494</v>
      </c>
      <c r="N18" s="5" t="n">
        <v>8</v>
      </c>
      <c r="O18" s="2" t="inlineStr">
        <is>
          <t>Normal</t>
        </is>
      </c>
    </row>
    <row r="19">
      <c r="A19" s="2" t="inlineStr">
        <is>
          <t>SIP-0018</t>
        </is>
      </c>
      <c r="B19" s="6" t="n">
        <v>45437</v>
      </c>
      <c r="C19" s="2" t="inlineStr">
        <is>
          <t>MUS-064</t>
        </is>
      </c>
      <c r="D19" s="2" t="inlineStr">
        <is>
          <t>TKL-0038</t>
        </is>
      </c>
      <c r="E19" s="2" t="inlineStr">
        <is>
          <t>ST-002</t>
        </is>
      </c>
      <c r="F19" s="2" t="inlineStr">
        <is>
          <t>Sevk Edildi</t>
        </is>
      </c>
      <c r="G19" s="2" t="inlineStr">
        <is>
          <t>EUR</t>
        </is>
      </c>
      <c r="H19" s="5" t="n">
        <v>1.0481</v>
      </c>
      <c r="I19" s="3" t="n">
        <v>19796.62</v>
      </c>
      <c r="J19" s="2" t="inlineStr">
        <is>
          <t>FCA</t>
        </is>
      </c>
      <c r="K19" s="2" t="inlineStr">
        <is>
          <t>Karayolu</t>
        </is>
      </c>
      <c r="L19" s="6" t="n">
        <v>45477</v>
      </c>
      <c r="M19" s="6" t="n">
        <v>45477</v>
      </c>
      <c r="N19" s="5" t="n">
        <v>0</v>
      </c>
      <c r="O19" s="2" t="inlineStr">
        <is>
          <t>Normal</t>
        </is>
      </c>
    </row>
    <row r="20">
      <c r="A20" s="2" t="inlineStr">
        <is>
          <t>SIP-0019</t>
        </is>
      </c>
      <c r="B20" s="6" t="n">
        <v>45467</v>
      </c>
      <c r="C20" s="2" t="inlineStr">
        <is>
          <t>MUS-042</t>
        </is>
      </c>
      <c r="D20" s="2" t="inlineStr">
        <is>
          <t>TKL-0045</t>
        </is>
      </c>
      <c r="E20" s="2" t="inlineStr">
        <is>
          <t>ST-006</t>
        </is>
      </c>
      <c r="F20" s="2" t="inlineStr">
        <is>
          <t>Tamamlandi</t>
        </is>
      </c>
      <c r="G20" s="2" t="inlineStr">
        <is>
          <t>USD</t>
        </is>
      </c>
      <c r="H20" s="5" t="n">
        <v>1</v>
      </c>
      <c r="I20" s="3" t="n">
        <v>21816.1</v>
      </c>
      <c r="J20" s="2" t="inlineStr">
        <is>
          <t>CFR</t>
        </is>
      </c>
      <c r="K20" s="2" t="inlineStr">
        <is>
          <t>Havayolu</t>
        </is>
      </c>
      <c r="L20" s="6" t="n">
        <v>45498</v>
      </c>
      <c r="M20" s="6" t="n">
        <v>45498</v>
      </c>
      <c r="N20" s="5" t="n">
        <v>0</v>
      </c>
      <c r="O20" s="2" t="inlineStr">
        <is>
          <t>Normal</t>
        </is>
      </c>
    </row>
    <row r="21">
      <c r="A21" s="2" t="inlineStr">
        <is>
          <t>SIP-0020</t>
        </is>
      </c>
      <c r="B21" s="6" t="n">
        <v>45450</v>
      </c>
      <c r="C21" s="2" t="inlineStr">
        <is>
          <t>MUS-063</t>
        </is>
      </c>
      <c r="D21" s="2" t="inlineStr">
        <is>
          <t>TKL-0046</t>
        </is>
      </c>
      <c r="E21" s="2" t="inlineStr">
        <is>
          <t>ST-002</t>
        </is>
      </c>
      <c r="F21" s="2" t="inlineStr">
        <is>
          <t>Tamamlandi</t>
        </is>
      </c>
      <c r="G21" s="2" t="inlineStr">
        <is>
          <t>EUR</t>
        </is>
      </c>
      <c r="H21" s="5" t="n">
        <v>1.0481</v>
      </c>
      <c r="I21" s="3" t="n">
        <v>34674.39</v>
      </c>
      <c r="J21" s="2" t="inlineStr">
        <is>
          <t>DAP</t>
        </is>
      </c>
      <c r="K21" s="2" t="inlineStr">
        <is>
          <t>Havayolu</t>
        </is>
      </c>
      <c r="L21" s="6" t="n">
        <v>45492</v>
      </c>
      <c r="M21" s="6" t="n">
        <v>45492</v>
      </c>
      <c r="N21" s="5" t="n">
        <v>0</v>
      </c>
      <c r="O21" s="2" t="inlineStr">
        <is>
          <t>Yuksek</t>
        </is>
      </c>
    </row>
    <row r="22">
      <c r="A22" s="2" t="inlineStr">
        <is>
          <t>SIP-0021</t>
        </is>
      </c>
      <c r="B22" s="6" t="n">
        <v>45434</v>
      </c>
      <c r="C22" s="2" t="inlineStr">
        <is>
          <t>MUS-028</t>
        </is>
      </c>
      <c r="D22" s="2" t="inlineStr">
        <is>
          <t>TKL-0047</t>
        </is>
      </c>
      <c r="E22" s="2" t="inlineStr">
        <is>
          <t>ST-002</t>
        </is>
      </c>
      <c r="F22" s="2" t="inlineStr">
        <is>
          <t>Uretimde</t>
        </is>
      </c>
      <c r="G22" s="2" t="inlineStr">
        <is>
          <t>EUR</t>
        </is>
      </c>
      <c r="H22" s="5" t="n">
        <v>1.0481</v>
      </c>
      <c r="I22" s="3" t="n">
        <v>36660.32</v>
      </c>
      <c r="J22" s="2" t="inlineStr">
        <is>
          <t>DAP</t>
        </is>
      </c>
      <c r="K22" s="2" t="inlineStr">
        <is>
          <t>Denizyolu</t>
        </is>
      </c>
      <c r="L22" s="6" t="n">
        <v>45475</v>
      </c>
      <c r="M22" s="6" t="n">
        <v>45475</v>
      </c>
      <c r="N22" s="5" t="n">
        <v>0</v>
      </c>
      <c r="O22" s="2" t="inlineStr">
        <is>
          <t>Normal</t>
        </is>
      </c>
    </row>
    <row r="23">
      <c r="A23" s="2" t="inlineStr">
        <is>
          <t>SIP-0022</t>
        </is>
      </c>
      <c r="B23" s="6" t="n">
        <v>45454</v>
      </c>
      <c r="C23" s="2" t="inlineStr">
        <is>
          <t>MUS-010</t>
        </is>
      </c>
      <c r="D23" s="2" t="inlineStr">
        <is>
          <t>TKL-0048</t>
        </is>
      </c>
      <c r="E23" s="2" t="inlineStr">
        <is>
          <t>ST-004</t>
        </is>
      </c>
      <c r="F23" s="2" t="inlineStr">
        <is>
          <t>Tamamlandi</t>
        </is>
      </c>
      <c r="G23" s="2" t="inlineStr">
        <is>
          <t>USD</t>
        </is>
      </c>
      <c r="H23" s="5" t="n">
        <v>1</v>
      </c>
      <c r="I23" s="3" t="n">
        <v>24966.69</v>
      </c>
      <c r="J23" s="2" t="inlineStr">
        <is>
          <t>CIF</t>
        </is>
      </c>
      <c r="K23" s="2" t="inlineStr">
        <is>
          <t>Denizyolu</t>
        </is>
      </c>
      <c r="L23" s="6" t="n">
        <v>45496</v>
      </c>
      <c r="M23" s="6" t="n">
        <v>45497</v>
      </c>
      <c r="N23" s="5" t="n">
        <v>1</v>
      </c>
      <c r="O23" s="2" t="inlineStr">
        <is>
          <t>Normal</t>
        </is>
      </c>
    </row>
    <row r="24">
      <c r="A24" s="2" t="inlineStr">
        <is>
          <t>SIP-0023</t>
        </is>
      </c>
      <c r="B24" s="6" t="n">
        <v>45475</v>
      </c>
      <c r="C24" s="2" t="inlineStr">
        <is>
          <t>MUS-048</t>
        </is>
      </c>
      <c r="D24" s="2" t="inlineStr">
        <is>
          <t>TKL-0049</t>
        </is>
      </c>
      <c r="E24" s="2" t="inlineStr">
        <is>
          <t>ST-001</t>
        </is>
      </c>
      <c r="F24" s="2" t="inlineStr">
        <is>
          <t>Sevk Edildi</t>
        </is>
      </c>
      <c r="G24" s="2" t="inlineStr">
        <is>
          <t>EUR</t>
        </is>
      </c>
      <c r="H24" s="5" t="n">
        <v>1.0302</v>
      </c>
      <c r="I24" s="3" t="n">
        <v>10649.32</v>
      </c>
      <c r="J24" s="2" t="inlineStr">
        <is>
          <t>DAP</t>
        </is>
      </c>
      <c r="K24" s="2" t="inlineStr">
        <is>
          <t>Denizyolu</t>
        </is>
      </c>
      <c r="L24" s="6" t="n">
        <v>45522</v>
      </c>
      <c r="M24" s="6" t="n">
        <v>45524</v>
      </c>
      <c r="N24" s="5" t="n">
        <v>2</v>
      </c>
      <c r="O24" s="2" t="inlineStr">
        <is>
          <t>Normal</t>
        </is>
      </c>
    </row>
    <row r="25">
      <c r="A25" s="2" t="inlineStr">
        <is>
          <t>SIP-0024</t>
        </is>
      </c>
      <c r="B25" s="6" t="n">
        <v>45480</v>
      </c>
      <c r="C25" s="2" t="inlineStr">
        <is>
          <t>MUS-051</t>
        </is>
      </c>
      <c r="D25" s="2" t="inlineStr">
        <is>
          <t>TKL-0054</t>
        </is>
      </c>
      <c r="E25" s="2" t="inlineStr">
        <is>
          <t>ST-001</t>
        </is>
      </c>
      <c r="F25" s="2" t="inlineStr">
        <is>
          <t>Sevk Edildi</t>
        </is>
      </c>
      <c r="G25" s="2" t="inlineStr">
        <is>
          <t>EUR</t>
        </is>
      </c>
      <c r="H25" s="5" t="n">
        <v>1.0302</v>
      </c>
      <c r="I25" s="3" t="n">
        <v>3446.58</v>
      </c>
      <c r="J25" s="2" t="inlineStr">
        <is>
          <t>DAP</t>
        </is>
      </c>
      <c r="K25" s="2" t="inlineStr">
        <is>
          <t>Denizyolu</t>
        </is>
      </c>
      <c r="L25" s="6" t="n">
        <v>45514</v>
      </c>
      <c r="M25" s="6" t="n">
        <v>45514</v>
      </c>
      <c r="N25" s="5" t="n">
        <v>0</v>
      </c>
      <c r="O25" s="2" t="inlineStr">
        <is>
          <t>Normal</t>
        </is>
      </c>
    </row>
    <row r="26">
      <c r="A26" s="2" t="inlineStr">
        <is>
          <t>SIP-0025</t>
        </is>
      </c>
      <c r="B26" s="6" t="n">
        <v>45492</v>
      </c>
      <c r="C26" s="2" t="inlineStr">
        <is>
          <t>MUS-015</t>
        </is>
      </c>
      <c r="D26" s="2" t="inlineStr">
        <is>
          <t>TKL-0055</t>
        </is>
      </c>
      <c r="E26" s="2" t="inlineStr">
        <is>
          <t>ST-002</t>
        </is>
      </c>
      <c r="F26" s="2" t="inlineStr">
        <is>
          <t>Sevk Edildi</t>
        </is>
      </c>
      <c r="G26" s="2" t="inlineStr">
        <is>
          <t>EUR</t>
        </is>
      </c>
      <c r="H26" s="5" t="n">
        <v>1.0302</v>
      </c>
      <c r="I26" s="3" t="n">
        <v>12984.65</v>
      </c>
      <c r="J26" s="2" t="inlineStr">
        <is>
          <t>DAP</t>
        </is>
      </c>
      <c r="K26" s="2" t="inlineStr">
        <is>
          <t>Karayolu</t>
        </is>
      </c>
      <c r="L26" s="6" t="n">
        <v>45564</v>
      </c>
      <c r="M26" s="6" t="n">
        <v>45565</v>
      </c>
      <c r="N26" s="5" t="n">
        <v>1</v>
      </c>
      <c r="O26" s="2" t="inlineStr">
        <is>
          <t>Kritik</t>
        </is>
      </c>
    </row>
    <row r="27">
      <c r="A27" s="2" t="inlineStr">
        <is>
          <t>SIP-0026</t>
        </is>
      </c>
      <c r="B27" s="6" t="n">
        <v>45488</v>
      </c>
      <c r="C27" s="2" t="inlineStr">
        <is>
          <t>MUS-054</t>
        </is>
      </c>
      <c r="D27" s="2" t="inlineStr">
        <is>
          <t>TKL-0058</t>
        </is>
      </c>
      <c r="E27" s="2" t="inlineStr">
        <is>
          <t>ST-004</t>
        </is>
      </c>
      <c r="F27" s="2" t="inlineStr">
        <is>
          <t>Sevk Edildi</t>
        </is>
      </c>
      <c r="G27" s="2" t="inlineStr">
        <is>
          <t>USD</t>
        </is>
      </c>
      <c r="H27" s="5" t="n">
        <v>1</v>
      </c>
      <c r="I27" s="3" t="n">
        <v>22130.75</v>
      </c>
      <c r="J27" s="2" t="inlineStr">
        <is>
          <t>CIF</t>
        </is>
      </c>
      <c r="K27" s="2" t="inlineStr">
        <is>
          <t>Denizyolu</t>
        </is>
      </c>
      <c r="L27" s="6" t="n">
        <v>45533</v>
      </c>
      <c r="M27" s="6" t="n">
        <v>45534</v>
      </c>
      <c r="N27" s="5" t="n">
        <v>1</v>
      </c>
      <c r="O27" s="2" t="inlineStr">
        <is>
          <t>Normal</t>
        </is>
      </c>
    </row>
    <row r="28">
      <c r="A28" s="2" t="inlineStr">
        <is>
          <t>SIP-0027</t>
        </is>
      </c>
      <c r="B28" s="6" t="n">
        <v>45487</v>
      </c>
      <c r="C28" s="2" t="inlineStr">
        <is>
          <t>MUS-011</t>
        </is>
      </c>
      <c r="D28" s="2" t="inlineStr">
        <is>
          <t>TKL-0059</t>
        </is>
      </c>
      <c r="E28" s="2" t="inlineStr">
        <is>
          <t>ST-003</t>
        </is>
      </c>
      <c r="F28" s="2" t="inlineStr">
        <is>
          <t>Tamamlandi</t>
        </is>
      </c>
      <c r="G28" s="2" t="inlineStr">
        <is>
          <t>USD</t>
        </is>
      </c>
      <c r="H28" s="5" t="n">
        <v>1</v>
      </c>
      <c r="I28" s="3" t="n">
        <v>11014.09</v>
      </c>
      <c r="J28" s="2" t="inlineStr">
        <is>
          <t>CIF</t>
        </is>
      </c>
      <c r="K28" s="2" t="inlineStr">
        <is>
          <t>Denizyolu</t>
        </is>
      </c>
      <c r="L28" s="6" t="n">
        <v>45508</v>
      </c>
      <c r="M28" s="6" t="n">
        <v>45508</v>
      </c>
      <c r="N28" s="5" t="n">
        <v>0</v>
      </c>
      <c r="O28" s="2" t="inlineStr">
        <is>
          <t>Normal</t>
        </is>
      </c>
    </row>
    <row r="29">
      <c r="A29" s="2" t="inlineStr">
        <is>
          <t>SIP-0028</t>
        </is>
      </c>
      <c r="B29" s="6" t="n">
        <v>45493</v>
      </c>
      <c r="C29" s="2" t="inlineStr">
        <is>
          <t>MUS-067</t>
        </is>
      </c>
      <c r="D29" s="2" t="inlineStr">
        <is>
          <t>TKL-0060</t>
        </is>
      </c>
      <c r="E29" s="2" t="inlineStr">
        <is>
          <t>ST-003</t>
        </is>
      </c>
      <c r="F29" s="2" t="inlineStr">
        <is>
          <t>Uretimde</t>
        </is>
      </c>
      <c r="G29" s="2" t="inlineStr">
        <is>
          <t>USD</t>
        </is>
      </c>
      <c r="H29" s="5" t="n">
        <v>1</v>
      </c>
      <c r="I29" s="3" t="n">
        <v>43502.25</v>
      </c>
      <c r="J29" s="2" t="inlineStr">
        <is>
          <t>CIF</t>
        </is>
      </c>
      <c r="K29" s="2" t="inlineStr">
        <is>
          <t>Denizyolu</t>
        </is>
      </c>
      <c r="L29" s="6" t="n">
        <v>45538</v>
      </c>
      <c r="M29" s="6" t="n">
        <v>45538</v>
      </c>
      <c r="N29" s="5" t="n">
        <v>0</v>
      </c>
      <c r="O29" s="2" t="inlineStr">
        <is>
          <t>Normal</t>
        </is>
      </c>
    </row>
    <row r="30">
      <c r="A30" s="2" t="inlineStr">
        <is>
          <t>SIP-0029</t>
        </is>
      </c>
      <c r="B30" s="6" t="n">
        <v>45467</v>
      </c>
      <c r="C30" s="2" t="inlineStr">
        <is>
          <t>MUS-082</t>
        </is>
      </c>
      <c r="D30" s="2" t="inlineStr">
        <is>
          <t>TKL-0061</t>
        </is>
      </c>
      <c r="E30" s="2" t="inlineStr">
        <is>
          <t>ST-001</t>
        </is>
      </c>
      <c r="F30" s="2" t="inlineStr">
        <is>
          <t>Sevk Edildi</t>
        </is>
      </c>
      <c r="G30" s="2" t="inlineStr">
        <is>
          <t>EUR</t>
        </is>
      </c>
      <c r="H30" s="5" t="n">
        <v>1.0302</v>
      </c>
      <c r="I30" s="3" t="n">
        <v>8619.799999999999</v>
      </c>
      <c r="J30" s="2" t="inlineStr">
        <is>
          <t>DAP</t>
        </is>
      </c>
      <c r="K30" s="2" t="inlineStr">
        <is>
          <t>Denizyolu</t>
        </is>
      </c>
      <c r="L30" s="6" t="n">
        <v>45517</v>
      </c>
      <c r="M30" s="6" t="n">
        <v>45517</v>
      </c>
      <c r="N30" s="5" t="n">
        <v>0</v>
      </c>
      <c r="O30" s="2" t="inlineStr">
        <is>
          <t>Kritik</t>
        </is>
      </c>
    </row>
    <row r="31">
      <c r="A31" s="2" t="inlineStr">
        <is>
          <t>SIP-0030</t>
        </is>
      </c>
      <c r="B31" s="6" t="n">
        <v>45488</v>
      </c>
      <c r="C31" s="2" t="inlineStr">
        <is>
          <t>MUS-070</t>
        </is>
      </c>
      <c r="D31" s="2" t="inlineStr">
        <is>
          <t>TKL-0062</t>
        </is>
      </c>
      <c r="E31" s="2" t="inlineStr">
        <is>
          <t>ST-002</t>
        </is>
      </c>
      <c r="F31" s="2" t="inlineStr">
        <is>
          <t>Tamamlandi</t>
        </is>
      </c>
      <c r="G31" s="2" t="inlineStr">
        <is>
          <t>EUR</t>
        </is>
      </c>
      <c r="H31" s="5" t="n">
        <v>1.0302</v>
      </c>
      <c r="I31" s="3" t="n">
        <v>7548.02</v>
      </c>
      <c r="J31" s="2" t="inlineStr">
        <is>
          <t>DAP</t>
        </is>
      </c>
      <c r="K31" s="2" t="inlineStr">
        <is>
          <t>Karayolu</t>
        </is>
      </c>
      <c r="L31" s="6" t="n">
        <v>45513</v>
      </c>
      <c r="M31" s="6" t="n">
        <v>45516</v>
      </c>
      <c r="N31" s="5" t="n">
        <v>3</v>
      </c>
      <c r="O31" s="2" t="inlineStr">
        <is>
          <t>Normal</t>
        </is>
      </c>
    </row>
    <row r="32">
      <c r="A32" s="2" t="inlineStr">
        <is>
          <t>SIP-0031</t>
        </is>
      </c>
      <c r="B32" s="6" t="n">
        <v>45473</v>
      </c>
      <c r="C32" s="2" t="inlineStr">
        <is>
          <t>MUS-069</t>
        </is>
      </c>
      <c r="D32" s="2" t="inlineStr">
        <is>
          <t>TKL-0064</t>
        </is>
      </c>
      <c r="E32" s="2" t="inlineStr">
        <is>
          <t>ST-002</t>
        </is>
      </c>
      <c r="F32" s="2" t="inlineStr">
        <is>
          <t>Sevk Edildi</t>
        </is>
      </c>
      <c r="G32" s="2" t="inlineStr">
        <is>
          <t>EUR</t>
        </is>
      </c>
      <c r="H32" s="5" t="n">
        <v>1.0302</v>
      </c>
      <c r="I32" s="3" t="n">
        <v>1572.84</v>
      </c>
      <c r="J32" s="2" t="inlineStr">
        <is>
          <t>FCA</t>
        </is>
      </c>
      <c r="K32" s="2" t="inlineStr">
        <is>
          <t>Karayolu</t>
        </is>
      </c>
      <c r="L32" s="6" t="n">
        <v>45512</v>
      </c>
      <c r="M32" s="6" t="n">
        <v>45513</v>
      </c>
      <c r="N32" s="5" t="n">
        <v>1</v>
      </c>
      <c r="O32" s="2" t="inlineStr">
        <is>
          <t>Normal</t>
        </is>
      </c>
    </row>
    <row r="33">
      <c r="A33" s="2" t="inlineStr">
        <is>
          <t>SIP-0032</t>
        </is>
      </c>
      <c r="B33" s="6" t="n">
        <v>45465</v>
      </c>
      <c r="C33" s="2" t="inlineStr">
        <is>
          <t>MUS-039</t>
        </is>
      </c>
      <c r="D33" s="2" t="inlineStr">
        <is>
          <t>TKL-0067</t>
        </is>
      </c>
      <c r="E33" s="2" t="inlineStr">
        <is>
          <t>ST-003</t>
        </is>
      </c>
      <c r="F33" s="2" t="inlineStr">
        <is>
          <t>Tamamlandi</t>
        </is>
      </c>
      <c r="G33" s="2" t="inlineStr">
        <is>
          <t>USD</t>
        </is>
      </c>
      <c r="H33" s="5" t="n">
        <v>1</v>
      </c>
      <c r="I33" s="3" t="n">
        <v>29786.97</v>
      </c>
      <c r="J33" s="2" t="inlineStr">
        <is>
          <t>CIF</t>
        </is>
      </c>
      <c r="K33" s="2" t="inlineStr">
        <is>
          <t>Denizyolu</t>
        </is>
      </c>
      <c r="L33" s="6" t="n">
        <v>45506</v>
      </c>
      <c r="M33" s="6" t="n">
        <v>45509</v>
      </c>
      <c r="N33" s="5" t="n">
        <v>3</v>
      </c>
      <c r="O33" s="2" t="inlineStr">
        <is>
          <t>Yuksek</t>
        </is>
      </c>
    </row>
    <row r="34">
      <c r="A34" s="2" t="inlineStr">
        <is>
          <t>SIP-0033</t>
        </is>
      </c>
      <c r="B34" s="6" t="n">
        <v>45491</v>
      </c>
      <c r="C34" s="2" t="inlineStr">
        <is>
          <t>MUS-013</t>
        </is>
      </c>
      <c r="D34" s="2" t="inlineStr">
        <is>
          <t>TKL-0071</t>
        </is>
      </c>
      <c r="E34" s="2" t="inlineStr">
        <is>
          <t>ST-001</t>
        </is>
      </c>
      <c r="F34" s="2" t="inlineStr">
        <is>
          <t>Tamamlandi</t>
        </is>
      </c>
      <c r="G34" s="2" t="inlineStr">
        <is>
          <t>EUR</t>
        </is>
      </c>
      <c r="H34" s="5" t="n">
        <v>1.0302</v>
      </c>
      <c r="I34" s="3" t="n">
        <v>19639.9</v>
      </c>
      <c r="J34" s="2" t="inlineStr">
        <is>
          <t>FCA</t>
        </is>
      </c>
      <c r="K34" s="2" t="inlineStr">
        <is>
          <t>Karayolu</t>
        </is>
      </c>
      <c r="L34" s="6" t="n">
        <v>45512</v>
      </c>
      <c r="M34" s="6" t="n">
        <v>45513</v>
      </c>
      <c r="N34" s="5" t="n">
        <v>1</v>
      </c>
      <c r="O34" s="2" t="inlineStr">
        <is>
          <t>Normal</t>
        </is>
      </c>
    </row>
    <row r="35">
      <c r="A35" s="2" t="inlineStr">
        <is>
          <t>SIP-0034</t>
        </is>
      </c>
      <c r="B35" s="6" t="n">
        <v>45470</v>
      </c>
      <c r="C35" s="2" t="inlineStr">
        <is>
          <t>MUS-041</t>
        </is>
      </c>
      <c r="D35" s="2" t="inlineStr">
        <is>
          <t>TKL-0072</t>
        </is>
      </c>
      <c r="E35" s="2" t="inlineStr">
        <is>
          <t>ST-002</t>
        </is>
      </c>
      <c r="F35" s="2" t="inlineStr">
        <is>
          <t>Sevk Edildi</t>
        </is>
      </c>
      <c r="G35" s="2" t="inlineStr">
        <is>
          <t>EUR</t>
        </is>
      </c>
      <c r="H35" s="5" t="n">
        <v>1.0302</v>
      </c>
      <c r="I35" s="3" t="n">
        <v>112163.97</v>
      </c>
      <c r="J35" s="2" t="inlineStr">
        <is>
          <t>DAP</t>
        </is>
      </c>
      <c r="K35" s="2" t="inlineStr">
        <is>
          <t>Denizyolu</t>
        </is>
      </c>
      <c r="L35" s="6" t="n">
        <v>45520</v>
      </c>
      <c r="M35" s="6" t="n">
        <v>45520</v>
      </c>
      <c r="N35" s="5" t="n">
        <v>0</v>
      </c>
      <c r="O35" s="2" t="inlineStr">
        <is>
          <t>Normal</t>
        </is>
      </c>
    </row>
    <row r="36">
      <c r="A36" s="2" t="inlineStr">
        <is>
          <t>SIP-0035</t>
        </is>
      </c>
      <c r="B36" s="6" t="n">
        <v>45483</v>
      </c>
      <c r="C36" s="2" t="inlineStr">
        <is>
          <t>MUS-063</t>
        </is>
      </c>
      <c r="D36" s="2" t="inlineStr">
        <is>
          <t>TKL-0073</t>
        </is>
      </c>
      <c r="E36" s="2" t="inlineStr">
        <is>
          <t>ST-002</t>
        </is>
      </c>
      <c r="F36" s="2" t="inlineStr">
        <is>
          <t>Uretimde</t>
        </is>
      </c>
      <c r="G36" s="2" t="inlineStr">
        <is>
          <t>EUR</t>
        </is>
      </c>
      <c r="H36" s="5" t="n">
        <v>1.0302</v>
      </c>
      <c r="I36" s="3" t="n">
        <v>43890.92</v>
      </c>
      <c r="J36" s="2" t="inlineStr">
        <is>
          <t>DAP</t>
        </is>
      </c>
      <c r="K36" s="2" t="inlineStr">
        <is>
          <t>Karayolu</t>
        </is>
      </c>
      <c r="L36" s="6" t="n">
        <v>45530</v>
      </c>
      <c r="M36" s="6" t="n">
        <v>45530</v>
      </c>
      <c r="N36" s="5" t="n">
        <v>0</v>
      </c>
      <c r="O36" s="2" t="inlineStr">
        <is>
          <t>Normal</t>
        </is>
      </c>
    </row>
    <row r="37">
      <c r="A37" s="2" t="inlineStr">
        <is>
          <t>SIP-0036</t>
        </is>
      </c>
      <c r="B37" s="6" t="n">
        <v>45500</v>
      </c>
      <c r="C37" s="2" t="inlineStr">
        <is>
          <t>MUS-069</t>
        </is>
      </c>
      <c r="D37" s="2" t="inlineStr">
        <is>
          <t>TKL-0075</t>
        </is>
      </c>
      <c r="E37" s="2" t="inlineStr">
        <is>
          <t>ST-002</t>
        </is>
      </c>
      <c r="F37" s="2" t="inlineStr">
        <is>
          <t>Tamamlandi</t>
        </is>
      </c>
      <c r="G37" s="2" t="inlineStr">
        <is>
          <t>EUR</t>
        </is>
      </c>
      <c r="H37" s="5" t="n">
        <v>1.0302</v>
      </c>
      <c r="I37" s="3" t="n">
        <v>77659.48</v>
      </c>
      <c r="J37" s="2" t="inlineStr">
        <is>
          <t>FCA</t>
        </is>
      </c>
      <c r="K37" s="2" t="inlineStr">
        <is>
          <t>Denizyolu</t>
        </is>
      </c>
      <c r="L37" s="6" t="n">
        <v>45537</v>
      </c>
      <c r="M37" s="6" t="n">
        <v>45537</v>
      </c>
      <c r="N37" s="5" t="n">
        <v>0</v>
      </c>
      <c r="O37" s="2" t="inlineStr">
        <is>
          <t>Normal</t>
        </is>
      </c>
    </row>
    <row r="38">
      <c r="A38" s="2" t="inlineStr">
        <is>
          <t>SIP-0037</t>
        </is>
      </c>
      <c r="B38" s="6" t="n">
        <v>45459</v>
      </c>
      <c r="C38" s="2" t="inlineStr">
        <is>
          <t>MUS-048</t>
        </is>
      </c>
      <c r="D38" s="2" t="inlineStr">
        <is>
          <t>TKL-0076</t>
        </is>
      </c>
      <c r="E38" s="2" t="inlineStr">
        <is>
          <t>ST-001</t>
        </is>
      </c>
      <c r="F38" s="2" t="inlineStr">
        <is>
          <t>Tamamlandi</t>
        </is>
      </c>
      <c r="G38" s="2" t="inlineStr">
        <is>
          <t>EUR</t>
        </is>
      </c>
      <c r="H38" s="5" t="n">
        <v>1.0302</v>
      </c>
      <c r="I38" s="3" t="n">
        <v>37749.48</v>
      </c>
      <c r="J38" s="2" t="inlineStr">
        <is>
          <t>DAP</t>
        </is>
      </c>
      <c r="K38" s="2" t="inlineStr">
        <is>
          <t>Denizyolu</t>
        </is>
      </c>
      <c r="L38" s="6" t="n">
        <v>45506</v>
      </c>
      <c r="M38" s="6" t="n">
        <v>45506</v>
      </c>
      <c r="N38" s="5" t="n">
        <v>0</v>
      </c>
      <c r="O38" s="2" t="inlineStr">
        <is>
          <t>Kritik</t>
        </is>
      </c>
    </row>
    <row r="39">
      <c r="A39" s="2" t="inlineStr">
        <is>
          <t>SIP-0038</t>
        </is>
      </c>
      <c r="B39" s="6" t="n">
        <v>45479</v>
      </c>
      <c r="C39" s="2" t="inlineStr">
        <is>
          <t>MUS-080</t>
        </is>
      </c>
      <c r="D39" s="2" t="inlineStr">
        <is>
          <t>TKL-0077</t>
        </is>
      </c>
      <c r="E39" s="2" t="inlineStr">
        <is>
          <t>ST-006</t>
        </is>
      </c>
      <c r="F39" s="2" t="inlineStr">
        <is>
          <t>Tamamlandi</t>
        </is>
      </c>
      <c r="G39" s="2" t="inlineStr">
        <is>
          <t>USD</t>
        </is>
      </c>
      <c r="H39" s="5" t="n">
        <v>1</v>
      </c>
      <c r="I39" s="3" t="n">
        <v>7599.78</v>
      </c>
      <c r="J39" s="2" t="inlineStr">
        <is>
          <t>CFR</t>
        </is>
      </c>
      <c r="K39" s="2" t="inlineStr">
        <is>
          <t>Denizyolu</t>
        </is>
      </c>
      <c r="L39" s="6" t="n">
        <v>45515</v>
      </c>
      <c r="M39" s="6" t="n">
        <v>45515</v>
      </c>
      <c r="N39" s="5" t="n">
        <v>0</v>
      </c>
      <c r="O39" s="2" t="inlineStr">
        <is>
          <t>Normal</t>
        </is>
      </c>
    </row>
    <row r="40">
      <c r="A40" s="2" t="inlineStr">
        <is>
          <t>SIP-0039</t>
        </is>
      </c>
      <c r="B40" s="6" t="n">
        <v>45524</v>
      </c>
      <c r="C40" s="2" t="inlineStr">
        <is>
          <t>MUS-022</t>
        </is>
      </c>
      <c r="D40" s="2" t="inlineStr">
        <is>
          <t>TKL-0078</t>
        </is>
      </c>
      <c r="E40" s="2" t="inlineStr">
        <is>
          <t>ST-002</t>
        </is>
      </c>
      <c r="F40" s="2" t="inlineStr">
        <is>
          <t>Uretimde</t>
        </is>
      </c>
      <c r="G40" s="2" t="inlineStr">
        <is>
          <t>EUR</t>
        </is>
      </c>
      <c r="H40" s="5" t="n">
        <v>1.0477</v>
      </c>
      <c r="I40" s="3" t="n">
        <v>4962.41</v>
      </c>
      <c r="J40" s="2" t="inlineStr">
        <is>
          <t>DAP</t>
        </is>
      </c>
      <c r="K40" s="2" t="inlineStr">
        <is>
          <t>Denizyolu</t>
        </is>
      </c>
      <c r="L40" s="6" t="n">
        <v>45570</v>
      </c>
      <c r="M40" s="6" t="n">
        <v>45573</v>
      </c>
      <c r="N40" s="5" t="n">
        <v>3</v>
      </c>
      <c r="O40" s="2" t="inlineStr">
        <is>
          <t>Normal</t>
        </is>
      </c>
    </row>
    <row r="41">
      <c r="A41" s="2" t="inlineStr">
        <is>
          <t>SIP-0040</t>
        </is>
      </c>
      <c r="B41" s="6" t="n">
        <v>45535</v>
      </c>
      <c r="C41" s="2" t="inlineStr">
        <is>
          <t>MUS-038</t>
        </is>
      </c>
      <c r="D41" s="2" t="inlineStr">
        <is>
          <t>TKL-0079</t>
        </is>
      </c>
      <c r="E41" s="2" t="inlineStr">
        <is>
          <t>ST-003</t>
        </is>
      </c>
      <c r="F41" s="2" t="inlineStr">
        <is>
          <t>Sevk Edildi</t>
        </is>
      </c>
      <c r="G41" s="2" t="inlineStr">
        <is>
          <t>USD</t>
        </is>
      </c>
      <c r="H41" s="5" t="n">
        <v>1</v>
      </c>
      <c r="I41" s="3" t="n">
        <v>6678.35</v>
      </c>
      <c r="J41" s="2" t="inlineStr">
        <is>
          <t>CIF</t>
        </is>
      </c>
      <c r="K41" s="2" t="inlineStr">
        <is>
          <t>Karayolu</t>
        </is>
      </c>
      <c r="L41" s="6" t="n">
        <v>45565</v>
      </c>
      <c r="M41" s="6" t="n">
        <v>45565</v>
      </c>
      <c r="N41" s="5" t="n">
        <v>0</v>
      </c>
      <c r="O41" s="2" t="inlineStr">
        <is>
          <t>Normal</t>
        </is>
      </c>
    </row>
    <row r="42">
      <c r="A42" s="2" t="inlineStr">
        <is>
          <t>SIP-0041</t>
        </is>
      </c>
      <c r="B42" s="6" t="n">
        <v>45522</v>
      </c>
      <c r="C42" s="2" t="inlineStr">
        <is>
          <t>MUS-084</t>
        </is>
      </c>
      <c r="D42" s="2" t="inlineStr">
        <is>
          <t>TKL-0082</t>
        </is>
      </c>
      <c r="E42" s="2" t="inlineStr">
        <is>
          <t>ST-001</t>
        </is>
      </c>
      <c r="F42" s="2" t="inlineStr">
        <is>
          <t>Uretimde</t>
        </is>
      </c>
      <c r="G42" s="2" t="inlineStr">
        <is>
          <t>EUR</t>
        </is>
      </c>
      <c r="H42" s="5" t="n">
        <v>1.0477</v>
      </c>
      <c r="I42" s="3" t="n">
        <v>3395.49</v>
      </c>
      <c r="J42" s="2" t="inlineStr">
        <is>
          <t>DAP</t>
        </is>
      </c>
      <c r="K42" s="2" t="inlineStr">
        <is>
          <t>Karayolu</t>
        </is>
      </c>
      <c r="L42" s="6" t="n">
        <v>45542</v>
      </c>
      <c r="M42" s="6" t="n">
        <v>45544</v>
      </c>
      <c r="N42" s="5" t="n">
        <v>2</v>
      </c>
      <c r="O42" s="2" t="inlineStr">
        <is>
          <t>Normal</t>
        </is>
      </c>
    </row>
    <row r="43">
      <c r="A43" s="2" t="inlineStr">
        <is>
          <t>SIP-0042</t>
        </is>
      </c>
      <c r="B43" s="6" t="n">
        <v>45496</v>
      </c>
      <c r="C43" s="2" t="inlineStr">
        <is>
          <t>MUS-025</t>
        </is>
      </c>
      <c r="D43" s="2" t="inlineStr">
        <is>
          <t>TKL-0087</t>
        </is>
      </c>
      <c r="E43" s="2" t="inlineStr">
        <is>
          <t>ST-001</t>
        </is>
      </c>
      <c r="F43" s="2" t="inlineStr">
        <is>
          <t>Sevk Edildi</t>
        </is>
      </c>
      <c r="G43" s="2" t="inlineStr">
        <is>
          <t>EUR</t>
        </is>
      </c>
      <c r="H43" s="5" t="n">
        <v>1.0477</v>
      </c>
      <c r="I43" s="3" t="n">
        <v>71227.23</v>
      </c>
      <c r="J43" s="2" t="inlineStr">
        <is>
          <t>DAP</t>
        </is>
      </c>
      <c r="K43" s="2" t="inlineStr">
        <is>
          <t>Karayolu</t>
        </is>
      </c>
      <c r="L43" s="6" t="n">
        <v>45549</v>
      </c>
      <c r="M43" s="6" t="n">
        <v>45561</v>
      </c>
      <c r="N43" s="5" t="n">
        <v>12</v>
      </c>
      <c r="O43" s="2" t="inlineStr">
        <is>
          <t>Yuksek</t>
        </is>
      </c>
    </row>
    <row r="44">
      <c r="A44" s="2" t="inlineStr">
        <is>
          <t>SIP-0043</t>
        </is>
      </c>
      <c r="B44" s="6" t="n">
        <v>45504</v>
      </c>
      <c r="C44" s="2" t="inlineStr">
        <is>
          <t>MUS-031</t>
        </is>
      </c>
      <c r="D44" s="2" t="inlineStr">
        <is>
          <t>TKL-0089</t>
        </is>
      </c>
      <c r="E44" s="2" t="inlineStr">
        <is>
          <t>ST-002</t>
        </is>
      </c>
      <c r="F44" s="2" t="inlineStr">
        <is>
          <t>Tamamlandi</t>
        </is>
      </c>
      <c r="G44" s="2" t="inlineStr">
        <is>
          <t>EUR</t>
        </is>
      </c>
      <c r="H44" s="5" t="n">
        <v>1.0477</v>
      </c>
      <c r="I44" s="3" t="n">
        <v>20473.09</v>
      </c>
      <c r="J44" s="2" t="inlineStr">
        <is>
          <t>DAP</t>
        </is>
      </c>
      <c r="K44" s="2" t="inlineStr">
        <is>
          <t>Karayolu</t>
        </is>
      </c>
      <c r="L44" s="6" t="n">
        <v>45534</v>
      </c>
      <c r="M44" s="6" t="n">
        <v>45542</v>
      </c>
      <c r="N44" s="5" t="n">
        <v>8</v>
      </c>
      <c r="O44" s="2" t="inlineStr">
        <is>
          <t>Normal</t>
        </is>
      </c>
    </row>
    <row r="45">
      <c r="A45" s="2" t="inlineStr">
        <is>
          <t>SIP-0044</t>
        </is>
      </c>
      <c r="B45" s="6" t="n">
        <v>45493</v>
      </c>
      <c r="C45" s="2" t="inlineStr">
        <is>
          <t>MUS-012</t>
        </is>
      </c>
      <c r="D45" s="2" t="inlineStr">
        <is>
          <t>TKL-0090</t>
        </is>
      </c>
      <c r="E45" s="2" t="inlineStr">
        <is>
          <t>ST-001</t>
        </is>
      </c>
      <c r="F45" s="2" t="inlineStr">
        <is>
          <t>Tamamlandi</t>
        </is>
      </c>
      <c r="G45" s="2" t="inlineStr">
        <is>
          <t>EUR</t>
        </is>
      </c>
      <c r="H45" s="5" t="n">
        <v>1.0477</v>
      </c>
      <c r="I45" s="3" t="n">
        <v>34034.84</v>
      </c>
      <c r="J45" s="2" t="inlineStr">
        <is>
          <t>DAP</t>
        </is>
      </c>
      <c r="K45" s="2" t="inlineStr">
        <is>
          <t>Denizyolu</t>
        </is>
      </c>
      <c r="L45" s="6" t="n">
        <v>45532</v>
      </c>
      <c r="M45" s="6" t="n">
        <v>45537</v>
      </c>
      <c r="N45" s="5" t="n">
        <v>5</v>
      </c>
      <c r="O45" s="2" t="inlineStr">
        <is>
          <t>Normal</t>
        </is>
      </c>
    </row>
    <row r="46">
      <c r="A46" s="2" t="inlineStr">
        <is>
          <t>SIP-0045</t>
        </is>
      </c>
      <c r="B46" s="6" t="n">
        <v>45511</v>
      </c>
      <c r="C46" s="2" t="inlineStr">
        <is>
          <t>MUS-068</t>
        </is>
      </c>
      <c r="D46" s="2" t="inlineStr">
        <is>
          <t>TKL-0092</t>
        </is>
      </c>
      <c r="E46" s="2" t="inlineStr">
        <is>
          <t>ST-001</t>
        </is>
      </c>
      <c r="F46" s="2" t="inlineStr">
        <is>
          <t>Tamamlandi</t>
        </is>
      </c>
      <c r="G46" s="2" t="inlineStr">
        <is>
          <t>EUR</t>
        </is>
      </c>
      <c r="H46" s="5" t="n">
        <v>1.0477</v>
      </c>
      <c r="I46" s="3" t="n">
        <v>34991.19</v>
      </c>
      <c r="J46" s="2" t="inlineStr">
        <is>
          <t>DAP</t>
        </is>
      </c>
      <c r="K46" s="2" t="inlineStr">
        <is>
          <t>Denizyolu</t>
        </is>
      </c>
      <c r="L46" s="6" t="n">
        <v>45538</v>
      </c>
      <c r="M46" s="6" t="n">
        <v>45538</v>
      </c>
      <c r="N46" s="5" t="n">
        <v>0</v>
      </c>
      <c r="O46" s="2" t="inlineStr">
        <is>
          <t>Normal</t>
        </is>
      </c>
    </row>
    <row r="47">
      <c r="A47" s="2" t="inlineStr">
        <is>
          <t>SIP-0046</t>
        </is>
      </c>
      <c r="B47" s="6" t="n">
        <v>45497</v>
      </c>
      <c r="C47" s="2" t="inlineStr">
        <is>
          <t>MUS-014</t>
        </is>
      </c>
      <c r="D47" s="2" t="inlineStr">
        <is>
          <t>TKL-0096</t>
        </is>
      </c>
      <c r="E47" s="2" t="inlineStr">
        <is>
          <t>ST-007</t>
        </is>
      </c>
      <c r="F47" s="2" t="inlineStr">
        <is>
          <t>Tamamlandi</t>
        </is>
      </c>
      <c r="G47" s="2" t="inlineStr">
        <is>
          <t>USD</t>
        </is>
      </c>
      <c r="H47" s="5" t="n">
        <v>1</v>
      </c>
      <c r="I47" s="3" t="n">
        <v>34709.52</v>
      </c>
      <c r="J47" s="2" t="inlineStr">
        <is>
          <t>FCA</t>
        </is>
      </c>
      <c r="K47" s="2" t="inlineStr">
        <is>
          <t>Karayolu</t>
        </is>
      </c>
      <c r="L47" s="6" t="n">
        <v>45538</v>
      </c>
      <c r="M47" s="6" t="n">
        <v>45550</v>
      </c>
      <c r="N47" s="5" t="n">
        <v>12</v>
      </c>
      <c r="O47" s="2" t="inlineStr">
        <is>
          <t>Normal</t>
        </is>
      </c>
    </row>
    <row r="48">
      <c r="A48" s="2" t="inlineStr">
        <is>
          <t>SIP-0047</t>
        </is>
      </c>
      <c r="B48" s="6" t="n">
        <v>45513</v>
      </c>
      <c r="C48" s="2" t="inlineStr">
        <is>
          <t>MUS-071</t>
        </is>
      </c>
      <c r="D48" s="2" t="inlineStr">
        <is>
          <t>TKL-0099</t>
        </is>
      </c>
      <c r="E48" s="2" t="inlineStr">
        <is>
          <t>ST-008</t>
        </is>
      </c>
      <c r="F48" s="2" t="inlineStr">
        <is>
          <t>Tamamlandi</t>
        </is>
      </c>
      <c r="G48" s="2" t="inlineStr">
        <is>
          <t>USD</t>
        </is>
      </c>
      <c r="H48" s="5" t="n">
        <v>1</v>
      </c>
      <c r="I48" s="3" t="n">
        <v>46995.01</v>
      </c>
      <c r="J48" s="2" t="inlineStr">
        <is>
          <t>FCA</t>
        </is>
      </c>
      <c r="K48" s="2" t="inlineStr">
        <is>
          <t>Denizyolu</t>
        </is>
      </c>
      <c r="L48" s="6" t="n">
        <v>45548</v>
      </c>
      <c r="M48" s="6" t="n">
        <v>45549</v>
      </c>
      <c r="N48" s="5" t="n">
        <v>1</v>
      </c>
      <c r="O48" s="2" t="inlineStr">
        <is>
          <t>Normal</t>
        </is>
      </c>
    </row>
    <row r="49">
      <c r="A49" s="2" t="inlineStr">
        <is>
          <t>SIP-0048</t>
        </is>
      </c>
      <c r="B49" s="6" t="n">
        <v>45539</v>
      </c>
      <c r="C49" s="2" t="inlineStr">
        <is>
          <t>MUS-056</t>
        </is>
      </c>
      <c r="D49" s="2" t="inlineStr">
        <is>
          <t>TKL-0101</t>
        </is>
      </c>
      <c r="E49" s="2" t="inlineStr">
        <is>
          <t>ST-001</t>
        </is>
      </c>
      <c r="F49" s="2" t="inlineStr">
        <is>
          <t>Sevk Edildi</t>
        </is>
      </c>
      <c r="G49" s="2" t="inlineStr">
        <is>
          <t>EUR</t>
        </is>
      </c>
      <c r="H49" s="5" t="n">
        <v>1.0533</v>
      </c>
      <c r="I49" s="3" t="n">
        <v>30649.52</v>
      </c>
      <c r="J49" s="2" t="inlineStr">
        <is>
          <t>DAP</t>
        </is>
      </c>
      <c r="K49" s="2" t="inlineStr">
        <is>
          <t>Karayolu</t>
        </is>
      </c>
      <c r="L49" s="6" t="n">
        <v>45608</v>
      </c>
      <c r="M49" s="6" t="n">
        <v>45609</v>
      </c>
      <c r="N49" s="5" t="n">
        <v>1</v>
      </c>
      <c r="O49" s="2" t="inlineStr">
        <is>
          <t>Yuksek</t>
        </is>
      </c>
    </row>
    <row r="50">
      <c r="A50" s="2" t="inlineStr">
        <is>
          <t>SIP-0049</t>
        </is>
      </c>
      <c r="B50" s="6" t="n">
        <v>45545</v>
      </c>
      <c r="C50" s="2" t="inlineStr">
        <is>
          <t>MUS-074</t>
        </is>
      </c>
      <c r="D50" s="2" t="inlineStr">
        <is>
          <t>TKL-0102</t>
        </is>
      </c>
      <c r="E50" s="2" t="inlineStr">
        <is>
          <t>ST-007</t>
        </is>
      </c>
      <c r="F50" s="2" t="inlineStr">
        <is>
          <t>Tamamlandi</t>
        </is>
      </c>
      <c r="G50" s="2" t="inlineStr">
        <is>
          <t>USD</t>
        </is>
      </c>
      <c r="H50" s="5" t="n">
        <v>1</v>
      </c>
      <c r="I50" s="3" t="n">
        <v>78975.09</v>
      </c>
      <c r="J50" s="2" t="inlineStr">
        <is>
          <t>FCA</t>
        </is>
      </c>
      <c r="K50" s="2" t="inlineStr">
        <is>
          <t>Karayolu</t>
        </is>
      </c>
      <c r="L50" s="6" t="n">
        <v>45581</v>
      </c>
      <c r="M50" s="6" t="n">
        <v>45581</v>
      </c>
      <c r="N50" s="5" t="n">
        <v>0</v>
      </c>
      <c r="O50" s="2" t="inlineStr">
        <is>
          <t>Yuksek</t>
        </is>
      </c>
    </row>
    <row r="51">
      <c r="A51" s="2" t="inlineStr">
        <is>
          <t>SIP-0050</t>
        </is>
      </c>
      <c r="B51" s="6" t="n">
        <v>45560</v>
      </c>
      <c r="C51" s="2" t="inlineStr">
        <is>
          <t>MUS-081</t>
        </is>
      </c>
      <c r="D51" s="2" t="inlineStr">
        <is>
          <t>TKL-0103</t>
        </is>
      </c>
      <c r="E51" s="2" t="inlineStr">
        <is>
          <t>ST-003</t>
        </is>
      </c>
      <c r="F51" s="2" t="inlineStr">
        <is>
          <t>Uretimde</t>
        </is>
      </c>
      <c r="G51" s="2" t="inlineStr">
        <is>
          <t>USD</t>
        </is>
      </c>
      <c r="H51" s="5" t="n">
        <v>1</v>
      </c>
      <c r="I51" s="3" t="n">
        <v>39733.7</v>
      </c>
      <c r="J51" s="2" t="inlineStr">
        <is>
          <t>CIF</t>
        </is>
      </c>
      <c r="K51" s="2" t="inlineStr">
        <is>
          <t>Denizyolu</t>
        </is>
      </c>
      <c r="L51" s="6" t="n">
        <v>45634</v>
      </c>
      <c r="M51" s="6" t="n">
        <v>45635</v>
      </c>
      <c r="N51" s="5" t="n">
        <v>1</v>
      </c>
      <c r="O51" s="2" t="inlineStr">
        <is>
          <t>Kritik</t>
        </is>
      </c>
    </row>
    <row r="52">
      <c r="A52" s="2" t="inlineStr">
        <is>
          <t>SIP-0051</t>
        </is>
      </c>
      <c r="B52" s="6" t="n">
        <v>45531</v>
      </c>
      <c r="C52" s="2" t="inlineStr">
        <is>
          <t>MUS-067</t>
        </is>
      </c>
      <c r="D52" s="2" t="inlineStr">
        <is>
          <t>TKL-0106</t>
        </is>
      </c>
      <c r="E52" s="2" t="inlineStr">
        <is>
          <t>ST-003</t>
        </is>
      </c>
      <c r="F52" s="2" t="inlineStr">
        <is>
          <t>Tamamlandi</t>
        </is>
      </c>
      <c r="G52" s="2" t="inlineStr">
        <is>
          <t>USD</t>
        </is>
      </c>
      <c r="H52" s="5" t="n">
        <v>1</v>
      </c>
      <c r="I52" s="3" t="n">
        <v>5571.72</v>
      </c>
      <c r="J52" s="2" t="inlineStr">
        <is>
          <t>CIF</t>
        </is>
      </c>
      <c r="K52" s="2" t="inlineStr">
        <is>
          <t>Karayolu</t>
        </is>
      </c>
      <c r="L52" s="6" t="n">
        <v>45570</v>
      </c>
      <c r="M52" s="6" t="n">
        <v>45570</v>
      </c>
      <c r="N52" s="5" t="n">
        <v>0</v>
      </c>
      <c r="O52" s="2" t="inlineStr">
        <is>
          <t>Normal</t>
        </is>
      </c>
    </row>
    <row r="53">
      <c r="A53" s="2" t="inlineStr">
        <is>
          <t>SIP-0052</t>
        </is>
      </c>
      <c r="B53" s="6" t="n">
        <v>45537</v>
      </c>
      <c r="C53" s="2" t="inlineStr">
        <is>
          <t>MUS-003</t>
        </is>
      </c>
      <c r="D53" s="2" t="inlineStr">
        <is>
          <t>TKL-0109</t>
        </is>
      </c>
      <c r="E53" s="2" t="inlineStr">
        <is>
          <t>ST-004</t>
        </is>
      </c>
      <c r="F53" s="2" t="inlineStr">
        <is>
          <t>Tamamlandi</t>
        </is>
      </c>
      <c r="G53" s="2" t="inlineStr">
        <is>
          <t>USD</t>
        </is>
      </c>
      <c r="H53" s="5" t="n">
        <v>1</v>
      </c>
      <c r="I53" s="3" t="n">
        <v>38167.96</v>
      </c>
      <c r="J53" s="2" t="inlineStr">
        <is>
          <t>CIF</t>
        </is>
      </c>
      <c r="K53" s="2" t="inlineStr">
        <is>
          <t>Karayolu</t>
        </is>
      </c>
      <c r="L53" s="6" t="n">
        <v>45594</v>
      </c>
      <c r="M53" s="6" t="n">
        <v>45597</v>
      </c>
      <c r="N53" s="5" t="n">
        <v>3</v>
      </c>
      <c r="O53" s="2" t="inlineStr">
        <is>
          <t>Kritik</t>
        </is>
      </c>
    </row>
    <row r="54">
      <c r="A54" s="2" t="inlineStr">
        <is>
          <t>SIP-0053</t>
        </is>
      </c>
      <c r="B54" s="6" t="n">
        <v>45531</v>
      </c>
      <c r="C54" s="2" t="inlineStr">
        <is>
          <t>MUS-047</t>
        </is>
      </c>
      <c r="D54" s="2" t="inlineStr">
        <is>
          <t>TKL-0110</t>
        </is>
      </c>
      <c r="E54" s="2" t="inlineStr">
        <is>
          <t>ST-005</t>
        </is>
      </c>
      <c r="F54" s="2" t="inlineStr">
        <is>
          <t>Tamamlandi</t>
        </is>
      </c>
      <c r="G54" s="2" t="inlineStr">
        <is>
          <t>USD</t>
        </is>
      </c>
      <c r="H54" s="5" t="n">
        <v>1</v>
      </c>
      <c r="I54" s="3" t="n">
        <v>36958.27</v>
      </c>
      <c r="J54" s="2" t="inlineStr">
        <is>
          <t>CFR</t>
        </is>
      </c>
      <c r="K54" s="2" t="inlineStr">
        <is>
          <t>Denizyolu</t>
        </is>
      </c>
      <c r="L54" s="6" t="n">
        <v>45575</v>
      </c>
      <c r="M54" s="6" t="n">
        <v>45575</v>
      </c>
      <c r="N54" s="5" t="n">
        <v>0</v>
      </c>
      <c r="O54" s="2" t="inlineStr">
        <is>
          <t>Normal</t>
        </is>
      </c>
    </row>
    <row r="55">
      <c r="A55" s="2" t="inlineStr">
        <is>
          <t>SIP-0054</t>
        </is>
      </c>
      <c r="B55" s="6" t="n">
        <v>45522</v>
      </c>
      <c r="C55" s="2" t="inlineStr">
        <is>
          <t>MUS-025</t>
        </is>
      </c>
      <c r="D55" s="2" t="inlineStr">
        <is>
          <t>TKL-0111</t>
        </is>
      </c>
      <c r="E55" s="2" t="inlineStr">
        <is>
          <t>ST-001</t>
        </is>
      </c>
      <c r="F55" s="2" t="inlineStr">
        <is>
          <t>Uretimde</t>
        </is>
      </c>
      <c r="G55" s="2" t="inlineStr">
        <is>
          <t>EUR</t>
        </is>
      </c>
      <c r="H55" s="5" t="n">
        <v>1.0533</v>
      </c>
      <c r="I55" s="3" t="n">
        <v>16666.92</v>
      </c>
      <c r="J55" s="2" t="inlineStr">
        <is>
          <t>DAP</t>
        </is>
      </c>
      <c r="K55" s="2" t="inlineStr">
        <is>
          <t>Karayolu</t>
        </is>
      </c>
      <c r="L55" s="6" t="n">
        <v>45564</v>
      </c>
      <c r="M55" s="6" t="n">
        <v>45569</v>
      </c>
      <c r="N55" s="5" t="n">
        <v>5</v>
      </c>
      <c r="O55" s="2" t="inlineStr">
        <is>
          <t>Normal</t>
        </is>
      </c>
    </row>
    <row r="56">
      <c r="A56" s="2" t="inlineStr">
        <is>
          <t>SIP-0055</t>
        </is>
      </c>
      <c r="B56" s="6" t="n">
        <v>45555</v>
      </c>
      <c r="C56" s="2" t="inlineStr">
        <is>
          <t>MUS-043</t>
        </is>
      </c>
      <c r="D56" s="2" t="inlineStr">
        <is>
          <t>TKL-0112</t>
        </is>
      </c>
      <c r="E56" s="2" t="inlineStr">
        <is>
          <t>ST-002</t>
        </is>
      </c>
      <c r="F56" s="2" t="inlineStr">
        <is>
          <t>Tamamlandi</t>
        </is>
      </c>
      <c r="G56" s="2" t="inlineStr">
        <is>
          <t>EUR</t>
        </is>
      </c>
      <c r="H56" s="5" t="n">
        <v>1.0533</v>
      </c>
      <c r="I56" s="3" t="n">
        <v>42960.43</v>
      </c>
      <c r="J56" s="2" t="inlineStr">
        <is>
          <t>DAP</t>
        </is>
      </c>
      <c r="K56" s="2" t="inlineStr">
        <is>
          <t>Karayolu</t>
        </is>
      </c>
      <c r="L56" s="6" t="n">
        <v>45600</v>
      </c>
      <c r="M56" s="6" t="n">
        <v>45600</v>
      </c>
      <c r="N56" s="5" t="n">
        <v>0</v>
      </c>
      <c r="O56" s="2" t="inlineStr">
        <is>
          <t>Normal</t>
        </is>
      </c>
    </row>
    <row r="57">
      <c r="A57" s="2" t="inlineStr">
        <is>
          <t>SIP-0056</t>
        </is>
      </c>
      <c r="B57" s="6" t="n">
        <v>45517</v>
      </c>
      <c r="C57" s="2" t="inlineStr">
        <is>
          <t>MUS-014</t>
        </is>
      </c>
      <c r="D57" s="2" t="inlineStr">
        <is>
          <t>TKL-0116</t>
        </is>
      </c>
      <c r="E57" s="2" t="inlineStr">
        <is>
          <t>ST-008</t>
        </is>
      </c>
      <c r="F57" s="2" t="inlineStr">
        <is>
          <t>Sevk Edildi</t>
        </is>
      </c>
      <c r="G57" s="2" t="inlineStr">
        <is>
          <t>USD</t>
        </is>
      </c>
      <c r="H57" s="5" t="n">
        <v>1</v>
      </c>
      <c r="I57" s="3" t="n">
        <v>19948.61</v>
      </c>
      <c r="J57" s="2" t="inlineStr">
        <is>
          <t>FCA</t>
        </is>
      </c>
      <c r="K57" s="2" t="inlineStr">
        <is>
          <t>Denizyolu</t>
        </is>
      </c>
      <c r="L57" s="6" t="n">
        <v>45555</v>
      </c>
      <c r="M57" s="6" t="n">
        <v>45555</v>
      </c>
      <c r="N57" s="5" t="n">
        <v>0</v>
      </c>
      <c r="O57" s="2" t="inlineStr">
        <is>
          <t>Normal</t>
        </is>
      </c>
    </row>
    <row r="58">
      <c r="A58" s="2" t="inlineStr">
        <is>
          <t>SIP-0057</t>
        </is>
      </c>
      <c r="B58" s="6" t="n">
        <v>45540</v>
      </c>
      <c r="C58" s="2" t="inlineStr">
        <is>
          <t>MUS-038</t>
        </is>
      </c>
      <c r="D58" s="2" t="inlineStr">
        <is>
          <t>TKL-0117</t>
        </is>
      </c>
      <c r="E58" s="2" t="inlineStr">
        <is>
          <t>ST-004</t>
        </is>
      </c>
      <c r="F58" s="2" t="inlineStr">
        <is>
          <t>Tamamlandi</t>
        </is>
      </c>
      <c r="G58" s="2" t="inlineStr">
        <is>
          <t>USD</t>
        </is>
      </c>
      <c r="H58" s="5" t="n">
        <v>1</v>
      </c>
      <c r="I58" s="3" t="n">
        <v>61934.62</v>
      </c>
      <c r="J58" s="2" t="inlineStr">
        <is>
          <t>CIF</t>
        </is>
      </c>
      <c r="K58" s="2" t="inlineStr">
        <is>
          <t>Karayolu</t>
        </is>
      </c>
      <c r="L58" s="6" t="n">
        <v>45591</v>
      </c>
      <c r="M58" s="6" t="n">
        <v>45591</v>
      </c>
      <c r="N58" s="5" t="n">
        <v>0</v>
      </c>
      <c r="O58" s="2" t="inlineStr">
        <is>
          <t>Normal</t>
        </is>
      </c>
    </row>
    <row r="59">
      <c r="A59" s="2" t="inlineStr">
        <is>
          <t>SIP-0058</t>
        </is>
      </c>
      <c r="B59" s="6" t="n">
        <v>45527</v>
      </c>
      <c r="C59" s="2" t="inlineStr">
        <is>
          <t>MUS-037</t>
        </is>
      </c>
      <c r="D59" s="2" t="inlineStr">
        <is>
          <t>TKL-0120</t>
        </is>
      </c>
      <c r="E59" s="2" t="inlineStr">
        <is>
          <t>ST-002</t>
        </is>
      </c>
      <c r="F59" s="2" t="inlineStr">
        <is>
          <t>Tamamlandi</t>
        </is>
      </c>
      <c r="G59" s="2" t="inlineStr">
        <is>
          <t>EUR</t>
        </is>
      </c>
      <c r="H59" s="5" t="n">
        <v>1.0533</v>
      </c>
      <c r="I59" s="3" t="n">
        <v>46524.54</v>
      </c>
      <c r="J59" s="2" t="inlineStr">
        <is>
          <t>DAP</t>
        </is>
      </c>
      <c r="K59" s="2" t="inlineStr">
        <is>
          <t>Karayolu</t>
        </is>
      </c>
      <c r="L59" s="6" t="n">
        <v>45568</v>
      </c>
      <c r="M59" s="6" t="n">
        <v>45568</v>
      </c>
      <c r="N59" s="5" t="n">
        <v>0</v>
      </c>
      <c r="O59" s="2" t="inlineStr">
        <is>
          <t>Normal</t>
        </is>
      </c>
    </row>
    <row r="60">
      <c r="A60" s="2" t="inlineStr">
        <is>
          <t>SIP-0059</t>
        </is>
      </c>
      <c r="B60" s="6" t="n">
        <v>45556</v>
      </c>
      <c r="C60" s="2" t="inlineStr">
        <is>
          <t>MUS-072</t>
        </is>
      </c>
      <c r="D60" s="2" t="inlineStr">
        <is>
          <t>TKL-0121</t>
        </is>
      </c>
      <c r="E60" s="2" t="inlineStr">
        <is>
          <t>ST-001</t>
        </is>
      </c>
      <c r="F60" s="2" t="inlineStr">
        <is>
          <t>Tamamlandi</t>
        </is>
      </c>
      <c r="G60" s="2" t="inlineStr">
        <is>
          <t>EUR</t>
        </is>
      </c>
      <c r="H60" s="5" t="n">
        <v>1.0533</v>
      </c>
      <c r="I60" s="3" t="n">
        <v>13560.99</v>
      </c>
      <c r="J60" s="2" t="inlineStr">
        <is>
          <t>DAP</t>
        </is>
      </c>
      <c r="K60" s="2" t="inlineStr">
        <is>
          <t>Karayolu</t>
        </is>
      </c>
      <c r="L60" s="6" t="n">
        <v>45608</v>
      </c>
      <c r="M60" s="6" t="n">
        <v>45611</v>
      </c>
      <c r="N60" s="5" t="n">
        <v>3</v>
      </c>
      <c r="O60" s="2" t="inlineStr">
        <is>
          <t>Normal</t>
        </is>
      </c>
    </row>
    <row r="61">
      <c r="A61" s="2" t="inlineStr">
        <is>
          <t>SIP-0060</t>
        </is>
      </c>
      <c r="B61" s="6" t="n">
        <v>45576</v>
      </c>
      <c r="C61" s="2" t="inlineStr">
        <is>
          <t>MUS-065</t>
        </is>
      </c>
      <c r="D61" s="2" t="inlineStr">
        <is>
          <t>TKL-0128</t>
        </is>
      </c>
      <c r="E61" s="2" t="inlineStr">
        <is>
          <t>ST-005</t>
        </is>
      </c>
      <c r="F61" s="2" t="inlineStr">
        <is>
          <t>Uretimde</t>
        </is>
      </c>
      <c r="G61" s="2" t="inlineStr">
        <is>
          <t>USD</t>
        </is>
      </c>
      <c r="H61" s="5" t="n">
        <v>1</v>
      </c>
      <c r="I61" s="3" t="n">
        <v>45087.35</v>
      </c>
      <c r="J61" s="2" t="inlineStr">
        <is>
          <t>CFR</t>
        </is>
      </c>
      <c r="K61" s="2" t="inlineStr">
        <is>
          <t>Karayolu</t>
        </is>
      </c>
      <c r="L61" s="6" t="n">
        <v>45609</v>
      </c>
      <c r="M61" s="6" t="n">
        <v>45609</v>
      </c>
      <c r="N61" s="5" t="n">
        <v>0</v>
      </c>
      <c r="O61" s="2" t="inlineStr">
        <is>
          <t>Normal</t>
        </is>
      </c>
    </row>
    <row r="62">
      <c r="A62" s="2" t="inlineStr">
        <is>
          <t>SIP-0061</t>
        </is>
      </c>
      <c r="B62" s="6" t="n">
        <v>45567</v>
      </c>
      <c r="C62" s="2" t="inlineStr">
        <is>
          <t>MUS-064</t>
        </is>
      </c>
      <c r="D62" s="2" t="inlineStr">
        <is>
          <t>TKL-0129</t>
        </is>
      </c>
      <c r="E62" s="2" t="inlineStr">
        <is>
          <t>ST-002</t>
        </is>
      </c>
      <c r="F62" s="2" t="inlineStr">
        <is>
          <t>Tamamlandi</t>
        </is>
      </c>
      <c r="G62" s="2" t="inlineStr">
        <is>
          <t>EUR</t>
        </is>
      </c>
      <c r="H62" s="5" t="n">
        <v>1.0776</v>
      </c>
      <c r="I62" s="3" t="n">
        <v>17092.42</v>
      </c>
      <c r="J62" s="2" t="inlineStr">
        <is>
          <t>FCA</t>
        </is>
      </c>
      <c r="K62" s="2" t="inlineStr">
        <is>
          <t>Karayolu</t>
        </is>
      </c>
      <c r="L62" s="6" t="n">
        <v>45602</v>
      </c>
      <c r="M62" s="6" t="n">
        <v>45602</v>
      </c>
      <c r="N62" s="5" t="n">
        <v>0</v>
      </c>
      <c r="O62" s="2" t="inlineStr">
        <is>
          <t>Normal</t>
        </is>
      </c>
    </row>
    <row r="63">
      <c r="A63" s="2" t="inlineStr">
        <is>
          <t>SIP-0062</t>
        </is>
      </c>
      <c r="B63" s="6" t="n">
        <v>45580</v>
      </c>
      <c r="C63" s="2" t="inlineStr">
        <is>
          <t>MUS-051</t>
        </is>
      </c>
      <c r="D63" s="2" t="inlineStr">
        <is>
          <t>TKL-0130</t>
        </is>
      </c>
      <c r="E63" s="2" t="inlineStr">
        <is>
          <t>ST-002</t>
        </is>
      </c>
      <c r="F63" s="2" t="inlineStr">
        <is>
          <t>Sevk Edildi</t>
        </is>
      </c>
      <c r="G63" s="2" t="inlineStr">
        <is>
          <t>EUR</t>
        </is>
      </c>
      <c r="H63" s="5" t="n">
        <v>1.0776</v>
      </c>
      <c r="I63" s="3" t="n">
        <v>33154.36</v>
      </c>
      <c r="J63" s="2" t="inlineStr">
        <is>
          <t>DAP</t>
        </is>
      </c>
      <c r="K63" s="2" t="inlineStr">
        <is>
          <t>Denizyolu</t>
        </is>
      </c>
      <c r="L63" s="6" t="n">
        <v>45624</v>
      </c>
      <c r="M63" s="6" t="n">
        <v>45624</v>
      </c>
      <c r="N63" s="5" t="n">
        <v>0</v>
      </c>
      <c r="O63" s="2" t="inlineStr">
        <is>
          <t>Normal</t>
        </is>
      </c>
    </row>
    <row r="64">
      <c r="A64" s="2" t="inlineStr">
        <is>
          <t>SIP-0063</t>
        </is>
      </c>
      <c r="B64" s="6" t="n">
        <v>45560</v>
      </c>
      <c r="C64" s="2" t="inlineStr">
        <is>
          <t>MUS-074</t>
        </is>
      </c>
      <c r="D64" s="2" t="inlineStr">
        <is>
          <t>TKL-0131</t>
        </is>
      </c>
      <c r="E64" s="2" t="inlineStr">
        <is>
          <t>ST-008</t>
        </is>
      </c>
      <c r="F64" s="2" t="inlineStr">
        <is>
          <t>Sevk Edildi</t>
        </is>
      </c>
      <c r="G64" s="2" t="inlineStr">
        <is>
          <t>USD</t>
        </is>
      </c>
      <c r="H64" s="5" t="n">
        <v>1</v>
      </c>
      <c r="I64" s="3" t="n">
        <v>63069.55</v>
      </c>
      <c r="J64" s="2" t="inlineStr">
        <is>
          <t>FCA</t>
        </is>
      </c>
      <c r="K64" s="2" t="inlineStr">
        <is>
          <t>Karayolu</t>
        </is>
      </c>
      <c r="L64" s="6" t="n">
        <v>45589</v>
      </c>
      <c r="M64" s="6" t="n">
        <v>45589</v>
      </c>
      <c r="N64" s="5" t="n">
        <v>0</v>
      </c>
      <c r="O64" s="2" t="inlineStr">
        <is>
          <t>Normal</t>
        </is>
      </c>
    </row>
    <row r="65">
      <c r="A65" s="2" t="inlineStr">
        <is>
          <t>SIP-0064</t>
        </is>
      </c>
      <c r="B65" s="6" t="n">
        <v>45568</v>
      </c>
      <c r="C65" s="2" t="inlineStr">
        <is>
          <t>MUS-047</t>
        </is>
      </c>
      <c r="D65" s="2" t="inlineStr">
        <is>
          <t>TKL-0132</t>
        </is>
      </c>
      <c r="E65" s="2" t="inlineStr">
        <is>
          <t>ST-006</t>
        </is>
      </c>
      <c r="F65" s="2" t="inlineStr">
        <is>
          <t>Tamamlandi</t>
        </is>
      </c>
      <c r="G65" s="2" t="inlineStr">
        <is>
          <t>USD</t>
        </is>
      </c>
      <c r="H65" s="5" t="n">
        <v>1</v>
      </c>
      <c r="I65" s="3" t="n">
        <v>98823.10000000001</v>
      </c>
      <c r="J65" s="2" t="inlineStr">
        <is>
          <t>CFR</t>
        </is>
      </c>
      <c r="K65" s="2" t="inlineStr">
        <is>
          <t>Denizyolu</t>
        </is>
      </c>
      <c r="L65" s="6" t="n">
        <v>45639</v>
      </c>
      <c r="M65" s="6" t="n">
        <v>45641</v>
      </c>
      <c r="N65" s="5" t="n">
        <v>2</v>
      </c>
      <c r="O65" s="2" t="inlineStr">
        <is>
          <t>Kritik</t>
        </is>
      </c>
    </row>
    <row r="66">
      <c r="A66" s="2" t="inlineStr">
        <is>
          <t>SIP-0065</t>
        </is>
      </c>
      <c r="B66" s="6" t="n">
        <v>45589</v>
      </c>
      <c r="C66" s="2" t="inlineStr">
        <is>
          <t>MUS-082</t>
        </is>
      </c>
      <c r="D66" s="2" t="inlineStr">
        <is>
          <t>TKL-0134</t>
        </is>
      </c>
      <c r="E66" s="2" t="inlineStr">
        <is>
          <t>ST-002</t>
        </is>
      </c>
      <c r="F66" s="2" t="inlineStr">
        <is>
          <t>Tamamlandi</t>
        </is>
      </c>
      <c r="G66" s="2" t="inlineStr">
        <is>
          <t>EUR</t>
        </is>
      </c>
      <c r="H66" s="5" t="n">
        <v>1.0776</v>
      </c>
      <c r="I66" s="3" t="n">
        <v>23465.66</v>
      </c>
      <c r="J66" s="2" t="inlineStr">
        <is>
          <t>DAP</t>
        </is>
      </c>
      <c r="K66" s="2" t="inlineStr">
        <is>
          <t>Denizyolu</t>
        </is>
      </c>
      <c r="L66" s="6" t="n">
        <v>45663</v>
      </c>
      <c r="M66" s="6" t="n">
        <v>45663</v>
      </c>
      <c r="N66" s="5" t="n">
        <v>0</v>
      </c>
      <c r="O66" s="2" t="inlineStr">
        <is>
          <t>Yuksek</t>
        </is>
      </c>
    </row>
    <row r="67">
      <c r="A67" s="2" t="inlineStr">
        <is>
          <t>SIP-0066</t>
        </is>
      </c>
      <c r="B67" s="6" t="n">
        <v>45567</v>
      </c>
      <c r="C67" s="2" t="inlineStr">
        <is>
          <t>MUS-083</t>
        </is>
      </c>
      <c r="D67" s="2" t="inlineStr">
        <is>
          <t>TKL-0135</t>
        </is>
      </c>
      <c r="E67" s="2" t="inlineStr">
        <is>
          <t>ST-001</t>
        </is>
      </c>
      <c r="F67" s="2" t="inlineStr">
        <is>
          <t>Uretimde</t>
        </is>
      </c>
      <c r="G67" s="2" t="inlineStr">
        <is>
          <t>EUR</t>
        </is>
      </c>
      <c r="H67" s="5" t="n">
        <v>1.0776</v>
      </c>
      <c r="I67" s="3" t="n">
        <v>10540.92</v>
      </c>
      <c r="J67" s="2" t="inlineStr">
        <is>
          <t>DAP</t>
        </is>
      </c>
      <c r="K67" s="2" t="inlineStr">
        <is>
          <t>Karayolu</t>
        </is>
      </c>
      <c r="L67" s="6" t="n">
        <v>45583</v>
      </c>
      <c r="M67" s="6" t="n">
        <v>45585</v>
      </c>
      <c r="N67" s="5" t="n">
        <v>2</v>
      </c>
      <c r="O67" s="2" t="inlineStr">
        <is>
          <t>Normal</t>
        </is>
      </c>
    </row>
    <row r="68">
      <c r="A68" s="2" t="inlineStr">
        <is>
          <t>SIP-0067</t>
        </is>
      </c>
      <c r="B68" s="6" t="n">
        <v>45588</v>
      </c>
      <c r="C68" s="2" t="inlineStr">
        <is>
          <t>MUS-077</t>
        </is>
      </c>
      <c r="D68" s="2" t="inlineStr">
        <is>
          <t>TKL-0136</t>
        </is>
      </c>
      <c r="E68" s="2" t="inlineStr">
        <is>
          <t>ST-002</t>
        </is>
      </c>
      <c r="F68" s="2" t="inlineStr">
        <is>
          <t>Tamamlandi</t>
        </is>
      </c>
      <c r="G68" s="2" t="inlineStr">
        <is>
          <t>EUR</t>
        </is>
      </c>
      <c r="H68" s="5" t="n">
        <v>1.0776</v>
      </c>
      <c r="I68" s="3" t="n">
        <v>43733.57</v>
      </c>
      <c r="J68" s="2" t="inlineStr">
        <is>
          <t>DAP</t>
        </is>
      </c>
      <c r="K68" s="2" t="inlineStr">
        <is>
          <t>Karayolu</t>
        </is>
      </c>
      <c r="L68" s="6" t="n">
        <v>45634</v>
      </c>
      <c r="M68" s="6" t="n">
        <v>45634</v>
      </c>
      <c r="N68" s="5" t="n">
        <v>0</v>
      </c>
      <c r="O68" s="2" t="inlineStr">
        <is>
          <t>Normal</t>
        </is>
      </c>
    </row>
    <row r="69">
      <c r="A69" s="2" t="inlineStr">
        <is>
          <t>SIP-0068</t>
        </is>
      </c>
      <c r="B69" s="6" t="n">
        <v>45559</v>
      </c>
      <c r="C69" s="2" t="inlineStr">
        <is>
          <t>MUS-025</t>
        </is>
      </c>
      <c r="D69" s="2" t="inlineStr">
        <is>
          <t>TKL-0137</t>
        </is>
      </c>
      <c r="E69" s="2" t="inlineStr">
        <is>
          <t>ST-002</t>
        </is>
      </c>
      <c r="F69" s="2" t="inlineStr">
        <is>
          <t>Tamamlandi</t>
        </is>
      </c>
      <c r="G69" s="2" t="inlineStr">
        <is>
          <t>EUR</t>
        </is>
      </c>
      <c r="H69" s="5" t="n">
        <v>1.0776</v>
      </c>
      <c r="I69" s="3" t="n">
        <v>38735.35</v>
      </c>
      <c r="J69" s="2" t="inlineStr">
        <is>
          <t>DAP</t>
        </is>
      </c>
      <c r="K69" s="2" t="inlineStr">
        <is>
          <t>Karayolu</t>
        </is>
      </c>
      <c r="L69" s="6" t="n">
        <v>45627</v>
      </c>
      <c r="M69" s="6" t="n">
        <v>45627</v>
      </c>
      <c r="N69" s="5" t="n">
        <v>0</v>
      </c>
      <c r="O69" s="2" t="inlineStr">
        <is>
          <t>Yuksek</t>
        </is>
      </c>
    </row>
    <row r="70">
      <c r="A70" s="2" t="inlineStr">
        <is>
          <t>SIP-0069</t>
        </is>
      </c>
      <c r="B70" s="6" t="n">
        <v>45570</v>
      </c>
      <c r="C70" s="2" t="inlineStr">
        <is>
          <t>MUS-081</t>
        </is>
      </c>
      <c r="D70" s="2" t="inlineStr">
        <is>
          <t>TKL-0141</t>
        </is>
      </c>
      <c r="E70" s="2" t="inlineStr">
        <is>
          <t>ST-003</t>
        </is>
      </c>
      <c r="F70" s="2" t="inlineStr">
        <is>
          <t>Tamamlandi</t>
        </is>
      </c>
      <c r="G70" s="2" t="inlineStr">
        <is>
          <t>USD</t>
        </is>
      </c>
      <c r="H70" s="5" t="n">
        <v>1</v>
      </c>
      <c r="I70" s="3" t="n">
        <v>38064.42</v>
      </c>
      <c r="J70" s="2" t="inlineStr">
        <is>
          <t>CIF</t>
        </is>
      </c>
      <c r="K70" s="2" t="inlineStr">
        <is>
          <t>Denizyolu</t>
        </is>
      </c>
      <c r="L70" s="6" t="n">
        <v>45612</v>
      </c>
      <c r="M70" s="6" t="n">
        <v>45613</v>
      </c>
      <c r="N70" s="5" t="n">
        <v>1</v>
      </c>
      <c r="O70" s="2" t="inlineStr">
        <is>
          <t>Normal</t>
        </is>
      </c>
    </row>
    <row r="71">
      <c r="A71" s="2" t="inlineStr">
        <is>
          <t>SIP-0070</t>
        </is>
      </c>
      <c r="B71" s="6" t="n">
        <v>45557</v>
      </c>
      <c r="C71" s="2" t="inlineStr">
        <is>
          <t>MUS-026</t>
        </is>
      </c>
      <c r="D71" s="2" t="inlineStr">
        <is>
          <t>TKL-0142</t>
        </is>
      </c>
      <c r="E71" s="2" t="inlineStr">
        <is>
          <t>ST-001</t>
        </is>
      </c>
      <c r="F71" s="2" t="inlineStr">
        <is>
          <t>Sevk Edildi</t>
        </is>
      </c>
      <c r="G71" s="2" t="inlineStr">
        <is>
          <t>EUR</t>
        </is>
      </c>
      <c r="H71" s="5" t="n">
        <v>1.0776</v>
      </c>
      <c r="I71" s="3" t="n">
        <v>19796.88</v>
      </c>
      <c r="J71" s="2" t="inlineStr">
        <is>
          <t>FCA</t>
        </is>
      </c>
      <c r="K71" s="2" t="inlineStr">
        <is>
          <t>Denizyolu</t>
        </is>
      </c>
      <c r="L71" s="6" t="n">
        <v>45583</v>
      </c>
      <c r="M71" s="6" t="n">
        <v>45591</v>
      </c>
      <c r="N71" s="5" t="n">
        <v>8</v>
      </c>
      <c r="O71" s="2" t="inlineStr">
        <is>
          <t>Normal</t>
        </is>
      </c>
    </row>
    <row r="72">
      <c r="A72" s="2" t="inlineStr">
        <is>
          <t>SIP-0071</t>
        </is>
      </c>
      <c r="B72" s="6" t="n">
        <v>45602</v>
      </c>
      <c r="C72" s="2" t="inlineStr">
        <is>
          <t>MUS-046</t>
        </is>
      </c>
      <c r="D72" s="2" t="inlineStr">
        <is>
          <t>TKL-0143</t>
        </is>
      </c>
      <c r="E72" s="2" t="inlineStr">
        <is>
          <t>ST-001</t>
        </is>
      </c>
      <c r="F72" s="2" t="inlineStr">
        <is>
          <t>Tamamlandi</t>
        </is>
      </c>
      <c r="G72" s="2" t="inlineStr">
        <is>
          <t>EUR</t>
        </is>
      </c>
      <c r="H72" s="5" t="n">
        <v>1.1016</v>
      </c>
      <c r="I72" s="3" t="n">
        <v>20743.35</v>
      </c>
      <c r="J72" s="2" t="inlineStr">
        <is>
          <t>FCA</t>
        </is>
      </c>
      <c r="K72" s="2" t="inlineStr">
        <is>
          <t>Denizyolu</t>
        </is>
      </c>
      <c r="L72" s="6" t="n">
        <v>45647</v>
      </c>
      <c r="M72" s="6" t="n">
        <v>45647</v>
      </c>
      <c r="N72" s="5" t="n">
        <v>0</v>
      </c>
      <c r="O72" s="2" t="inlineStr">
        <is>
          <t>Normal</t>
        </is>
      </c>
    </row>
    <row r="73">
      <c r="A73" s="2" t="inlineStr">
        <is>
          <t>SIP-0072</t>
        </is>
      </c>
      <c r="B73" s="6" t="n">
        <v>45599</v>
      </c>
      <c r="C73" s="2" t="inlineStr">
        <is>
          <t>MUS-059</t>
        </is>
      </c>
      <c r="D73" s="2" t="inlineStr">
        <is>
          <t>TKL-0144</t>
        </is>
      </c>
      <c r="E73" s="2" t="inlineStr">
        <is>
          <t>ST-003</t>
        </is>
      </c>
      <c r="F73" s="2" t="inlineStr">
        <is>
          <t>Tamamlandi</t>
        </is>
      </c>
      <c r="G73" s="2" t="inlineStr">
        <is>
          <t>USD</t>
        </is>
      </c>
      <c r="H73" s="5" t="n">
        <v>1</v>
      </c>
      <c r="I73" s="3" t="n">
        <v>45587.66</v>
      </c>
      <c r="J73" s="2" t="inlineStr">
        <is>
          <t>CIF</t>
        </is>
      </c>
      <c r="K73" s="2" t="inlineStr">
        <is>
          <t>Denizyolu</t>
        </is>
      </c>
      <c r="L73" s="6" t="n">
        <v>45642</v>
      </c>
      <c r="M73" s="6" t="n">
        <v>45642</v>
      </c>
      <c r="N73" s="5" t="n">
        <v>0</v>
      </c>
      <c r="O73" s="2" t="inlineStr">
        <is>
          <t>Normal</t>
        </is>
      </c>
    </row>
    <row r="74">
      <c r="A74" s="2" t="inlineStr">
        <is>
          <t>SIP-0073</t>
        </is>
      </c>
      <c r="B74" s="6" t="n">
        <v>45590</v>
      </c>
      <c r="C74" s="2" t="inlineStr">
        <is>
          <t>MUS-072</t>
        </is>
      </c>
      <c r="D74" s="2" t="inlineStr">
        <is>
          <t>TKL-0146</t>
        </is>
      </c>
      <c r="E74" s="2" t="inlineStr">
        <is>
          <t>ST-002</t>
        </is>
      </c>
      <c r="F74" s="2" t="inlineStr">
        <is>
          <t>Sevk Edildi</t>
        </is>
      </c>
      <c r="G74" s="2" t="inlineStr">
        <is>
          <t>EUR</t>
        </is>
      </c>
      <c r="H74" s="5" t="n">
        <v>1.1016</v>
      </c>
      <c r="I74" s="3" t="n">
        <v>69744.95</v>
      </c>
      <c r="J74" s="2" t="inlineStr">
        <is>
          <t>DAP</t>
        </is>
      </c>
      <c r="K74" s="2" t="inlineStr">
        <is>
          <t>Denizyolu</t>
        </is>
      </c>
      <c r="L74" s="6" t="n">
        <v>45636</v>
      </c>
      <c r="M74" s="6" t="n">
        <v>45636</v>
      </c>
      <c r="N74" s="5" t="n">
        <v>0</v>
      </c>
      <c r="O74" s="2" t="inlineStr">
        <is>
          <t>Yuksek</t>
        </is>
      </c>
    </row>
    <row r="75">
      <c r="A75" s="2" t="inlineStr">
        <is>
          <t>SIP-0074</t>
        </is>
      </c>
      <c r="B75" s="6" t="n">
        <v>45601</v>
      </c>
      <c r="C75" s="2" t="inlineStr">
        <is>
          <t>MUS-070</t>
        </is>
      </c>
      <c r="D75" s="2" t="inlineStr">
        <is>
          <t>TKL-0149</t>
        </is>
      </c>
      <c r="E75" s="2" t="inlineStr">
        <is>
          <t>ST-001</t>
        </is>
      </c>
      <c r="F75" s="2" t="inlineStr">
        <is>
          <t>Tamamlandi</t>
        </is>
      </c>
      <c r="G75" s="2" t="inlineStr">
        <is>
          <t>EUR</t>
        </is>
      </c>
      <c r="H75" s="5" t="n">
        <v>1.1016</v>
      </c>
      <c r="I75" s="3" t="n">
        <v>6142.76</v>
      </c>
      <c r="J75" s="2" t="inlineStr">
        <is>
          <t>DAP</t>
        </is>
      </c>
      <c r="K75" s="2" t="inlineStr">
        <is>
          <t>Havayolu</t>
        </is>
      </c>
      <c r="L75" s="6" t="n">
        <v>45623</v>
      </c>
      <c r="M75" s="6" t="n">
        <v>45623</v>
      </c>
      <c r="N75" s="5" t="n">
        <v>0</v>
      </c>
      <c r="O75" s="2" t="inlineStr">
        <is>
          <t>Normal</t>
        </is>
      </c>
    </row>
    <row r="76">
      <c r="A76" s="2" t="inlineStr">
        <is>
          <t>SIP-0075</t>
        </is>
      </c>
      <c r="B76" s="6" t="n">
        <v>45626</v>
      </c>
      <c r="C76" s="2" t="inlineStr">
        <is>
          <t>MUS-063</t>
        </is>
      </c>
      <c r="D76" s="2" t="inlineStr">
        <is>
          <t>TKL-0150</t>
        </is>
      </c>
      <c r="E76" s="2" t="inlineStr">
        <is>
          <t>ST-001</t>
        </is>
      </c>
      <c r="F76" s="2" t="inlineStr">
        <is>
          <t>Tamamlandi</t>
        </is>
      </c>
      <c r="G76" s="2" t="inlineStr">
        <is>
          <t>EUR</t>
        </is>
      </c>
      <c r="H76" s="5" t="n">
        <v>1.1016</v>
      </c>
      <c r="I76" s="3" t="n">
        <v>13300.46</v>
      </c>
      <c r="J76" s="2" t="inlineStr">
        <is>
          <t>DAP</t>
        </is>
      </c>
      <c r="K76" s="2" t="inlineStr">
        <is>
          <t>Karayolu</t>
        </is>
      </c>
      <c r="L76" s="6" t="n">
        <v>45667</v>
      </c>
      <c r="M76" s="6" t="n">
        <v>45670</v>
      </c>
      <c r="N76" s="5" t="n">
        <v>3</v>
      </c>
      <c r="O76" s="2" t="inlineStr">
        <is>
          <t>Normal</t>
        </is>
      </c>
    </row>
    <row r="77">
      <c r="A77" s="2" t="inlineStr">
        <is>
          <t>SIP-0076</t>
        </is>
      </c>
      <c r="B77" s="6" t="n">
        <v>45624</v>
      </c>
      <c r="C77" s="2" t="inlineStr">
        <is>
          <t>MUS-078</t>
        </is>
      </c>
      <c r="D77" s="2" t="inlineStr">
        <is>
          <t>TKL-0151</t>
        </is>
      </c>
      <c r="E77" s="2" t="inlineStr">
        <is>
          <t>ST-002</t>
        </is>
      </c>
      <c r="F77" s="2" t="inlineStr">
        <is>
          <t>Uretimde</t>
        </is>
      </c>
      <c r="G77" s="2" t="inlineStr">
        <is>
          <t>EUR</t>
        </is>
      </c>
      <c r="H77" s="5" t="n">
        <v>1.1016</v>
      </c>
      <c r="I77" s="3" t="n">
        <v>46244.6</v>
      </c>
      <c r="J77" s="2" t="inlineStr">
        <is>
          <t>DAP</t>
        </is>
      </c>
      <c r="K77" s="2" t="inlineStr">
        <is>
          <t>Karayolu</t>
        </is>
      </c>
      <c r="L77" s="6" t="n">
        <v>45667</v>
      </c>
      <c r="M77" s="6" t="n">
        <v>45668</v>
      </c>
      <c r="N77" s="5" t="n">
        <v>1</v>
      </c>
      <c r="O77" s="2" t="inlineStr">
        <is>
          <t>Normal</t>
        </is>
      </c>
    </row>
    <row r="78">
      <c r="A78" s="2" t="inlineStr">
        <is>
          <t>SIP-0077</t>
        </is>
      </c>
      <c r="B78" s="6" t="n">
        <v>45603</v>
      </c>
      <c r="C78" s="2" t="inlineStr">
        <is>
          <t>MUS-045</t>
        </is>
      </c>
      <c r="D78" s="2" t="inlineStr">
        <is>
          <t>TKL-0152</t>
        </is>
      </c>
      <c r="E78" s="2" t="inlineStr">
        <is>
          <t>ST-008</t>
        </is>
      </c>
      <c r="F78" s="2" t="inlineStr">
        <is>
          <t>Tamamlandi</t>
        </is>
      </c>
      <c r="G78" s="2" t="inlineStr">
        <is>
          <t>USD</t>
        </is>
      </c>
      <c r="H78" s="5" t="n">
        <v>1</v>
      </c>
      <c r="I78" s="3" t="n">
        <v>41458.7</v>
      </c>
      <c r="J78" s="2" t="inlineStr">
        <is>
          <t>FCA</t>
        </is>
      </c>
      <c r="K78" s="2" t="inlineStr">
        <is>
          <t>Karayolu</t>
        </is>
      </c>
      <c r="L78" s="6" t="n">
        <v>45659</v>
      </c>
      <c r="M78" s="6" t="n">
        <v>45664</v>
      </c>
      <c r="N78" s="5" t="n">
        <v>5</v>
      </c>
      <c r="O78" s="2" t="inlineStr">
        <is>
          <t>Kritik</t>
        </is>
      </c>
    </row>
    <row r="79">
      <c r="A79" s="2" t="inlineStr">
        <is>
          <t>SIP-0078</t>
        </is>
      </c>
      <c r="B79" s="6" t="n">
        <v>45609</v>
      </c>
      <c r="C79" s="2" t="inlineStr">
        <is>
          <t>MUS-005</t>
        </is>
      </c>
      <c r="D79" s="2" t="inlineStr">
        <is>
          <t>TKL-0154</t>
        </is>
      </c>
      <c r="E79" s="2" t="inlineStr">
        <is>
          <t>ST-001</t>
        </is>
      </c>
      <c r="F79" s="2" t="inlineStr">
        <is>
          <t>Sevk Edildi</t>
        </is>
      </c>
      <c r="G79" s="2" t="inlineStr">
        <is>
          <t>EUR</t>
        </is>
      </c>
      <c r="H79" s="5" t="n">
        <v>1.1016</v>
      </c>
      <c r="I79" s="3" t="n">
        <v>6387.2</v>
      </c>
      <c r="J79" s="2" t="inlineStr">
        <is>
          <t>DAP</t>
        </is>
      </c>
      <c r="K79" s="2" t="inlineStr">
        <is>
          <t>Karayolu</t>
        </is>
      </c>
      <c r="L79" s="6" t="n">
        <v>45634</v>
      </c>
      <c r="M79" s="6" t="n">
        <v>45634</v>
      </c>
      <c r="N79" s="5" t="n">
        <v>0</v>
      </c>
      <c r="O79" s="2" t="inlineStr">
        <is>
          <t>Normal</t>
        </is>
      </c>
    </row>
    <row r="80">
      <c r="A80" s="2" t="inlineStr">
        <is>
          <t>SIP-0079</t>
        </is>
      </c>
      <c r="B80" s="6" t="n">
        <v>45583</v>
      </c>
      <c r="C80" s="2" t="inlineStr">
        <is>
          <t>MUS-067</t>
        </is>
      </c>
      <c r="D80" s="2" t="inlineStr">
        <is>
          <t>TKL-0156</t>
        </is>
      </c>
      <c r="E80" s="2" t="inlineStr">
        <is>
          <t>ST-004</t>
        </is>
      </c>
      <c r="F80" s="2" t="inlineStr">
        <is>
          <t>Sevk Edildi</t>
        </is>
      </c>
      <c r="G80" s="2" t="inlineStr">
        <is>
          <t>USD</t>
        </is>
      </c>
      <c r="H80" s="5" t="n">
        <v>1</v>
      </c>
      <c r="I80" s="3" t="n">
        <v>40974.75</v>
      </c>
      <c r="J80" s="2" t="inlineStr">
        <is>
          <t>CIF</t>
        </is>
      </c>
      <c r="K80" s="2" t="inlineStr">
        <is>
          <t>Denizyolu</t>
        </is>
      </c>
      <c r="L80" s="6" t="n">
        <v>45632</v>
      </c>
      <c r="M80" s="6" t="n">
        <v>45632</v>
      </c>
      <c r="N80" s="5" t="n">
        <v>0</v>
      </c>
      <c r="O80" s="2" t="inlineStr">
        <is>
          <t>Kritik</t>
        </is>
      </c>
    </row>
    <row r="81">
      <c r="A81" s="2" t="inlineStr">
        <is>
          <t>SIP-0080</t>
        </is>
      </c>
      <c r="B81" s="6" t="n">
        <v>45597</v>
      </c>
      <c r="C81" s="2" t="inlineStr">
        <is>
          <t>MUS-067</t>
        </is>
      </c>
      <c r="D81" s="2" t="inlineStr">
        <is>
          <t>TKL-0158</t>
        </is>
      </c>
      <c r="E81" s="2" t="inlineStr">
        <is>
          <t>ST-004</t>
        </is>
      </c>
      <c r="F81" s="2" t="inlineStr">
        <is>
          <t>Uretimde</t>
        </is>
      </c>
      <c r="G81" s="2" t="inlineStr">
        <is>
          <t>USD</t>
        </is>
      </c>
      <c r="H81" s="5" t="n">
        <v>1</v>
      </c>
      <c r="I81" s="3" t="n">
        <v>100418.48</v>
      </c>
      <c r="J81" s="2" t="inlineStr">
        <is>
          <t>CIF</t>
        </is>
      </c>
      <c r="K81" s="2" t="inlineStr">
        <is>
          <t>Denizyolu</t>
        </is>
      </c>
      <c r="L81" s="6" t="n">
        <v>45661</v>
      </c>
      <c r="M81" s="6" t="n">
        <v>45661</v>
      </c>
      <c r="N81" s="5" t="n">
        <v>0</v>
      </c>
      <c r="O81" s="2" t="inlineStr">
        <is>
          <t>Yuksek</t>
        </is>
      </c>
    </row>
    <row r="82">
      <c r="A82" s="2" t="inlineStr">
        <is>
          <t>SIP-0081</t>
        </is>
      </c>
      <c r="B82" s="6" t="n">
        <v>45600</v>
      </c>
      <c r="C82" s="2" t="inlineStr">
        <is>
          <t>MUS-069</t>
        </is>
      </c>
      <c r="D82" s="2" t="inlineStr">
        <is>
          <t>TKL-0161</t>
        </is>
      </c>
      <c r="E82" s="2" t="inlineStr">
        <is>
          <t>ST-002</t>
        </is>
      </c>
      <c r="F82" s="2" t="inlineStr">
        <is>
          <t>Tamamlandi</t>
        </is>
      </c>
      <c r="G82" s="2" t="inlineStr">
        <is>
          <t>EUR</t>
        </is>
      </c>
      <c r="H82" s="5" t="n">
        <v>1.1016</v>
      </c>
      <c r="I82" s="3" t="n">
        <v>45673.33</v>
      </c>
      <c r="J82" s="2" t="inlineStr">
        <is>
          <t>FCA</t>
        </is>
      </c>
      <c r="K82" s="2" t="inlineStr">
        <is>
          <t>Karayolu</t>
        </is>
      </c>
      <c r="L82" s="6" t="n">
        <v>45643</v>
      </c>
      <c r="M82" s="6" t="n">
        <v>45646</v>
      </c>
      <c r="N82" s="5" t="n">
        <v>3</v>
      </c>
      <c r="O82" s="2" t="inlineStr">
        <is>
          <t>Normal</t>
        </is>
      </c>
    </row>
    <row r="83">
      <c r="A83" s="2" t="inlineStr">
        <is>
          <t>SIP-0082</t>
        </is>
      </c>
      <c r="B83" s="6" t="n">
        <v>45614</v>
      </c>
      <c r="C83" s="2" t="inlineStr">
        <is>
          <t>MUS-082</t>
        </is>
      </c>
      <c r="D83" s="2" t="inlineStr">
        <is>
          <t>TKL-0162</t>
        </is>
      </c>
      <c r="E83" s="2" t="inlineStr">
        <is>
          <t>ST-002</t>
        </is>
      </c>
      <c r="F83" s="2" t="inlineStr">
        <is>
          <t>Tamamlandi</t>
        </is>
      </c>
      <c r="G83" s="2" t="inlineStr">
        <is>
          <t>EUR</t>
        </is>
      </c>
      <c r="H83" s="5" t="n">
        <v>1.1016</v>
      </c>
      <c r="I83" s="3" t="n">
        <v>19502.43</v>
      </c>
      <c r="J83" s="2" t="inlineStr">
        <is>
          <t>DAP</t>
        </is>
      </c>
      <c r="K83" s="2" t="inlineStr">
        <is>
          <t>Karayolu</t>
        </is>
      </c>
      <c r="L83" s="6" t="n">
        <v>45648</v>
      </c>
      <c r="M83" s="6" t="n">
        <v>45651</v>
      </c>
      <c r="N83" s="5" t="n">
        <v>3</v>
      </c>
      <c r="O83" s="2" t="inlineStr">
        <is>
          <t>Normal</t>
        </is>
      </c>
    </row>
    <row r="84">
      <c r="A84" s="2" t="inlineStr">
        <is>
          <t>SIP-0083</t>
        </is>
      </c>
      <c r="B84" s="6" t="n">
        <v>45594</v>
      </c>
      <c r="C84" s="2" t="inlineStr">
        <is>
          <t>MUS-022</t>
        </is>
      </c>
      <c r="D84" s="2" t="inlineStr">
        <is>
          <t>TKL-0164</t>
        </is>
      </c>
      <c r="E84" s="2" t="inlineStr">
        <is>
          <t>ST-001</t>
        </is>
      </c>
      <c r="F84" s="2" t="inlineStr">
        <is>
          <t>Sevk Edildi</t>
        </is>
      </c>
      <c r="G84" s="2" t="inlineStr">
        <is>
          <t>EUR</t>
        </is>
      </c>
      <c r="H84" s="5" t="n">
        <v>1.1016</v>
      </c>
      <c r="I84" s="3" t="n">
        <v>28246.46</v>
      </c>
      <c r="J84" s="2" t="inlineStr">
        <is>
          <t>DAP</t>
        </is>
      </c>
      <c r="K84" s="2" t="inlineStr">
        <is>
          <t>Denizyolu</t>
        </is>
      </c>
      <c r="L84" s="6" t="n">
        <v>45645</v>
      </c>
      <c r="M84" s="6" t="n">
        <v>45646</v>
      </c>
      <c r="N84" s="5" t="n">
        <v>1</v>
      </c>
      <c r="O84" s="2" t="inlineStr">
        <is>
          <t>Yuksek</t>
        </is>
      </c>
    </row>
    <row r="85">
      <c r="A85" s="2" t="inlineStr">
        <is>
          <t>SIP-0084</t>
        </is>
      </c>
      <c r="B85" s="6" t="n">
        <v>45592</v>
      </c>
      <c r="C85" s="2" t="inlineStr">
        <is>
          <t>MUS-068</t>
        </is>
      </c>
      <c r="D85" s="2" t="inlineStr">
        <is>
          <t>TKL-0168</t>
        </is>
      </c>
      <c r="E85" s="2" t="inlineStr">
        <is>
          <t>ST-002</t>
        </is>
      </c>
      <c r="F85" s="2" t="inlineStr">
        <is>
          <t>Sevk Edildi</t>
        </is>
      </c>
      <c r="G85" s="2" t="inlineStr">
        <is>
          <t>EUR</t>
        </is>
      </c>
      <c r="H85" s="5" t="n">
        <v>1.1016</v>
      </c>
      <c r="I85" s="3" t="n">
        <v>23502.47</v>
      </c>
      <c r="J85" s="2" t="inlineStr">
        <is>
          <t>DAP</t>
        </is>
      </c>
      <c r="K85" s="2" t="inlineStr">
        <is>
          <t>Denizyolu</t>
        </is>
      </c>
      <c r="L85" s="6" t="n">
        <v>45612</v>
      </c>
      <c r="M85" s="6" t="n">
        <v>45613</v>
      </c>
      <c r="N85" s="5" t="n">
        <v>1</v>
      </c>
      <c r="O85" s="2" t="inlineStr">
        <is>
          <t>Normal</t>
        </is>
      </c>
    </row>
    <row r="86">
      <c r="A86" s="2" t="inlineStr">
        <is>
          <t>SIP-0085</t>
        </is>
      </c>
      <c r="B86" s="6" t="n">
        <v>45600</v>
      </c>
      <c r="C86" s="2" t="inlineStr">
        <is>
          <t>MUS-025</t>
        </is>
      </c>
      <c r="D86" s="2" t="inlineStr">
        <is>
          <t>TKL-0169</t>
        </is>
      </c>
      <c r="E86" s="2" t="inlineStr">
        <is>
          <t>ST-001</t>
        </is>
      </c>
      <c r="F86" s="2" t="inlineStr">
        <is>
          <t>Tamamlandi</t>
        </is>
      </c>
      <c r="G86" s="2" t="inlineStr">
        <is>
          <t>EUR</t>
        </is>
      </c>
      <c r="H86" s="5" t="n">
        <v>1.1016</v>
      </c>
      <c r="I86" s="3" t="n">
        <v>37212.08</v>
      </c>
      <c r="J86" s="2" t="inlineStr">
        <is>
          <t>DAP</t>
        </is>
      </c>
      <c r="K86" s="2" t="inlineStr">
        <is>
          <t>Denizyolu</t>
        </is>
      </c>
      <c r="L86" s="6" t="n">
        <v>45625</v>
      </c>
      <c r="M86" s="6" t="n">
        <v>45628</v>
      </c>
      <c r="N86" s="5" t="n">
        <v>3</v>
      </c>
      <c r="O86" s="2" t="inlineStr">
        <is>
          <t>Normal</t>
        </is>
      </c>
    </row>
    <row r="87">
      <c r="A87" s="2" t="inlineStr">
        <is>
          <t>SIP-0086</t>
        </is>
      </c>
      <c r="B87" s="6" t="n">
        <v>45589</v>
      </c>
      <c r="C87" s="2" t="inlineStr">
        <is>
          <t>MUS-009</t>
        </is>
      </c>
      <c r="D87" s="2" t="inlineStr">
        <is>
          <t>TKL-0170</t>
        </is>
      </c>
      <c r="E87" s="2" t="inlineStr">
        <is>
          <t>ST-002</t>
        </is>
      </c>
      <c r="F87" s="2" t="inlineStr">
        <is>
          <t>Uretimde</t>
        </is>
      </c>
      <c r="G87" s="2" t="inlineStr">
        <is>
          <t>EUR</t>
        </is>
      </c>
      <c r="H87" s="5" t="n">
        <v>1.1016</v>
      </c>
      <c r="I87" s="3" t="n">
        <v>70579.55</v>
      </c>
      <c r="J87" s="2" t="inlineStr">
        <is>
          <t>DAP</t>
        </is>
      </c>
      <c r="K87" s="2" t="inlineStr">
        <is>
          <t>Karayolu</t>
        </is>
      </c>
      <c r="L87" s="6" t="n">
        <v>45639</v>
      </c>
      <c r="M87" s="6" t="n">
        <v>45639</v>
      </c>
      <c r="N87" s="5" t="n">
        <v>0</v>
      </c>
      <c r="O87" s="2" t="inlineStr">
        <is>
          <t>Yuksek</t>
        </is>
      </c>
    </row>
    <row r="88">
      <c r="A88" s="2" t="inlineStr">
        <is>
          <t>SIP-0087</t>
        </is>
      </c>
      <c r="B88" s="6" t="n">
        <v>45605</v>
      </c>
      <c r="C88" s="2" t="inlineStr">
        <is>
          <t>MUS-035</t>
        </is>
      </c>
      <c r="D88" s="2" t="inlineStr">
        <is>
          <t>TKL-0172</t>
        </is>
      </c>
      <c r="E88" s="2" t="inlineStr">
        <is>
          <t>ST-001</t>
        </is>
      </c>
      <c r="F88" s="2" t="inlineStr">
        <is>
          <t>Sevk Edildi</t>
        </is>
      </c>
      <c r="G88" s="2" t="inlineStr">
        <is>
          <t>EUR</t>
        </is>
      </c>
      <c r="H88" s="5" t="n">
        <v>1.1016</v>
      </c>
      <c r="I88" s="3" t="n">
        <v>34804.34</v>
      </c>
      <c r="J88" s="2" t="inlineStr">
        <is>
          <t>FCA</t>
        </is>
      </c>
      <c r="K88" s="2" t="inlineStr">
        <is>
          <t>Karayolu</t>
        </is>
      </c>
      <c r="L88" s="6" t="n">
        <v>45668</v>
      </c>
      <c r="M88" s="6" t="n">
        <v>45668</v>
      </c>
      <c r="N88" s="5" t="n">
        <v>0</v>
      </c>
      <c r="O88" s="2" t="inlineStr">
        <is>
          <t>Kritik</t>
        </is>
      </c>
    </row>
    <row r="89">
      <c r="A89" s="2" t="inlineStr">
        <is>
          <t>SIP-0088</t>
        </is>
      </c>
      <c r="B89" s="6" t="n">
        <v>45624</v>
      </c>
      <c r="C89" s="2" t="inlineStr">
        <is>
          <t>MUS-067</t>
        </is>
      </c>
      <c r="D89" s="2" t="inlineStr">
        <is>
          <t>TKL-0174</t>
        </is>
      </c>
      <c r="E89" s="2" t="inlineStr">
        <is>
          <t>ST-004</t>
        </is>
      </c>
      <c r="F89" s="2" t="inlineStr">
        <is>
          <t>Tamamlandi</t>
        </is>
      </c>
      <c r="G89" s="2" t="inlineStr">
        <is>
          <t>USD</t>
        </is>
      </c>
      <c r="H89" s="5" t="n">
        <v>1</v>
      </c>
      <c r="I89" s="3" t="n">
        <v>11334.14</v>
      </c>
      <c r="J89" s="2" t="inlineStr">
        <is>
          <t>CIF</t>
        </is>
      </c>
      <c r="K89" s="2" t="inlineStr">
        <is>
          <t>Denizyolu</t>
        </is>
      </c>
      <c r="L89" s="6" t="n">
        <v>45654</v>
      </c>
      <c r="M89" s="6" t="n">
        <v>45654</v>
      </c>
      <c r="N89" s="5" t="n">
        <v>0</v>
      </c>
      <c r="O89" s="2" t="inlineStr">
        <is>
          <t>Normal</t>
        </is>
      </c>
    </row>
    <row r="90">
      <c r="A90" s="2" t="inlineStr">
        <is>
          <t>SIP-0089</t>
        </is>
      </c>
      <c r="B90" s="6" t="n">
        <v>45641</v>
      </c>
      <c r="C90" s="2" t="inlineStr">
        <is>
          <t>MUS-018</t>
        </is>
      </c>
      <c r="D90" s="2" t="inlineStr">
        <is>
          <t>TKL-0180</t>
        </is>
      </c>
      <c r="E90" s="2" t="inlineStr">
        <is>
          <t>ST-003</t>
        </is>
      </c>
      <c r="F90" s="2" t="inlineStr">
        <is>
          <t>Tamamlandi</t>
        </is>
      </c>
      <c r="G90" s="2" t="inlineStr">
        <is>
          <t>USD</t>
        </is>
      </c>
      <c r="H90" s="5" t="n">
        <v>1</v>
      </c>
      <c r="I90" s="3" t="n">
        <v>14745.94</v>
      </c>
      <c r="J90" s="2" t="inlineStr">
        <is>
          <t>CIF</t>
        </is>
      </c>
      <c r="K90" s="2" t="inlineStr">
        <is>
          <t>Denizyolu</t>
        </is>
      </c>
      <c r="L90" s="6" t="n">
        <v>45654</v>
      </c>
      <c r="M90" s="6" t="n">
        <v>45659</v>
      </c>
      <c r="N90" s="5" t="n">
        <v>5</v>
      </c>
      <c r="O90" s="2" t="inlineStr">
        <is>
          <t>Normal</t>
        </is>
      </c>
    </row>
    <row r="91">
      <c r="A91" s="2" t="inlineStr">
        <is>
          <t>SIP-0090</t>
        </is>
      </c>
      <c r="B91" s="6" t="n">
        <v>45644</v>
      </c>
      <c r="C91" s="2" t="inlineStr">
        <is>
          <t>MUS-024</t>
        </is>
      </c>
      <c r="D91" s="2" t="inlineStr">
        <is>
          <t>TKL-0182</t>
        </is>
      </c>
      <c r="E91" s="2" t="inlineStr">
        <is>
          <t>ST-003</t>
        </is>
      </c>
      <c r="F91" s="2" t="inlineStr">
        <is>
          <t>Tamamlandi</t>
        </is>
      </c>
      <c r="G91" s="2" t="inlineStr">
        <is>
          <t>USD</t>
        </is>
      </c>
      <c r="H91" s="5" t="n">
        <v>1</v>
      </c>
      <c r="I91" s="3" t="n">
        <v>37800.65</v>
      </c>
      <c r="J91" s="2" t="inlineStr">
        <is>
          <t>CIF</t>
        </is>
      </c>
      <c r="K91" s="2" t="inlineStr">
        <is>
          <t>Denizyolu</t>
        </is>
      </c>
      <c r="L91" s="6" t="n">
        <v>45692</v>
      </c>
      <c r="M91" s="6" t="n">
        <v>45692</v>
      </c>
      <c r="N91" s="5" t="n">
        <v>0</v>
      </c>
      <c r="O91" s="2" t="inlineStr">
        <is>
          <t>Normal</t>
        </is>
      </c>
    </row>
    <row r="92">
      <c r="A92" s="2" t="inlineStr">
        <is>
          <t>SIP-0091</t>
        </is>
      </c>
      <c r="B92" s="6" t="n">
        <v>45643</v>
      </c>
      <c r="C92" s="2" t="inlineStr">
        <is>
          <t>MUS-040</t>
        </is>
      </c>
      <c r="D92" s="2" t="inlineStr">
        <is>
          <t>TKL-0183</t>
        </is>
      </c>
      <c r="E92" s="2" t="inlineStr">
        <is>
          <t>ST-003</t>
        </is>
      </c>
      <c r="F92" s="2" t="inlineStr">
        <is>
          <t>Sevk Edildi</t>
        </is>
      </c>
      <c r="G92" s="2" t="inlineStr">
        <is>
          <t>USD</t>
        </is>
      </c>
      <c r="H92" s="5" t="n">
        <v>1</v>
      </c>
      <c r="I92" s="3" t="n">
        <v>13610.99</v>
      </c>
      <c r="J92" s="2" t="inlineStr">
        <is>
          <t>CIF</t>
        </is>
      </c>
      <c r="K92" s="2" t="inlineStr">
        <is>
          <t>Karayolu</t>
        </is>
      </c>
      <c r="L92" s="6" t="n">
        <v>45663</v>
      </c>
      <c r="M92" s="6" t="n">
        <v>45663</v>
      </c>
      <c r="N92" s="5" t="n">
        <v>0</v>
      </c>
      <c r="O92" s="2" t="inlineStr">
        <is>
          <t>Normal</t>
        </is>
      </c>
    </row>
    <row r="93">
      <c r="A93" s="2" t="inlineStr">
        <is>
          <t>SIP-0092</t>
        </is>
      </c>
      <c r="B93" s="6" t="n">
        <v>45633</v>
      </c>
      <c r="C93" s="2" t="inlineStr">
        <is>
          <t>MUS-029</t>
        </is>
      </c>
      <c r="D93" s="2" t="inlineStr">
        <is>
          <t>TKL-0185</t>
        </is>
      </c>
      <c r="E93" s="2" t="inlineStr">
        <is>
          <t>ST-005</t>
        </is>
      </c>
      <c r="F93" s="2" t="inlineStr">
        <is>
          <t>Tamamlandi</t>
        </is>
      </c>
      <c r="G93" s="2" t="inlineStr">
        <is>
          <t>USD</t>
        </is>
      </c>
      <c r="H93" s="5" t="n">
        <v>1</v>
      </c>
      <c r="I93" s="3" t="n">
        <v>10948.49</v>
      </c>
      <c r="J93" s="2" t="inlineStr">
        <is>
          <t>CFR</t>
        </is>
      </c>
      <c r="K93" s="2" t="inlineStr">
        <is>
          <t>Denizyolu</t>
        </is>
      </c>
      <c r="L93" s="6" t="n">
        <v>45679</v>
      </c>
      <c r="M93" s="6" t="n">
        <v>45680</v>
      </c>
      <c r="N93" s="5" t="n">
        <v>1</v>
      </c>
      <c r="O93" s="2" t="inlineStr">
        <is>
          <t>Normal</t>
        </is>
      </c>
    </row>
    <row r="94">
      <c r="A94" s="2" t="inlineStr">
        <is>
          <t>SIP-0093</t>
        </is>
      </c>
      <c r="B94" s="6" t="n">
        <v>45640</v>
      </c>
      <c r="C94" s="2" t="inlineStr">
        <is>
          <t>MUS-074</t>
        </is>
      </c>
      <c r="D94" s="2" t="inlineStr">
        <is>
          <t>TKL-0186</t>
        </is>
      </c>
      <c r="E94" s="2" t="inlineStr">
        <is>
          <t>ST-008</t>
        </is>
      </c>
      <c r="F94" s="2" t="inlineStr">
        <is>
          <t>Tamamlandi</t>
        </is>
      </c>
      <c r="G94" s="2" t="inlineStr">
        <is>
          <t>USD</t>
        </is>
      </c>
      <c r="H94" s="5" t="n">
        <v>1</v>
      </c>
      <c r="I94" s="3" t="n">
        <v>32270.78</v>
      </c>
      <c r="J94" s="2" t="inlineStr">
        <is>
          <t>FCA</t>
        </is>
      </c>
      <c r="K94" s="2" t="inlineStr">
        <is>
          <t>Karayolu</t>
        </is>
      </c>
      <c r="L94" s="6" t="n">
        <v>45673</v>
      </c>
      <c r="M94" s="6" t="n">
        <v>45674</v>
      </c>
      <c r="N94" s="5" t="n">
        <v>1</v>
      </c>
      <c r="O94" s="2" t="inlineStr">
        <is>
          <t>Normal</t>
        </is>
      </c>
    </row>
    <row r="95">
      <c r="A95" s="2" t="inlineStr">
        <is>
          <t>SIP-0094</t>
        </is>
      </c>
      <c r="B95" s="6" t="n">
        <v>45635</v>
      </c>
      <c r="C95" s="2" t="inlineStr">
        <is>
          <t>MUS-062</t>
        </is>
      </c>
      <c r="D95" s="2" t="inlineStr">
        <is>
          <t>TKL-0189</t>
        </is>
      </c>
      <c r="E95" s="2" t="inlineStr">
        <is>
          <t>ST-007</t>
        </is>
      </c>
      <c r="F95" s="2" t="inlineStr">
        <is>
          <t>Tamamlandi</t>
        </is>
      </c>
      <c r="G95" s="2" t="inlineStr">
        <is>
          <t>USD</t>
        </is>
      </c>
      <c r="H95" s="5" t="n">
        <v>1</v>
      </c>
      <c r="I95" s="3" t="n">
        <v>49378.54</v>
      </c>
      <c r="J95" s="2" t="inlineStr">
        <is>
          <t>FCA</t>
        </is>
      </c>
      <c r="K95" s="2" t="inlineStr">
        <is>
          <t>Karayolu</t>
        </is>
      </c>
      <c r="L95" s="6" t="n">
        <v>45678</v>
      </c>
      <c r="M95" s="6" t="n">
        <v>45678</v>
      </c>
      <c r="N95" s="5" t="n">
        <v>0</v>
      </c>
      <c r="O95" s="2" t="inlineStr">
        <is>
          <t>Normal</t>
        </is>
      </c>
    </row>
    <row r="96">
      <c r="A96" s="2" t="inlineStr">
        <is>
          <t>SIP-0095</t>
        </is>
      </c>
      <c r="B96" s="6" t="n">
        <v>45622</v>
      </c>
      <c r="C96" s="2" t="inlineStr">
        <is>
          <t>MUS-076</t>
        </is>
      </c>
      <c r="D96" s="2" t="inlineStr">
        <is>
          <t>TKL-0195</t>
        </is>
      </c>
      <c r="E96" s="2" t="inlineStr">
        <is>
          <t>ST-002</t>
        </is>
      </c>
      <c r="F96" s="2" t="inlineStr">
        <is>
          <t>Tamamlandi</t>
        </is>
      </c>
      <c r="G96" s="2" t="inlineStr">
        <is>
          <t>EUR</t>
        </is>
      </c>
      <c r="H96" s="5" t="n">
        <v>1.1037</v>
      </c>
      <c r="I96" s="3" t="n">
        <v>45938.38</v>
      </c>
      <c r="J96" s="2" t="inlineStr">
        <is>
          <t>DAP</t>
        </is>
      </c>
      <c r="K96" s="2" t="inlineStr">
        <is>
          <t>Karayolu</t>
        </is>
      </c>
      <c r="L96" s="6" t="n">
        <v>45654</v>
      </c>
      <c r="M96" s="6" t="n">
        <v>45654</v>
      </c>
      <c r="N96" s="5" t="n">
        <v>0</v>
      </c>
      <c r="O96" s="2" t="inlineStr">
        <is>
          <t>Normal</t>
        </is>
      </c>
    </row>
    <row r="97">
      <c r="A97" s="2" t="inlineStr">
        <is>
          <t>SIP-0096</t>
        </is>
      </c>
      <c r="B97" s="6" t="n">
        <v>45612</v>
      </c>
      <c r="C97" s="2" t="inlineStr">
        <is>
          <t>MUS-021</t>
        </is>
      </c>
      <c r="D97" s="2" t="inlineStr">
        <is>
          <t>TKL-0196</t>
        </is>
      </c>
      <c r="E97" s="2" t="inlineStr">
        <is>
          <t>ST-001</t>
        </is>
      </c>
      <c r="F97" s="2" t="inlineStr">
        <is>
          <t>Sevk Edildi</t>
        </is>
      </c>
      <c r="G97" s="2" t="inlineStr">
        <is>
          <t>EUR</t>
        </is>
      </c>
      <c r="H97" s="5" t="n">
        <v>1.1037</v>
      </c>
      <c r="I97" s="3" t="n">
        <v>72756.81</v>
      </c>
      <c r="J97" s="2" t="inlineStr">
        <is>
          <t>DAP</t>
        </is>
      </c>
      <c r="K97" s="2" t="inlineStr">
        <is>
          <t>Denizyolu</t>
        </is>
      </c>
      <c r="L97" s="6" t="n">
        <v>45665</v>
      </c>
      <c r="M97" s="6" t="n">
        <v>45667</v>
      </c>
      <c r="N97" s="5" t="n">
        <v>2</v>
      </c>
      <c r="O97" s="2" t="inlineStr">
        <is>
          <t>Normal</t>
        </is>
      </c>
    </row>
    <row r="98">
      <c r="A98" s="2" t="inlineStr">
        <is>
          <t>SIP-0097</t>
        </is>
      </c>
      <c r="B98" s="6" t="n">
        <v>45619</v>
      </c>
      <c r="C98" s="2" t="inlineStr">
        <is>
          <t>MUS-025</t>
        </is>
      </c>
      <c r="D98" s="2" t="inlineStr">
        <is>
          <t>TKL-0197</t>
        </is>
      </c>
      <c r="E98" s="2" t="inlineStr">
        <is>
          <t>ST-002</t>
        </is>
      </c>
      <c r="F98" s="2" t="inlineStr">
        <is>
          <t>Sevk Edildi</t>
        </is>
      </c>
      <c r="G98" s="2" t="inlineStr">
        <is>
          <t>EUR</t>
        </is>
      </c>
      <c r="H98" s="5" t="n">
        <v>1.1037</v>
      </c>
      <c r="I98" s="3" t="n">
        <v>6437.18</v>
      </c>
      <c r="J98" s="2" t="inlineStr">
        <is>
          <t>DAP</t>
        </is>
      </c>
      <c r="K98" s="2" t="inlineStr">
        <is>
          <t>Karayolu</t>
        </is>
      </c>
      <c r="L98" s="6" t="n">
        <v>45660</v>
      </c>
      <c r="M98" s="6" t="n">
        <v>45663</v>
      </c>
      <c r="N98" s="5" t="n">
        <v>3</v>
      </c>
      <c r="O98" s="2" t="inlineStr">
        <is>
          <t>Normal</t>
        </is>
      </c>
    </row>
    <row r="99">
      <c r="A99" s="2" t="inlineStr">
        <is>
          <t>SIP-0098</t>
        </is>
      </c>
      <c r="B99" s="6" t="n">
        <v>45643</v>
      </c>
      <c r="C99" s="2" t="inlineStr">
        <is>
          <t>MUS-047</t>
        </is>
      </c>
      <c r="D99" s="2" t="inlineStr">
        <is>
          <t>TKL-0203</t>
        </is>
      </c>
      <c r="E99" s="2" t="inlineStr">
        <is>
          <t>ST-006</t>
        </is>
      </c>
      <c r="F99" s="2" t="inlineStr">
        <is>
          <t>Sevk Edildi</t>
        </is>
      </c>
      <c r="G99" s="2" t="inlineStr">
        <is>
          <t>USD</t>
        </is>
      </c>
      <c r="H99" s="5" t="n">
        <v>1</v>
      </c>
      <c r="I99" s="3" t="n">
        <v>31504.2</v>
      </c>
      <c r="J99" s="2" t="inlineStr">
        <is>
          <t>CFR</t>
        </is>
      </c>
      <c r="K99" s="2" t="inlineStr">
        <is>
          <t>Karayolu</t>
        </is>
      </c>
      <c r="L99" s="6" t="n">
        <v>45675</v>
      </c>
      <c r="M99" s="6" t="n">
        <v>45683</v>
      </c>
      <c r="N99" s="5" t="n">
        <v>8</v>
      </c>
      <c r="O99" s="2" t="inlineStr">
        <is>
          <t>Normal</t>
        </is>
      </c>
    </row>
    <row r="100">
      <c r="A100" s="2" t="inlineStr">
        <is>
          <t>SIP-0099</t>
        </is>
      </c>
      <c r="B100" s="6" t="n">
        <v>45624</v>
      </c>
      <c r="C100" s="2" t="inlineStr">
        <is>
          <t>MUS-079</t>
        </is>
      </c>
      <c r="D100" s="2" t="inlineStr">
        <is>
          <t>TKL-0206</t>
        </is>
      </c>
      <c r="E100" s="2" t="inlineStr">
        <is>
          <t>ST-004</t>
        </is>
      </c>
      <c r="F100" s="2" t="inlineStr">
        <is>
          <t>Tamamlandi</t>
        </is>
      </c>
      <c r="G100" s="2" t="inlineStr">
        <is>
          <t>USD</t>
        </is>
      </c>
      <c r="H100" s="5" t="n">
        <v>1</v>
      </c>
      <c r="I100" s="3" t="n">
        <v>55333.51</v>
      </c>
      <c r="J100" s="2" t="inlineStr">
        <is>
          <t>CIF</t>
        </is>
      </c>
      <c r="K100" s="2" t="inlineStr">
        <is>
          <t>Denizyolu</t>
        </is>
      </c>
      <c r="L100" s="6" t="n">
        <v>45678</v>
      </c>
      <c r="M100" s="6" t="n">
        <v>45680</v>
      </c>
      <c r="N100" s="5" t="n">
        <v>2</v>
      </c>
      <c r="O100" s="2" t="inlineStr">
        <is>
          <t>Yuksek</t>
        </is>
      </c>
    </row>
    <row r="101">
      <c r="A101" s="2" t="inlineStr">
        <is>
          <t>SIP-0100</t>
        </is>
      </c>
      <c r="B101" s="6" t="n">
        <v>45666</v>
      </c>
      <c r="C101" s="2" t="inlineStr">
        <is>
          <t>MUS-058</t>
        </is>
      </c>
      <c r="D101" s="2" t="inlineStr">
        <is>
          <t>TKL-0209</t>
        </is>
      </c>
      <c r="E101" s="2" t="inlineStr">
        <is>
          <t>ST-002</t>
        </is>
      </c>
      <c r="F101" s="2" t="inlineStr">
        <is>
          <t>Tamamlandi</t>
        </is>
      </c>
      <c r="G101" s="2" t="inlineStr">
        <is>
          <t>EUR</t>
        </is>
      </c>
      <c r="H101" s="5" t="n">
        <v>1.1172</v>
      </c>
      <c r="I101" s="3" t="n">
        <v>71439.41</v>
      </c>
      <c r="J101" s="2" t="inlineStr">
        <is>
          <t>DAP</t>
        </is>
      </c>
      <c r="K101" s="2" t="inlineStr">
        <is>
          <t>Karayolu</t>
        </is>
      </c>
      <c r="L101" s="6" t="n">
        <v>45741</v>
      </c>
      <c r="M101" s="6" t="n">
        <v>45744</v>
      </c>
      <c r="N101" s="5" t="n">
        <v>3</v>
      </c>
      <c r="O101" s="2" t="inlineStr">
        <is>
          <t>Yuksek</t>
        </is>
      </c>
    </row>
    <row r="102">
      <c r="A102" s="2" t="inlineStr">
        <is>
          <t>SIP-0101</t>
        </is>
      </c>
      <c r="B102" s="6" t="n">
        <v>45668</v>
      </c>
      <c r="C102" s="2" t="inlineStr">
        <is>
          <t>MUS-010</t>
        </is>
      </c>
      <c r="D102" s="2" t="inlineStr">
        <is>
          <t>TKL-0211</t>
        </is>
      </c>
      <c r="E102" s="2" t="inlineStr">
        <is>
          <t>ST-003</t>
        </is>
      </c>
      <c r="F102" s="2" t="inlineStr">
        <is>
          <t>Sevk Edildi</t>
        </is>
      </c>
      <c r="G102" s="2" t="inlineStr">
        <is>
          <t>USD</t>
        </is>
      </c>
      <c r="H102" s="5" t="n">
        <v>1</v>
      </c>
      <c r="I102" s="3" t="n">
        <v>12646.57</v>
      </c>
      <c r="J102" s="2" t="inlineStr">
        <is>
          <t>CIF</t>
        </is>
      </c>
      <c r="K102" s="2" t="inlineStr">
        <is>
          <t>Denizyolu</t>
        </is>
      </c>
      <c r="L102" s="6" t="n">
        <v>45699</v>
      </c>
      <c r="M102" s="6" t="n">
        <v>45699</v>
      </c>
      <c r="N102" s="5" t="n">
        <v>0</v>
      </c>
      <c r="O102" s="2" t="inlineStr">
        <is>
          <t>Normal</t>
        </is>
      </c>
    </row>
    <row r="103">
      <c r="A103" s="2" t="inlineStr">
        <is>
          <t>SIP-0102</t>
        </is>
      </c>
      <c r="B103" s="6" t="n">
        <v>45659</v>
      </c>
      <c r="C103" s="2" t="inlineStr">
        <is>
          <t>MUS-020</t>
        </is>
      </c>
      <c r="D103" s="2" t="inlineStr">
        <is>
          <t>TKL-0213</t>
        </is>
      </c>
      <c r="E103" s="2" t="inlineStr">
        <is>
          <t>ST-005</t>
        </is>
      </c>
      <c r="F103" s="2" t="inlineStr">
        <is>
          <t>Sevk Edildi</t>
        </is>
      </c>
      <c r="G103" s="2" t="inlineStr">
        <is>
          <t>USD</t>
        </is>
      </c>
      <c r="H103" s="5" t="n">
        <v>1</v>
      </c>
      <c r="I103" s="3" t="n">
        <v>35512.56</v>
      </c>
      <c r="J103" s="2" t="inlineStr">
        <is>
          <t>CFR</t>
        </is>
      </c>
      <c r="K103" s="2" t="inlineStr">
        <is>
          <t>Denizyolu</t>
        </is>
      </c>
      <c r="L103" s="6" t="n">
        <v>45691</v>
      </c>
      <c r="M103" s="6" t="n">
        <v>45692</v>
      </c>
      <c r="N103" s="5" t="n">
        <v>1</v>
      </c>
      <c r="O103" s="2" t="inlineStr">
        <is>
          <t>Normal</t>
        </is>
      </c>
    </row>
    <row r="104">
      <c r="A104" s="2" t="inlineStr">
        <is>
          <t>SIP-0103</t>
        </is>
      </c>
      <c r="B104" s="6" t="n">
        <v>45663</v>
      </c>
      <c r="C104" s="2" t="inlineStr">
        <is>
          <t>MUS-070</t>
        </is>
      </c>
      <c r="D104" s="2" t="inlineStr">
        <is>
          <t>TKL-0215</t>
        </is>
      </c>
      <c r="E104" s="2" t="inlineStr">
        <is>
          <t>ST-002</t>
        </is>
      </c>
      <c r="F104" s="2" t="inlineStr">
        <is>
          <t>Uretimde</t>
        </is>
      </c>
      <c r="G104" s="2" t="inlineStr">
        <is>
          <t>EUR</t>
        </is>
      </c>
      <c r="H104" s="5" t="n">
        <v>1.1172</v>
      </c>
      <c r="I104" s="3" t="n">
        <v>71467.42</v>
      </c>
      <c r="J104" s="2" t="inlineStr">
        <is>
          <t>DAP</t>
        </is>
      </c>
      <c r="K104" s="2" t="inlineStr">
        <is>
          <t>Karayolu</t>
        </is>
      </c>
      <c r="L104" s="6" t="n">
        <v>45708</v>
      </c>
      <c r="M104" s="6" t="n">
        <v>45708</v>
      </c>
      <c r="N104" s="5" t="n">
        <v>0</v>
      </c>
      <c r="O104" s="2" t="inlineStr">
        <is>
          <t>Kritik</t>
        </is>
      </c>
    </row>
    <row r="105">
      <c r="A105" s="2" t="inlineStr">
        <is>
          <t>SIP-0104</t>
        </is>
      </c>
      <c r="B105" s="6" t="n">
        <v>45644</v>
      </c>
      <c r="C105" s="2" t="inlineStr">
        <is>
          <t>MUS-038</t>
        </is>
      </c>
      <c r="D105" s="2" t="inlineStr">
        <is>
          <t>TKL-0216</t>
        </is>
      </c>
      <c r="E105" s="2" t="inlineStr">
        <is>
          <t>ST-003</t>
        </is>
      </c>
      <c r="F105" s="2" t="inlineStr">
        <is>
          <t>Tamamlandi</t>
        </is>
      </c>
      <c r="G105" s="2" t="inlineStr">
        <is>
          <t>USD</t>
        </is>
      </c>
      <c r="H105" s="5" t="n">
        <v>1</v>
      </c>
      <c r="I105" s="3" t="n">
        <v>18119</v>
      </c>
      <c r="J105" s="2" t="inlineStr">
        <is>
          <t>CIF</t>
        </is>
      </c>
      <c r="K105" s="2" t="inlineStr">
        <is>
          <t>Denizyolu</t>
        </is>
      </c>
      <c r="L105" s="6" t="n">
        <v>45676</v>
      </c>
      <c r="M105" s="6" t="n">
        <v>45676</v>
      </c>
      <c r="N105" s="5" t="n">
        <v>0</v>
      </c>
      <c r="O105" s="2" t="inlineStr">
        <is>
          <t>Normal</t>
        </is>
      </c>
    </row>
    <row r="106">
      <c r="A106" s="2" t="inlineStr">
        <is>
          <t>SIP-0105</t>
        </is>
      </c>
      <c r="B106" s="6" t="n">
        <v>45652</v>
      </c>
      <c r="C106" s="2" t="inlineStr">
        <is>
          <t>MUS-033</t>
        </is>
      </c>
      <c r="D106" s="2" t="inlineStr">
        <is>
          <t>TKL-0218</t>
        </is>
      </c>
      <c r="E106" s="2" t="inlineStr">
        <is>
          <t>ST-005</t>
        </is>
      </c>
      <c r="F106" s="2" t="inlineStr">
        <is>
          <t>Tamamlandi</t>
        </is>
      </c>
      <c r="G106" s="2" t="inlineStr">
        <is>
          <t>USD</t>
        </is>
      </c>
      <c r="H106" s="5" t="n">
        <v>1</v>
      </c>
      <c r="I106" s="3" t="n">
        <v>61499.41</v>
      </c>
      <c r="J106" s="2" t="inlineStr">
        <is>
          <t>CFR</t>
        </is>
      </c>
      <c r="K106" s="2" t="inlineStr">
        <is>
          <t>Denizyolu</t>
        </is>
      </c>
      <c r="L106" s="6" t="n">
        <v>45700</v>
      </c>
      <c r="M106" s="6" t="n">
        <v>45700</v>
      </c>
      <c r="N106" s="5" t="n">
        <v>0</v>
      </c>
      <c r="O106" s="2" t="inlineStr">
        <is>
          <t>Yuksek</t>
        </is>
      </c>
    </row>
    <row r="107">
      <c r="A107" s="2" t="inlineStr">
        <is>
          <t>SIP-0106</t>
        </is>
      </c>
      <c r="B107" s="6" t="n">
        <v>45655</v>
      </c>
      <c r="C107" s="2" t="inlineStr">
        <is>
          <t>MUS-035</t>
        </is>
      </c>
      <c r="D107" s="2" t="inlineStr">
        <is>
          <t>TKL-0219</t>
        </is>
      </c>
      <c r="E107" s="2" t="inlineStr">
        <is>
          <t>ST-002</t>
        </is>
      </c>
      <c r="F107" s="2" t="inlineStr">
        <is>
          <t>Uretimde</t>
        </is>
      </c>
      <c r="G107" s="2" t="inlineStr">
        <is>
          <t>EUR</t>
        </is>
      </c>
      <c r="H107" s="5" t="n">
        <v>1.1172</v>
      </c>
      <c r="I107" s="3" t="n">
        <v>20720.5</v>
      </c>
      <c r="J107" s="2" t="inlineStr">
        <is>
          <t>FCA</t>
        </is>
      </c>
      <c r="K107" s="2" t="inlineStr">
        <is>
          <t>Denizyolu</t>
        </is>
      </c>
      <c r="L107" s="6" t="n">
        <v>45702</v>
      </c>
      <c r="M107" s="6" t="n">
        <v>45702</v>
      </c>
      <c r="N107" s="5" t="n">
        <v>0</v>
      </c>
      <c r="O107" s="2" t="inlineStr">
        <is>
          <t>Kritik</t>
        </is>
      </c>
    </row>
    <row r="108">
      <c r="A108" s="2" t="inlineStr">
        <is>
          <t>SIP-0107</t>
        </is>
      </c>
      <c r="B108" s="6" t="n">
        <v>45684</v>
      </c>
      <c r="C108" s="2" t="inlineStr">
        <is>
          <t>MUS-033</t>
        </is>
      </c>
      <c r="D108" s="2" t="inlineStr">
        <is>
          <t>TKL-0220</t>
        </is>
      </c>
      <c r="E108" s="2" t="inlineStr">
        <is>
          <t>ST-006</t>
        </is>
      </c>
      <c r="F108" s="2" t="inlineStr">
        <is>
          <t>Tamamlandi</t>
        </is>
      </c>
      <c r="G108" s="2" t="inlineStr">
        <is>
          <t>USD</t>
        </is>
      </c>
      <c r="H108" s="5" t="n">
        <v>1</v>
      </c>
      <c r="I108" s="3" t="n">
        <v>49352.54</v>
      </c>
      <c r="J108" s="2" t="inlineStr">
        <is>
          <t>CFR</t>
        </is>
      </c>
      <c r="K108" s="2" t="inlineStr">
        <is>
          <t>Karayolu</t>
        </is>
      </c>
      <c r="L108" s="6" t="n">
        <v>45759</v>
      </c>
      <c r="M108" s="6" t="n">
        <v>45762</v>
      </c>
      <c r="N108" s="5" t="n">
        <v>3</v>
      </c>
      <c r="O108" s="2" t="inlineStr">
        <is>
          <t>Yuksek</t>
        </is>
      </c>
    </row>
    <row r="109">
      <c r="A109" s="2" t="inlineStr">
        <is>
          <t>SIP-0108</t>
        </is>
      </c>
      <c r="B109" s="6" t="n">
        <v>45646</v>
      </c>
      <c r="C109" s="2" t="inlineStr">
        <is>
          <t>MUS-029</t>
        </is>
      </c>
      <c r="D109" s="2" t="inlineStr">
        <is>
          <t>TKL-0221</t>
        </is>
      </c>
      <c r="E109" s="2" t="inlineStr">
        <is>
          <t>ST-006</t>
        </is>
      </c>
      <c r="F109" s="2" t="inlineStr">
        <is>
          <t>Tamamlandi</t>
        </is>
      </c>
      <c r="G109" s="2" t="inlineStr">
        <is>
          <t>USD</t>
        </is>
      </c>
      <c r="H109" s="5" t="n">
        <v>1</v>
      </c>
      <c r="I109" s="3" t="n">
        <v>80050.07000000001</v>
      </c>
      <c r="J109" s="2" t="inlineStr">
        <is>
          <t>CFR</t>
        </is>
      </c>
      <c r="K109" s="2" t="inlineStr">
        <is>
          <t>Denizyolu</t>
        </is>
      </c>
      <c r="L109" s="6" t="n">
        <v>45690</v>
      </c>
      <c r="M109" s="6" t="n">
        <v>45698</v>
      </c>
      <c r="N109" s="5" t="n">
        <v>8</v>
      </c>
      <c r="O109" s="2" t="inlineStr">
        <is>
          <t>Yuksek</t>
        </is>
      </c>
    </row>
    <row r="110">
      <c r="A110" s="2" t="inlineStr">
        <is>
          <t>SIP-0109</t>
        </is>
      </c>
      <c r="B110" s="6" t="n">
        <v>45667</v>
      </c>
      <c r="C110" s="2" t="inlineStr">
        <is>
          <t>MUS-064</t>
        </is>
      </c>
      <c r="D110" s="2" t="inlineStr">
        <is>
          <t>TKL-0222</t>
        </is>
      </c>
      <c r="E110" s="2" t="inlineStr">
        <is>
          <t>ST-001</t>
        </is>
      </c>
      <c r="F110" s="2" t="inlineStr">
        <is>
          <t>Tamamlandi</t>
        </is>
      </c>
      <c r="G110" s="2" t="inlineStr">
        <is>
          <t>EUR</t>
        </is>
      </c>
      <c r="H110" s="5" t="n">
        <v>1.1172</v>
      </c>
      <c r="I110" s="3" t="n">
        <v>32632.08</v>
      </c>
      <c r="J110" s="2" t="inlineStr">
        <is>
          <t>FCA</t>
        </is>
      </c>
      <c r="K110" s="2" t="inlineStr">
        <is>
          <t>Karayolu</t>
        </is>
      </c>
      <c r="L110" s="6" t="n">
        <v>45708</v>
      </c>
      <c r="M110" s="6" t="n">
        <v>45709</v>
      </c>
      <c r="N110" s="5" t="n">
        <v>1</v>
      </c>
      <c r="O110" s="2" t="inlineStr">
        <is>
          <t>Normal</t>
        </is>
      </c>
    </row>
    <row r="111">
      <c r="A111" s="2" t="inlineStr">
        <is>
          <t>SIP-0110</t>
        </is>
      </c>
      <c r="B111" s="6" t="n">
        <v>45673</v>
      </c>
      <c r="C111" s="2" t="inlineStr">
        <is>
          <t>MUS-054</t>
        </is>
      </c>
      <c r="D111" s="2" t="inlineStr">
        <is>
          <t>TKL-0223</t>
        </is>
      </c>
      <c r="E111" s="2" t="inlineStr">
        <is>
          <t>ST-004</t>
        </is>
      </c>
      <c r="F111" s="2" t="inlineStr">
        <is>
          <t>Tamamlandi</t>
        </is>
      </c>
      <c r="G111" s="2" t="inlineStr">
        <is>
          <t>USD</t>
        </is>
      </c>
      <c r="H111" s="5" t="n">
        <v>1</v>
      </c>
      <c r="I111" s="3" t="n">
        <v>32392.55</v>
      </c>
      <c r="J111" s="2" t="inlineStr">
        <is>
          <t>CIF</t>
        </is>
      </c>
      <c r="K111" s="2" t="inlineStr">
        <is>
          <t>Denizyolu</t>
        </is>
      </c>
      <c r="L111" s="6" t="n">
        <v>45709</v>
      </c>
      <c r="M111" s="6" t="n">
        <v>45709</v>
      </c>
      <c r="N111" s="5" t="n">
        <v>0</v>
      </c>
      <c r="O111" s="2" t="inlineStr">
        <is>
          <t>Normal</t>
        </is>
      </c>
    </row>
    <row r="112">
      <c r="A112" s="2" t="inlineStr">
        <is>
          <t>SIP-0111</t>
        </is>
      </c>
      <c r="B112" s="6" t="n">
        <v>45657</v>
      </c>
      <c r="C112" s="2" t="inlineStr">
        <is>
          <t>MUS-065</t>
        </is>
      </c>
      <c r="D112" s="2" t="inlineStr">
        <is>
          <t>TKL-0225</t>
        </is>
      </c>
      <c r="E112" s="2" t="inlineStr">
        <is>
          <t>ST-006</t>
        </is>
      </c>
      <c r="F112" s="2" t="inlineStr">
        <is>
          <t>Sevk Edildi</t>
        </is>
      </c>
      <c r="G112" s="2" t="inlineStr">
        <is>
          <t>USD</t>
        </is>
      </c>
      <c r="H112" s="5" t="n">
        <v>1</v>
      </c>
      <c r="I112" s="3" t="n">
        <v>54597.12</v>
      </c>
      <c r="J112" s="2" t="inlineStr">
        <is>
          <t>CFR</t>
        </is>
      </c>
      <c r="K112" s="2" t="inlineStr">
        <is>
          <t>Denizyolu</t>
        </is>
      </c>
      <c r="L112" s="6" t="n">
        <v>45699</v>
      </c>
      <c r="M112" s="6" t="n">
        <v>45700</v>
      </c>
      <c r="N112" s="5" t="n">
        <v>1</v>
      </c>
      <c r="O112" s="2" t="inlineStr">
        <is>
          <t>Yuksek</t>
        </is>
      </c>
    </row>
    <row r="113">
      <c r="A113" s="2" t="inlineStr">
        <is>
          <t>SIP-0112</t>
        </is>
      </c>
      <c r="B113" s="6" t="n">
        <v>45660</v>
      </c>
      <c r="C113" s="2" t="inlineStr">
        <is>
          <t>MUS-017</t>
        </is>
      </c>
      <c r="D113" s="2" t="inlineStr">
        <is>
          <t>TKL-0227</t>
        </is>
      </c>
      <c r="E113" s="2" t="inlineStr">
        <is>
          <t>ST-002</t>
        </is>
      </c>
      <c r="F113" s="2" t="inlineStr">
        <is>
          <t>Sevk Edildi</t>
        </is>
      </c>
      <c r="G113" s="2" t="inlineStr">
        <is>
          <t>EUR</t>
        </is>
      </c>
      <c r="H113" s="5" t="n">
        <v>1.1172</v>
      </c>
      <c r="I113" s="3" t="n">
        <v>22961.17</v>
      </c>
      <c r="J113" s="2" t="inlineStr">
        <is>
          <t>DAP</t>
        </is>
      </c>
      <c r="K113" s="2" t="inlineStr">
        <is>
          <t>Karayolu</t>
        </is>
      </c>
      <c r="L113" s="6" t="n">
        <v>45703</v>
      </c>
      <c r="M113" s="6" t="n">
        <v>45703</v>
      </c>
      <c r="N113" s="5" t="n">
        <v>0</v>
      </c>
      <c r="O113" s="2" t="inlineStr">
        <is>
          <t>Normal</t>
        </is>
      </c>
    </row>
    <row r="114">
      <c r="A114" s="2" t="inlineStr">
        <is>
          <t>SIP-0113</t>
        </is>
      </c>
      <c r="B114" s="6" t="n">
        <v>45659</v>
      </c>
      <c r="C114" s="2" t="inlineStr">
        <is>
          <t>MUS-025</t>
        </is>
      </c>
      <c r="D114" s="2" t="inlineStr">
        <is>
          <t>TKL-0228</t>
        </is>
      </c>
      <c r="E114" s="2" t="inlineStr">
        <is>
          <t>ST-002</t>
        </is>
      </c>
      <c r="F114" s="2" t="inlineStr">
        <is>
          <t>Sevk Edildi</t>
        </is>
      </c>
      <c r="G114" s="2" t="inlineStr">
        <is>
          <t>EUR</t>
        </is>
      </c>
      <c r="H114" s="5" t="n">
        <v>1.1172</v>
      </c>
      <c r="I114" s="3" t="n">
        <v>23430.28</v>
      </c>
      <c r="J114" s="2" t="inlineStr">
        <is>
          <t>DAP</t>
        </is>
      </c>
      <c r="K114" s="2" t="inlineStr">
        <is>
          <t>Karayolu</t>
        </is>
      </c>
      <c r="L114" s="6" t="n">
        <v>45706</v>
      </c>
      <c r="M114" s="6" t="n">
        <v>45709</v>
      </c>
      <c r="N114" s="5" t="n">
        <v>3</v>
      </c>
      <c r="O114" s="2" t="inlineStr">
        <is>
          <t>Normal</t>
        </is>
      </c>
    </row>
    <row r="115">
      <c r="A115" s="2" t="inlineStr">
        <is>
          <t>SIP-0114</t>
        </is>
      </c>
      <c r="B115" s="6" t="n">
        <v>45649</v>
      </c>
      <c r="C115" s="2" t="inlineStr">
        <is>
          <t>MUS-024</t>
        </is>
      </c>
      <c r="D115" s="2" t="inlineStr">
        <is>
          <t>TKL-0229</t>
        </is>
      </c>
      <c r="E115" s="2" t="inlineStr">
        <is>
          <t>ST-004</t>
        </is>
      </c>
      <c r="F115" s="2" t="inlineStr">
        <is>
          <t>Tamamlandi</t>
        </is>
      </c>
      <c r="G115" s="2" t="inlineStr">
        <is>
          <t>USD</t>
        </is>
      </c>
      <c r="H115" s="5" t="n">
        <v>1</v>
      </c>
      <c r="I115" s="3" t="n">
        <v>56199.88</v>
      </c>
      <c r="J115" s="2" t="inlineStr">
        <is>
          <t>CIF</t>
        </is>
      </c>
      <c r="K115" s="2" t="inlineStr">
        <is>
          <t>Karayolu</t>
        </is>
      </c>
      <c r="L115" s="6" t="n">
        <v>45690</v>
      </c>
      <c r="M115" s="6" t="n">
        <v>45692</v>
      </c>
      <c r="N115" s="5" t="n">
        <v>2</v>
      </c>
      <c r="O115" s="2" t="inlineStr">
        <is>
          <t>Yuksek</t>
        </is>
      </c>
    </row>
    <row r="116">
      <c r="A116" s="2" t="inlineStr">
        <is>
          <t>SIP-0115</t>
        </is>
      </c>
      <c r="B116" s="6" t="n">
        <v>45658</v>
      </c>
      <c r="C116" s="2" t="inlineStr">
        <is>
          <t>MUS-020</t>
        </is>
      </c>
      <c r="D116" s="2" t="inlineStr">
        <is>
          <t>TKL-0232</t>
        </is>
      </c>
      <c r="E116" s="2" t="inlineStr">
        <is>
          <t>ST-005</t>
        </is>
      </c>
      <c r="F116" s="2" t="inlineStr">
        <is>
          <t>Tamamlandi</t>
        </is>
      </c>
      <c r="G116" s="2" t="inlineStr">
        <is>
          <t>USD</t>
        </is>
      </c>
      <c r="H116" s="5" t="n">
        <v>1</v>
      </c>
      <c r="I116" s="3" t="n">
        <v>31520.52</v>
      </c>
      <c r="J116" s="2" t="inlineStr">
        <is>
          <t>CFR</t>
        </is>
      </c>
      <c r="K116" s="2" t="inlineStr">
        <is>
          <t>Denizyolu</t>
        </is>
      </c>
      <c r="L116" s="6" t="n">
        <v>45683</v>
      </c>
      <c r="M116" s="6" t="n">
        <v>45683</v>
      </c>
      <c r="N116" s="5" t="n">
        <v>0</v>
      </c>
      <c r="O116" s="2" t="inlineStr">
        <is>
          <t>Normal</t>
        </is>
      </c>
    </row>
    <row r="117">
      <c r="A117" s="2" t="inlineStr">
        <is>
          <t>SIP-0116</t>
        </is>
      </c>
      <c r="B117" s="6" t="n">
        <v>45706</v>
      </c>
      <c r="C117" s="2" t="inlineStr">
        <is>
          <t>MUS-074</t>
        </is>
      </c>
      <c r="D117" s="2" t="inlineStr">
        <is>
          <t>TKL-0233</t>
        </is>
      </c>
      <c r="E117" s="2" t="inlineStr">
        <is>
          <t>ST-007</t>
        </is>
      </c>
      <c r="F117" s="2" t="inlineStr">
        <is>
          <t>Tamamlandi</t>
        </is>
      </c>
      <c r="G117" s="2" t="inlineStr">
        <is>
          <t>USD</t>
        </is>
      </c>
      <c r="H117" s="5" t="n">
        <v>1</v>
      </c>
      <c r="I117" s="3" t="n">
        <v>18026.48</v>
      </c>
      <c r="J117" s="2" t="inlineStr">
        <is>
          <t>FCA</t>
        </is>
      </c>
      <c r="K117" s="2" t="inlineStr">
        <is>
          <t>Karayolu</t>
        </is>
      </c>
      <c r="L117" s="6" t="n">
        <v>45733</v>
      </c>
      <c r="M117" s="6" t="n">
        <v>45736</v>
      </c>
      <c r="N117" s="5" t="n">
        <v>3</v>
      </c>
      <c r="O117" s="2" t="inlineStr">
        <is>
          <t>Normal</t>
        </is>
      </c>
    </row>
    <row r="118">
      <c r="A118" s="2" t="inlineStr">
        <is>
          <t>SIP-0117</t>
        </is>
      </c>
      <c r="B118" s="6" t="n">
        <v>45701</v>
      </c>
      <c r="C118" s="2" t="inlineStr">
        <is>
          <t>MUS-041</t>
        </is>
      </c>
      <c r="D118" s="2" t="inlineStr">
        <is>
          <t>TKL-0237</t>
        </is>
      </c>
      <c r="E118" s="2" t="inlineStr">
        <is>
          <t>ST-002</t>
        </is>
      </c>
      <c r="F118" s="2" t="inlineStr">
        <is>
          <t>Uretimde</t>
        </is>
      </c>
      <c r="G118" s="2" t="inlineStr">
        <is>
          <t>EUR</t>
        </is>
      </c>
      <c r="H118" s="5" t="n">
        <v>1.1251</v>
      </c>
      <c r="I118" s="3" t="n">
        <v>43667.58</v>
      </c>
      <c r="J118" s="2" t="inlineStr">
        <is>
          <t>DAP</t>
        </is>
      </c>
      <c r="K118" s="2" t="inlineStr">
        <is>
          <t>Denizyolu</t>
        </is>
      </c>
      <c r="L118" s="6" t="n">
        <v>45742</v>
      </c>
      <c r="M118" s="6" t="n">
        <v>45745</v>
      </c>
      <c r="N118" s="5" t="n">
        <v>3</v>
      </c>
      <c r="O118" s="2" t="inlineStr">
        <is>
          <t>Kritik</t>
        </is>
      </c>
    </row>
    <row r="119">
      <c r="A119" s="2" t="inlineStr">
        <is>
          <t>SIP-0118</t>
        </is>
      </c>
      <c r="B119" s="6" t="n">
        <v>45671</v>
      </c>
      <c r="C119" s="2" t="inlineStr">
        <is>
          <t>MUS-061</t>
        </is>
      </c>
      <c r="D119" s="2" t="inlineStr">
        <is>
          <t>TKL-0240</t>
        </is>
      </c>
      <c r="E119" s="2" t="inlineStr">
        <is>
          <t>ST-007</t>
        </is>
      </c>
      <c r="F119" s="2" t="inlineStr">
        <is>
          <t>Sevk Edildi</t>
        </is>
      </c>
      <c r="G119" s="2" t="inlineStr">
        <is>
          <t>USD</t>
        </is>
      </c>
      <c r="H119" s="5" t="n">
        <v>1</v>
      </c>
      <c r="I119" s="3" t="n">
        <v>38472.5</v>
      </c>
      <c r="J119" s="2" t="inlineStr">
        <is>
          <t>FCA</t>
        </is>
      </c>
      <c r="K119" s="2" t="inlineStr">
        <is>
          <t>Denizyolu</t>
        </is>
      </c>
      <c r="L119" s="6" t="n">
        <v>45737</v>
      </c>
      <c r="M119" s="6" t="n">
        <v>45737</v>
      </c>
      <c r="N119" s="5" t="n">
        <v>0</v>
      </c>
      <c r="O119" s="2" t="inlineStr">
        <is>
          <t>Yuksek</t>
        </is>
      </c>
    </row>
    <row r="120">
      <c r="A120" s="2" t="inlineStr">
        <is>
          <t>SIP-0119</t>
        </is>
      </c>
      <c r="B120" s="6" t="n">
        <v>45698</v>
      </c>
      <c r="C120" s="2" t="inlineStr">
        <is>
          <t>MUS-007</t>
        </is>
      </c>
      <c r="D120" s="2" t="inlineStr">
        <is>
          <t>TKL-0244</t>
        </is>
      </c>
      <c r="E120" s="2" t="inlineStr">
        <is>
          <t>ST-004</t>
        </is>
      </c>
      <c r="F120" s="2" t="inlineStr">
        <is>
          <t>Tamamlandi</t>
        </is>
      </c>
      <c r="G120" s="2" t="inlineStr">
        <is>
          <t>USD</t>
        </is>
      </c>
      <c r="H120" s="5" t="n">
        <v>1</v>
      </c>
      <c r="I120" s="3" t="n">
        <v>7969.38</v>
      </c>
      <c r="J120" s="2" t="inlineStr">
        <is>
          <t>CIF</t>
        </is>
      </c>
      <c r="K120" s="2" t="inlineStr">
        <is>
          <t>Denizyolu</t>
        </is>
      </c>
      <c r="L120" s="6" t="n">
        <v>45729</v>
      </c>
      <c r="M120" s="6" t="n">
        <v>45729</v>
      </c>
      <c r="N120" s="5" t="n">
        <v>0</v>
      </c>
      <c r="O120" s="2" t="inlineStr">
        <is>
          <t>Normal</t>
        </is>
      </c>
    </row>
    <row r="121">
      <c r="A121" s="2" t="inlineStr">
        <is>
          <t>SIP-0120</t>
        </is>
      </c>
      <c r="B121" s="6" t="n">
        <v>45686</v>
      </c>
      <c r="C121" s="2" t="inlineStr">
        <is>
          <t>MUS-031</t>
        </is>
      </c>
      <c r="D121" s="2" t="inlineStr">
        <is>
          <t>TKL-0246</t>
        </is>
      </c>
      <c r="E121" s="2" t="inlineStr">
        <is>
          <t>ST-002</t>
        </is>
      </c>
      <c r="F121" s="2" t="inlineStr">
        <is>
          <t>Tamamlandi</t>
        </is>
      </c>
      <c r="G121" s="2" t="inlineStr">
        <is>
          <t>EUR</t>
        </is>
      </c>
      <c r="H121" s="5" t="n">
        <v>1.1251</v>
      </c>
      <c r="I121" s="3" t="n">
        <v>39339.07</v>
      </c>
      <c r="J121" s="2" t="inlineStr">
        <is>
          <t>DAP</t>
        </is>
      </c>
      <c r="K121" s="2" t="inlineStr">
        <is>
          <t>Havayolu</t>
        </is>
      </c>
      <c r="L121" s="6" t="n">
        <v>45724</v>
      </c>
      <c r="M121" s="6" t="n">
        <v>45724</v>
      </c>
      <c r="N121" s="5" t="n">
        <v>0</v>
      </c>
      <c r="O121" s="2" t="inlineStr">
        <is>
          <t>Normal</t>
        </is>
      </c>
    </row>
    <row r="122">
      <c r="A122" s="2" t="inlineStr">
        <is>
          <t>SIP-0121</t>
        </is>
      </c>
      <c r="B122" s="6" t="n">
        <v>45707</v>
      </c>
      <c r="C122" s="2" t="inlineStr">
        <is>
          <t>MUS-006</t>
        </is>
      </c>
      <c r="D122" s="2" t="inlineStr">
        <is>
          <t>TKL-0247</t>
        </is>
      </c>
      <c r="E122" s="2" t="inlineStr">
        <is>
          <t>ST-007</t>
        </is>
      </c>
      <c r="F122" s="2" t="inlineStr">
        <is>
          <t>Tamamlandi</t>
        </is>
      </c>
      <c r="G122" s="2" t="inlineStr">
        <is>
          <t>USD</t>
        </is>
      </c>
      <c r="H122" s="5" t="n">
        <v>1</v>
      </c>
      <c r="I122" s="3" t="n">
        <v>24587.47</v>
      </c>
      <c r="J122" s="2" t="inlineStr">
        <is>
          <t>FCA</t>
        </is>
      </c>
      <c r="K122" s="2" t="inlineStr">
        <is>
          <t>Karayolu</t>
        </is>
      </c>
      <c r="L122" s="6" t="n">
        <v>45753</v>
      </c>
      <c r="M122" s="6" t="n">
        <v>45758</v>
      </c>
      <c r="N122" s="5" t="n">
        <v>5</v>
      </c>
      <c r="O122" s="2" t="inlineStr">
        <is>
          <t>Normal</t>
        </is>
      </c>
    </row>
    <row r="123">
      <c r="A123" s="2" t="inlineStr">
        <is>
          <t>SIP-0122</t>
        </is>
      </c>
      <c r="B123" s="6" t="n">
        <v>45721</v>
      </c>
      <c r="C123" s="2" t="inlineStr">
        <is>
          <t>MUS-025</t>
        </is>
      </c>
      <c r="D123" s="2" t="inlineStr">
        <is>
          <t>TKL-0251</t>
        </is>
      </c>
      <c r="E123" s="2" t="inlineStr">
        <is>
          <t>ST-001</t>
        </is>
      </c>
      <c r="F123" s="2" t="inlineStr">
        <is>
          <t>Sevk Edildi</t>
        </is>
      </c>
      <c r="G123" s="2" t="inlineStr">
        <is>
          <t>EUR</t>
        </is>
      </c>
      <c r="H123" s="5" t="n">
        <v>1.1185</v>
      </c>
      <c r="I123" s="3" t="n">
        <v>73785.28999999999</v>
      </c>
      <c r="J123" s="2" t="inlineStr">
        <is>
          <t>DAP</t>
        </is>
      </c>
      <c r="K123" s="2" t="inlineStr">
        <is>
          <t>Karayolu</t>
        </is>
      </c>
      <c r="L123" s="6" t="n">
        <v>45767</v>
      </c>
      <c r="M123" s="6" t="n">
        <v>45768</v>
      </c>
      <c r="N123" s="5" t="n">
        <v>1</v>
      </c>
      <c r="O123" s="2" t="inlineStr">
        <is>
          <t>Normal</t>
        </is>
      </c>
    </row>
    <row r="124">
      <c r="A124" s="2" t="inlineStr">
        <is>
          <t>SIP-0123</t>
        </is>
      </c>
      <c r="B124" s="6" t="n">
        <v>45730</v>
      </c>
      <c r="C124" s="2" t="inlineStr">
        <is>
          <t>MUS-053</t>
        </is>
      </c>
      <c r="D124" s="2" t="inlineStr">
        <is>
          <t>TKL-0262</t>
        </is>
      </c>
      <c r="E124" s="2" t="inlineStr">
        <is>
          <t>ST-001</t>
        </is>
      </c>
      <c r="F124" s="2" t="inlineStr">
        <is>
          <t>Tamamlandi</t>
        </is>
      </c>
      <c r="G124" s="2" t="inlineStr">
        <is>
          <t>EUR</t>
        </is>
      </c>
      <c r="H124" s="5" t="n">
        <v>1.1185</v>
      </c>
      <c r="I124" s="3" t="n">
        <v>49333.39</v>
      </c>
      <c r="J124" s="2" t="inlineStr">
        <is>
          <t>DAP</t>
        </is>
      </c>
      <c r="K124" s="2" t="inlineStr">
        <is>
          <t>Karayolu</t>
        </is>
      </c>
      <c r="L124" s="6" t="n">
        <v>45778</v>
      </c>
      <c r="M124" s="6" t="n">
        <v>45781</v>
      </c>
      <c r="N124" s="5" t="n">
        <v>3</v>
      </c>
      <c r="O124" s="2" t="inlineStr">
        <is>
          <t>Normal</t>
        </is>
      </c>
    </row>
    <row r="125">
      <c r="A125" s="2" t="inlineStr">
        <is>
          <t>SIP-0124</t>
        </is>
      </c>
      <c r="B125" s="6" t="n">
        <v>45736</v>
      </c>
      <c r="C125" s="2" t="inlineStr">
        <is>
          <t>MUS-056</t>
        </is>
      </c>
      <c r="D125" s="2" t="inlineStr">
        <is>
          <t>TKL-0263</t>
        </is>
      </c>
      <c r="E125" s="2" t="inlineStr">
        <is>
          <t>ST-001</t>
        </is>
      </c>
      <c r="F125" s="2" t="inlineStr">
        <is>
          <t>Tamamlandi</t>
        </is>
      </c>
      <c r="G125" s="2" t="inlineStr">
        <is>
          <t>EUR</t>
        </is>
      </c>
      <c r="H125" s="5" t="n">
        <v>1.1185</v>
      </c>
      <c r="I125" s="3" t="n">
        <v>2676.54</v>
      </c>
      <c r="J125" s="2" t="inlineStr">
        <is>
          <t>DAP</t>
        </is>
      </c>
      <c r="K125" s="2" t="inlineStr">
        <is>
          <t>Denizyolu</t>
        </is>
      </c>
      <c r="L125" s="6" t="n">
        <v>45757</v>
      </c>
      <c r="M125" s="6" t="n">
        <v>45757</v>
      </c>
      <c r="N125" s="5" t="n">
        <v>0</v>
      </c>
      <c r="O125" s="2" t="inlineStr">
        <is>
          <t>Normal</t>
        </is>
      </c>
    </row>
    <row r="126">
      <c r="A126" s="2" t="inlineStr">
        <is>
          <t>SIP-0125</t>
        </is>
      </c>
      <c r="B126" s="6" t="n">
        <v>45754</v>
      </c>
      <c r="C126" s="2" t="inlineStr">
        <is>
          <t>MUS-070</t>
        </is>
      </c>
      <c r="D126" s="2" t="inlineStr">
        <is>
          <t>TKL-0266</t>
        </is>
      </c>
      <c r="E126" s="2" t="inlineStr">
        <is>
          <t>ST-001</t>
        </is>
      </c>
      <c r="F126" s="2" t="inlineStr">
        <is>
          <t>Tamamlandi</t>
        </is>
      </c>
      <c r="G126" s="2" t="inlineStr">
        <is>
          <t>EUR</t>
        </is>
      </c>
      <c r="H126" s="5" t="n">
        <v>1.143</v>
      </c>
      <c r="I126" s="3" t="n">
        <v>21859.51</v>
      </c>
      <c r="J126" s="2" t="inlineStr">
        <is>
          <t>DAP</t>
        </is>
      </c>
      <c r="K126" s="2" t="inlineStr">
        <is>
          <t>Karayolu</t>
        </is>
      </c>
      <c r="L126" s="6" t="n">
        <v>45791</v>
      </c>
      <c r="M126" s="6" t="n">
        <v>45791</v>
      </c>
      <c r="N126" s="5" t="n">
        <v>0</v>
      </c>
      <c r="O126" s="2" t="inlineStr">
        <is>
          <t>Normal</t>
        </is>
      </c>
    </row>
    <row r="127">
      <c r="A127" s="2" t="inlineStr">
        <is>
          <t>SIP-0126</t>
        </is>
      </c>
      <c r="B127" s="6" t="n">
        <v>45741</v>
      </c>
      <c r="C127" s="2" t="inlineStr">
        <is>
          <t>MUS-066</t>
        </is>
      </c>
      <c r="D127" s="2" t="inlineStr">
        <is>
          <t>TKL-0269</t>
        </is>
      </c>
      <c r="E127" s="2" t="inlineStr">
        <is>
          <t>ST-008</t>
        </is>
      </c>
      <c r="F127" s="2" t="inlineStr">
        <is>
          <t>Tamamlandi</t>
        </is>
      </c>
      <c r="G127" s="2" t="inlineStr">
        <is>
          <t>USD</t>
        </is>
      </c>
      <c r="H127" s="5" t="n">
        <v>1</v>
      </c>
      <c r="I127" s="3" t="n">
        <v>2233.2</v>
      </c>
      <c r="J127" s="2" t="inlineStr">
        <is>
          <t>FCA</t>
        </is>
      </c>
      <c r="K127" s="2" t="inlineStr">
        <is>
          <t>Karayolu</t>
        </is>
      </c>
      <c r="L127" s="6" t="n">
        <v>45753</v>
      </c>
      <c r="M127" s="6" t="n">
        <v>45754</v>
      </c>
      <c r="N127" s="5" t="n">
        <v>1</v>
      </c>
      <c r="O127" s="2" t="inlineStr">
        <is>
          <t>Normal</t>
        </is>
      </c>
    </row>
    <row r="128">
      <c r="A128" s="2" t="inlineStr">
        <is>
          <t>SIP-0127</t>
        </is>
      </c>
      <c r="B128" s="6" t="n">
        <v>45765</v>
      </c>
      <c r="C128" s="2" t="inlineStr">
        <is>
          <t>MUS-082</t>
        </is>
      </c>
      <c r="D128" s="2" t="inlineStr">
        <is>
          <t>TKL-0272</t>
        </is>
      </c>
      <c r="E128" s="2" t="inlineStr">
        <is>
          <t>ST-001</t>
        </is>
      </c>
      <c r="F128" s="2" t="inlineStr">
        <is>
          <t>Tamamlandi</t>
        </is>
      </c>
      <c r="G128" s="2" t="inlineStr">
        <is>
          <t>EUR</t>
        </is>
      </c>
      <c r="H128" s="5" t="n">
        <v>1.143</v>
      </c>
      <c r="I128" s="3" t="n">
        <v>21359.8</v>
      </c>
      <c r="J128" s="2" t="inlineStr">
        <is>
          <t>DAP</t>
        </is>
      </c>
      <c r="K128" s="2" t="inlineStr">
        <is>
          <t>Karayolu</t>
        </is>
      </c>
      <c r="L128" s="6" t="n">
        <v>45807</v>
      </c>
      <c r="M128" s="6" t="n">
        <v>45807</v>
      </c>
      <c r="N128" s="5" t="n">
        <v>0</v>
      </c>
      <c r="O128" s="2" t="inlineStr">
        <is>
          <t>Normal</t>
        </is>
      </c>
    </row>
    <row r="129">
      <c r="A129" s="2" t="inlineStr">
        <is>
          <t>SIP-0128</t>
        </is>
      </c>
      <c r="B129" s="6" t="n">
        <v>45748</v>
      </c>
      <c r="C129" s="2" t="inlineStr">
        <is>
          <t>MUS-038</t>
        </is>
      </c>
      <c r="D129" s="2" t="inlineStr">
        <is>
          <t>TKL-0273</t>
        </is>
      </c>
      <c r="E129" s="2" t="inlineStr">
        <is>
          <t>ST-003</t>
        </is>
      </c>
      <c r="F129" s="2" t="inlineStr">
        <is>
          <t>Uretimde</t>
        </is>
      </c>
      <c r="G129" s="2" t="inlineStr">
        <is>
          <t>USD</t>
        </is>
      </c>
      <c r="H129" s="5" t="n">
        <v>1</v>
      </c>
      <c r="I129" s="3" t="n">
        <v>78880.25999999999</v>
      </c>
      <c r="J129" s="2" t="inlineStr">
        <is>
          <t>CIF</t>
        </is>
      </c>
      <c r="K129" s="2" t="inlineStr">
        <is>
          <t>Denizyolu</t>
        </is>
      </c>
      <c r="L129" s="6" t="n">
        <v>45814</v>
      </c>
      <c r="M129" s="6" t="n">
        <v>45816</v>
      </c>
      <c r="N129" s="5" t="n">
        <v>2</v>
      </c>
      <c r="O129" s="2" t="inlineStr">
        <is>
          <t>Yuksek</t>
        </is>
      </c>
    </row>
    <row r="130">
      <c r="A130" s="2" t="inlineStr">
        <is>
          <t>SIP-0129</t>
        </is>
      </c>
      <c r="B130" s="6" t="n">
        <v>45749</v>
      </c>
      <c r="C130" s="2" t="inlineStr">
        <is>
          <t>MUS-079</t>
        </is>
      </c>
      <c r="D130" s="2" t="inlineStr">
        <is>
          <t>TKL-0274</t>
        </is>
      </c>
      <c r="E130" s="2" t="inlineStr">
        <is>
          <t>ST-004</t>
        </is>
      </c>
      <c r="F130" s="2" t="inlineStr">
        <is>
          <t>Uretimde</t>
        </is>
      </c>
      <c r="G130" s="2" t="inlineStr">
        <is>
          <t>USD</t>
        </is>
      </c>
      <c r="H130" s="5" t="n">
        <v>1</v>
      </c>
      <c r="I130" s="3" t="n">
        <v>41333.76</v>
      </c>
      <c r="J130" s="2" t="inlineStr">
        <is>
          <t>CIF</t>
        </is>
      </c>
      <c r="K130" s="2" t="inlineStr">
        <is>
          <t>Karayolu</t>
        </is>
      </c>
      <c r="L130" s="6" t="n">
        <v>45779</v>
      </c>
      <c r="M130" s="6" t="n">
        <v>45779</v>
      </c>
      <c r="N130" s="5" t="n">
        <v>0</v>
      </c>
      <c r="O130" s="2" t="inlineStr">
        <is>
          <t>Normal</t>
        </is>
      </c>
    </row>
    <row r="131">
      <c r="A131" s="2" t="inlineStr">
        <is>
          <t>SIP-0130</t>
        </is>
      </c>
      <c r="B131" s="6" t="n">
        <v>45779</v>
      </c>
      <c r="C131" s="2" t="inlineStr">
        <is>
          <t>MUS-051</t>
        </is>
      </c>
      <c r="D131" s="2" t="inlineStr">
        <is>
          <t>TKL-0276</t>
        </is>
      </c>
      <c r="E131" s="2" t="inlineStr">
        <is>
          <t>ST-002</t>
        </is>
      </c>
      <c r="F131" s="2" t="inlineStr">
        <is>
          <t>Tamamlandi</t>
        </is>
      </c>
      <c r="G131" s="2" t="inlineStr">
        <is>
          <t>EUR</t>
        </is>
      </c>
      <c r="H131" s="5" t="n">
        <v>1.143</v>
      </c>
      <c r="I131" s="3" t="n">
        <v>19374.11</v>
      </c>
      <c r="J131" s="2" t="inlineStr">
        <is>
          <t>DAP</t>
        </is>
      </c>
      <c r="K131" s="2" t="inlineStr">
        <is>
          <t>Karayolu</t>
        </is>
      </c>
      <c r="L131" s="6" t="n">
        <v>45815</v>
      </c>
      <c r="M131" s="6" t="n">
        <v>45815</v>
      </c>
      <c r="N131" s="5" t="n">
        <v>0</v>
      </c>
      <c r="O131" s="2" t="inlineStr">
        <is>
          <t>Normal</t>
        </is>
      </c>
    </row>
    <row r="132">
      <c r="A132" s="2" t="inlineStr">
        <is>
          <t>SIP-0131</t>
        </is>
      </c>
      <c r="B132" s="6" t="n">
        <v>45760</v>
      </c>
      <c r="C132" s="2" t="inlineStr">
        <is>
          <t>MUS-074</t>
        </is>
      </c>
      <c r="D132" s="2" t="inlineStr">
        <is>
          <t>TKL-0277</t>
        </is>
      </c>
      <c r="E132" s="2" t="inlineStr">
        <is>
          <t>ST-008</t>
        </is>
      </c>
      <c r="F132" s="2" t="inlineStr">
        <is>
          <t>Sevk Edildi</t>
        </is>
      </c>
      <c r="G132" s="2" t="inlineStr">
        <is>
          <t>USD</t>
        </is>
      </c>
      <c r="H132" s="5" t="n">
        <v>1</v>
      </c>
      <c r="I132" s="3" t="n">
        <v>45079.72</v>
      </c>
      <c r="J132" s="2" t="inlineStr">
        <is>
          <t>FCA</t>
        </is>
      </c>
      <c r="K132" s="2" t="inlineStr">
        <is>
          <t>Karayolu</t>
        </is>
      </c>
      <c r="L132" s="6" t="n">
        <v>45805</v>
      </c>
      <c r="M132" s="6" t="n">
        <v>45808</v>
      </c>
      <c r="N132" s="5" t="n">
        <v>3</v>
      </c>
      <c r="O132" s="2" t="inlineStr">
        <is>
          <t>Normal</t>
        </is>
      </c>
    </row>
    <row r="133">
      <c r="A133" s="2" t="inlineStr">
        <is>
          <t>SIP-0132</t>
        </is>
      </c>
      <c r="B133" s="6" t="n">
        <v>45730</v>
      </c>
      <c r="C133" s="2" t="inlineStr">
        <is>
          <t>MUS-073</t>
        </is>
      </c>
      <c r="D133" s="2" t="inlineStr">
        <is>
          <t>TKL-0278</t>
        </is>
      </c>
      <c r="E133" s="2" t="inlineStr">
        <is>
          <t>ST-004</t>
        </is>
      </c>
      <c r="F133" s="2" t="inlineStr">
        <is>
          <t>Tamamlandi</t>
        </is>
      </c>
      <c r="G133" s="2" t="inlineStr">
        <is>
          <t>USD</t>
        </is>
      </c>
      <c r="H133" s="5" t="n">
        <v>1</v>
      </c>
      <c r="I133" s="3" t="n">
        <v>22851.06</v>
      </c>
      <c r="J133" s="2" t="inlineStr">
        <is>
          <t>CIF</t>
        </is>
      </c>
      <c r="K133" s="2" t="inlineStr">
        <is>
          <t>Denizyolu</t>
        </is>
      </c>
      <c r="L133" s="6" t="n">
        <v>45780</v>
      </c>
      <c r="M133" s="6" t="n">
        <v>45782</v>
      </c>
      <c r="N133" s="5" t="n">
        <v>2</v>
      </c>
      <c r="O133" s="2" t="inlineStr">
        <is>
          <t>Yuksek</t>
        </is>
      </c>
    </row>
    <row r="134">
      <c r="A134" s="2" t="inlineStr">
        <is>
          <t>SIP-0133</t>
        </is>
      </c>
      <c r="B134" s="6" t="n">
        <v>45758</v>
      </c>
      <c r="C134" s="2" t="inlineStr">
        <is>
          <t>MUS-019</t>
        </is>
      </c>
      <c r="D134" s="2" t="inlineStr">
        <is>
          <t>TKL-0279</t>
        </is>
      </c>
      <c r="E134" s="2" t="inlineStr">
        <is>
          <t>ST-004</t>
        </is>
      </c>
      <c r="F134" s="2" t="inlineStr">
        <is>
          <t>Tamamlandi</t>
        </is>
      </c>
      <c r="G134" s="2" t="inlineStr">
        <is>
          <t>USD</t>
        </is>
      </c>
      <c r="H134" s="5" t="n">
        <v>1</v>
      </c>
      <c r="I134" s="3" t="n">
        <v>12834.94</v>
      </c>
      <c r="J134" s="2" t="inlineStr">
        <is>
          <t>CIF</t>
        </is>
      </c>
      <c r="K134" s="2" t="inlineStr">
        <is>
          <t>Denizyolu</t>
        </is>
      </c>
      <c r="L134" s="6" t="n">
        <v>45784</v>
      </c>
      <c r="M134" s="6" t="n">
        <v>45784</v>
      </c>
      <c r="N134" s="5" t="n">
        <v>0</v>
      </c>
      <c r="O134" s="2" t="inlineStr">
        <is>
          <t>Normal</t>
        </is>
      </c>
    </row>
    <row r="135">
      <c r="A135" s="2" t="inlineStr">
        <is>
          <t>SIP-0134</t>
        </is>
      </c>
      <c r="B135" s="6" t="n">
        <v>45750</v>
      </c>
      <c r="C135" s="2" t="inlineStr">
        <is>
          <t>MUS-070</t>
        </is>
      </c>
      <c r="D135" s="2" t="inlineStr">
        <is>
          <t>TKL-0280</t>
        </is>
      </c>
      <c r="E135" s="2" t="inlineStr">
        <is>
          <t>ST-001</t>
        </is>
      </c>
      <c r="F135" s="2" t="inlineStr">
        <is>
          <t>Tamamlandi</t>
        </is>
      </c>
      <c r="G135" s="2" t="inlineStr">
        <is>
          <t>EUR</t>
        </is>
      </c>
      <c r="H135" s="5" t="n">
        <v>1.143</v>
      </c>
      <c r="I135" s="3" t="n">
        <v>7877.74</v>
      </c>
      <c r="J135" s="2" t="inlineStr">
        <is>
          <t>DAP</t>
        </is>
      </c>
      <c r="K135" s="2" t="inlineStr">
        <is>
          <t>Denizyolu</t>
        </is>
      </c>
      <c r="L135" s="6" t="n">
        <v>45793</v>
      </c>
      <c r="M135" s="6" t="n">
        <v>45793</v>
      </c>
      <c r="N135" s="5" t="n">
        <v>0</v>
      </c>
      <c r="O135" s="2" t="inlineStr">
        <is>
          <t>Kritik</t>
        </is>
      </c>
    </row>
    <row r="136">
      <c r="A136" s="2" t="inlineStr">
        <is>
          <t>SIP-0135</t>
        </is>
      </c>
      <c r="B136" s="6" t="n">
        <v>45782</v>
      </c>
      <c r="C136" s="2" t="inlineStr">
        <is>
          <t>MUS-005</t>
        </is>
      </c>
      <c r="D136" s="2" t="inlineStr">
        <is>
          <t>TKL-0281</t>
        </is>
      </c>
      <c r="E136" s="2" t="inlineStr">
        <is>
          <t>ST-002</t>
        </is>
      </c>
      <c r="F136" s="2" t="inlineStr">
        <is>
          <t>Tamamlandi</t>
        </is>
      </c>
      <c r="G136" s="2" t="inlineStr">
        <is>
          <t>EUR</t>
        </is>
      </c>
      <c r="H136" s="5" t="n">
        <v>1.143</v>
      </c>
      <c r="I136" s="3" t="n">
        <v>37084.79</v>
      </c>
      <c r="J136" s="2" t="inlineStr">
        <is>
          <t>DAP</t>
        </is>
      </c>
      <c r="K136" s="2" t="inlineStr">
        <is>
          <t>Karayolu</t>
        </is>
      </c>
      <c r="L136" s="6" t="n">
        <v>45806</v>
      </c>
      <c r="M136" s="6" t="n">
        <v>45806</v>
      </c>
      <c r="N136" s="5" t="n">
        <v>0</v>
      </c>
      <c r="O136" s="2" t="inlineStr">
        <is>
          <t>Normal</t>
        </is>
      </c>
    </row>
    <row r="137">
      <c r="A137" s="2" t="inlineStr">
        <is>
          <t>SIP-0136</t>
        </is>
      </c>
      <c r="B137" s="6" t="n">
        <v>45773</v>
      </c>
      <c r="C137" s="2" t="inlineStr">
        <is>
          <t>MUS-074</t>
        </is>
      </c>
      <c r="D137" s="2" t="inlineStr">
        <is>
          <t>TKL-0291</t>
        </is>
      </c>
      <c r="E137" s="2" t="inlineStr">
        <is>
          <t>ST-007</t>
        </is>
      </c>
      <c r="F137" s="2" t="inlineStr">
        <is>
          <t>Sevk Edildi</t>
        </is>
      </c>
      <c r="G137" s="2" t="inlineStr">
        <is>
          <t>USD</t>
        </is>
      </c>
      <c r="H137" s="5" t="n">
        <v>1</v>
      </c>
      <c r="I137" s="3" t="n">
        <v>38410.68</v>
      </c>
      <c r="J137" s="2" t="inlineStr">
        <is>
          <t>FCA</t>
        </is>
      </c>
      <c r="K137" s="2" t="inlineStr">
        <is>
          <t>Karayolu</t>
        </is>
      </c>
      <c r="L137" s="6" t="n">
        <v>45798</v>
      </c>
      <c r="M137" s="6" t="n">
        <v>45800</v>
      </c>
      <c r="N137" s="5" t="n">
        <v>2</v>
      </c>
      <c r="O137" s="2" t="inlineStr">
        <is>
          <t>Normal</t>
        </is>
      </c>
    </row>
    <row r="138">
      <c r="A138" s="2" t="inlineStr">
        <is>
          <t>SIP-0137</t>
        </is>
      </c>
      <c r="B138" s="6" t="n">
        <v>45800</v>
      </c>
      <c r="C138" s="2" t="inlineStr">
        <is>
          <t>MUS-039</t>
        </is>
      </c>
      <c r="D138" s="2" t="inlineStr">
        <is>
          <t>TKL-0292</t>
        </is>
      </c>
      <c r="E138" s="2" t="inlineStr">
        <is>
          <t>ST-004</t>
        </is>
      </c>
      <c r="F138" s="2" t="inlineStr">
        <is>
          <t>Sevk Edildi</t>
        </is>
      </c>
      <c r="G138" s="2" t="inlineStr">
        <is>
          <t>USD</t>
        </is>
      </c>
      <c r="H138" s="5" t="n">
        <v>1</v>
      </c>
      <c r="I138" s="3" t="n">
        <v>16284.1</v>
      </c>
      <c r="J138" s="2" t="inlineStr">
        <is>
          <t>CIF</t>
        </is>
      </c>
      <c r="K138" s="2" t="inlineStr">
        <is>
          <t>Denizyolu</t>
        </is>
      </c>
      <c r="L138" s="6" t="n">
        <v>45846</v>
      </c>
      <c r="M138" s="6" t="n">
        <v>45849</v>
      </c>
      <c r="N138" s="5" t="n">
        <v>3</v>
      </c>
      <c r="O138" s="2" t="inlineStr">
        <is>
          <t>Normal</t>
        </is>
      </c>
    </row>
    <row r="139">
      <c r="A139" s="2" t="inlineStr">
        <is>
          <t>SIP-0138</t>
        </is>
      </c>
      <c r="B139" s="6" t="n">
        <v>45767</v>
      </c>
      <c r="C139" s="2" t="inlineStr">
        <is>
          <t>MUS-044</t>
        </is>
      </c>
      <c r="D139" s="2" t="inlineStr">
        <is>
          <t>TKL-0293</t>
        </is>
      </c>
      <c r="E139" s="2" t="inlineStr">
        <is>
          <t>ST-001</t>
        </is>
      </c>
      <c r="F139" s="2" t="inlineStr">
        <is>
          <t>Uretimde</t>
        </is>
      </c>
      <c r="G139" s="2" t="inlineStr">
        <is>
          <t>EUR</t>
        </is>
      </c>
      <c r="H139" s="5" t="n">
        <v>1.1556</v>
      </c>
      <c r="I139" s="3" t="n">
        <v>40518.13</v>
      </c>
      <c r="J139" s="2" t="inlineStr">
        <is>
          <t>DAP</t>
        </is>
      </c>
      <c r="K139" s="2" t="inlineStr">
        <is>
          <t>Karayolu</t>
        </is>
      </c>
      <c r="L139" s="6" t="n">
        <v>45833</v>
      </c>
      <c r="M139" s="6" t="n">
        <v>45836</v>
      </c>
      <c r="N139" s="5" t="n">
        <v>3</v>
      </c>
      <c r="O139" s="2" t="inlineStr">
        <is>
          <t>Yuksek</t>
        </is>
      </c>
    </row>
    <row r="140">
      <c r="A140" s="2" t="inlineStr">
        <is>
          <t>SIP-0139</t>
        </is>
      </c>
      <c r="B140" s="6" t="n">
        <v>45770</v>
      </c>
      <c r="C140" s="2" t="inlineStr">
        <is>
          <t>MUS-079</t>
        </is>
      </c>
      <c r="D140" s="2" t="inlineStr">
        <is>
          <t>TKL-0294</t>
        </is>
      </c>
      <c r="E140" s="2" t="inlineStr">
        <is>
          <t>ST-004</t>
        </is>
      </c>
      <c r="F140" s="2" t="inlineStr">
        <is>
          <t>Tamamlandi</t>
        </is>
      </c>
      <c r="G140" s="2" t="inlineStr">
        <is>
          <t>USD</t>
        </is>
      </c>
      <c r="H140" s="5" t="n">
        <v>1</v>
      </c>
      <c r="I140" s="3" t="n">
        <v>63866.58</v>
      </c>
      <c r="J140" s="2" t="inlineStr">
        <is>
          <t>CIF</t>
        </is>
      </c>
      <c r="K140" s="2" t="inlineStr">
        <is>
          <t>Denizyolu</t>
        </is>
      </c>
      <c r="L140" s="6" t="n">
        <v>45808</v>
      </c>
      <c r="M140" s="6" t="n">
        <v>45808</v>
      </c>
      <c r="N140" s="5" t="n">
        <v>0</v>
      </c>
      <c r="O140" s="2" t="inlineStr">
        <is>
          <t>Kritik</t>
        </is>
      </c>
    </row>
    <row r="141">
      <c r="A141" s="2" t="inlineStr">
        <is>
          <t>SIP-0140</t>
        </is>
      </c>
      <c r="B141" s="6" t="n">
        <v>45776</v>
      </c>
      <c r="C141" s="2" t="inlineStr">
        <is>
          <t>MUS-061</t>
        </is>
      </c>
      <c r="D141" s="2" t="inlineStr">
        <is>
          <t>TKL-0295</t>
        </is>
      </c>
      <c r="E141" s="2" t="inlineStr">
        <is>
          <t>ST-008</t>
        </is>
      </c>
      <c r="F141" s="2" t="inlineStr">
        <is>
          <t>Tamamlandi</t>
        </is>
      </c>
      <c r="G141" s="2" t="inlineStr">
        <is>
          <t>USD</t>
        </is>
      </c>
      <c r="H141" s="5" t="n">
        <v>1</v>
      </c>
      <c r="I141" s="3" t="n">
        <v>14009.36</v>
      </c>
      <c r="J141" s="2" t="inlineStr">
        <is>
          <t>FCA</t>
        </is>
      </c>
      <c r="K141" s="2" t="inlineStr">
        <is>
          <t>Karayolu</t>
        </is>
      </c>
      <c r="L141" s="6" t="n">
        <v>45822</v>
      </c>
      <c r="M141" s="6" t="n">
        <v>45830</v>
      </c>
      <c r="N141" s="5" t="n">
        <v>8</v>
      </c>
      <c r="O141" s="2" t="inlineStr">
        <is>
          <t>Normal</t>
        </is>
      </c>
    </row>
    <row r="142">
      <c r="A142" s="2" t="inlineStr">
        <is>
          <t>SIP-0141</t>
        </is>
      </c>
      <c r="B142" s="6" t="n">
        <v>45776</v>
      </c>
      <c r="C142" s="2" t="inlineStr">
        <is>
          <t>MUS-044</t>
        </is>
      </c>
      <c r="D142" s="2" t="inlineStr">
        <is>
          <t>TKL-0297</t>
        </is>
      </c>
      <c r="E142" s="2" t="inlineStr">
        <is>
          <t>ST-002</t>
        </is>
      </c>
      <c r="F142" s="2" t="inlineStr">
        <is>
          <t>Uretimde</t>
        </is>
      </c>
      <c r="G142" s="2" t="inlineStr">
        <is>
          <t>EUR</t>
        </is>
      </c>
      <c r="H142" s="5" t="n">
        <v>1.1556</v>
      </c>
      <c r="I142" s="3" t="n">
        <v>15558.93</v>
      </c>
      <c r="J142" s="2" t="inlineStr">
        <is>
          <t>DAP</t>
        </is>
      </c>
      <c r="K142" s="2" t="inlineStr">
        <is>
          <t>Denizyolu</t>
        </is>
      </c>
      <c r="L142" s="6" t="n">
        <v>45822</v>
      </c>
      <c r="M142" s="6" t="n">
        <v>45825</v>
      </c>
      <c r="N142" s="5" t="n">
        <v>3</v>
      </c>
      <c r="O142" s="2" t="inlineStr">
        <is>
          <t>Normal</t>
        </is>
      </c>
    </row>
    <row r="143">
      <c r="A143" s="2" t="inlineStr">
        <is>
          <t>SIP-0142</t>
        </is>
      </c>
      <c r="B143" s="6" t="n">
        <v>45774</v>
      </c>
      <c r="C143" s="2" t="inlineStr">
        <is>
          <t>MUS-040</t>
        </is>
      </c>
      <c r="D143" s="2" t="inlineStr">
        <is>
          <t>TKL-0298</t>
        </is>
      </c>
      <c r="E143" s="2" t="inlineStr">
        <is>
          <t>ST-003</t>
        </is>
      </c>
      <c r="F143" s="2" t="inlineStr">
        <is>
          <t>Uretimde</t>
        </is>
      </c>
      <c r="G143" s="2" t="inlineStr">
        <is>
          <t>USD</t>
        </is>
      </c>
      <c r="H143" s="5" t="n">
        <v>1</v>
      </c>
      <c r="I143" s="3" t="n">
        <v>26429.39</v>
      </c>
      <c r="J143" s="2" t="inlineStr">
        <is>
          <t>CIF</t>
        </is>
      </c>
      <c r="K143" s="2" t="inlineStr">
        <is>
          <t>Denizyolu</t>
        </is>
      </c>
      <c r="L143" s="6" t="n">
        <v>45820</v>
      </c>
      <c r="M143" s="6" t="n">
        <v>45822</v>
      </c>
      <c r="N143" s="5" t="n">
        <v>2</v>
      </c>
      <c r="O143" s="2" t="inlineStr">
        <is>
          <t>Normal</t>
        </is>
      </c>
    </row>
    <row r="144">
      <c r="A144" s="2" t="inlineStr">
        <is>
          <t>SIP-0143</t>
        </is>
      </c>
      <c r="B144" s="6" t="n">
        <v>45799</v>
      </c>
      <c r="C144" s="2" t="inlineStr">
        <is>
          <t>MUS-076</t>
        </is>
      </c>
      <c r="D144" s="2" t="inlineStr">
        <is>
          <t>TKL-0299</t>
        </is>
      </c>
      <c r="E144" s="2" t="inlineStr">
        <is>
          <t>ST-001</t>
        </is>
      </c>
      <c r="F144" s="2" t="inlineStr">
        <is>
          <t>Sevk Edildi</t>
        </is>
      </c>
      <c r="G144" s="2" t="inlineStr">
        <is>
          <t>EUR</t>
        </is>
      </c>
      <c r="H144" s="5" t="n">
        <v>1.1556</v>
      </c>
      <c r="I144" s="3" t="n">
        <v>8381.52</v>
      </c>
      <c r="J144" s="2" t="inlineStr">
        <is>
          <t>DAP</t>
        </is>
      </c>
      <c r="K144" s="2" t="inlineStr">
        <is>
          <t>Denizyolu</t>
        </is>
      </c>
      <c r="L144" s="6" t="n">
        <v>45840</v>
      </c>
      <c r="M144" s="6" t="n">
        <v>45852</v>
      </c>
      <c r="N144" s="5" t="n">
        <v>12</v>
      </c>
      <c r="O144" s="2" t="inlineStr">
        <is>
          <t>Normal</t>
        </is>
      </c>
    </row>
    <row r="145">
      <c r="A145" s="2" t="inlineStr">
        <is>
          <t>SIP-0144</t>
        </is>
      </c>
      <c r="B145" s="6" t="n">
        <v>45773</v>
      </c>
      <c r="C145" s="2" t="inlineStr">
        <is>
          <t>MUS-006</t>
        </is>
      </c>
      <c r="D145" s="2" t="inlineStr">
        <is>
          <t>TKL-0301</t>
        </is>
      </c>
      <c r="E145" s="2" t="inlineStr">
        <is>
          <t>ST-007</t>
        </is>
      </c>
      <c r="F145" s="2" t="inlineStr">
        <is>
          <t>Tamamlandi</t>
        </is>
      </c>
      <c r="G145" s="2" t="inlineStr">
        <is>
          <t>USD</t>
        </is>
      </c>
      <c r="H145" s="5" t="n">
        <v>1</v>
      </c>
      <c r="I145" s="3" t="n">
        <v>25234.5</v>
      </c>
      <c r="J145" s="2" t="inlineStr">
        <is>
          <t>FCA</t>
        </is>
      </c>
      <c r="K145" s="2" t="inlineStr">
        <is>
          <t>Karayolu</t>
        </is>
      </c>
      <c r="L145" s="6" t="n">
        <v>45814</v>
      </c>
      <c r="M145" s="6" t="n">
        <v>45814</v>
      </c>
      <c r="N145" s="5" t="n">
        <v>0</v>
      </c>
      <c r="O145" s="2" t="inlineStr">
        <is>
          <t>Normal</t>
        </is>
      </c>
    </row>
    <row r="146">
      <c r="A146" s="2" t="inlineStr">
        <is>
          <t>SIP-0145</t>
        </is>
      </c>
      <c r="B146" s="6" t="n">
        <v>45826</v>
      </c>
      <c r="C146" s="2" t="inlineStr">
        <is>
          <t>MUS-082</t>
        </is>
      </c>
      <c r="D146" s="2" t="inlineStr">
        <is>
          <t>TKL-0303</t>
        </is>
      </c>
      <c r="E146" s="2" t="inlineStr">
        <is>
          <t>ST-001</t>
        </is>
      </c>
      <c r="F146" s="2" t="inlineStr">
        <is>
          <t>Sevk Edildi</t>
        </is>
      </c>
      <c r="G146" s="2" t="inlineStr">
        <is>
          <t>EUR</t>
        </is>
      </c>
      <c r="H146" s="5" t="n">
        <v>1.1556</v>
      </c>
      <c r="I146" s="3" t="n">
        <v>27838.2</v>
      </c>
      <c r="J146" s="2" t="inlineStr">
        <is>
          <t>DAP</t>
        </is>
      </c>
      <c r="K146" s="2" t="inlineStr">
        <is>
          <t>Denizyolu</t>
        </is>
      </c>
      <c r="L146" s="6" t="n">
        <v>45872</v>
      </c>
      <c r="M146" s="6" t="n">
        <v>45872</v>
      </c>
      <c r="N146" s="5" t="n">
        <v>0</v>
      </c>
      <c r="O146" s="2" t="inlineStr">
        <is>
          <t>Yuksek</t>
        </is>
      </c>
    </row>
    <row r="147">
      <c r="A147" s="2" t="inlineStr">
        <is>
          <t>SIP-0146</t>
        </is>
      </c>
      <c r="B147" s="6" t="n">
        <v>45773</v>
      </c>
      <c r="C147" s="2" t="inlineStr">
        <is>
          <t>MUS-065</t>
        </is>
      </c>
      <c r="D147" s="2" t="inlineStr">
        <is>
          <t>TKL-0304</t>
        </is>
      </c>
      <c r="E147" s="2" t="inlineStr">
        <is>
          <t>ST-006</t>
        </is>
      </c>
      <c r="F147" s="2" t="inlineStr">
        <is>
          <t>Sevk Edildi</t>
        </is>
      </c>
      <c r="G147" s="2" t="inlineStr">
        <is>
          <t>USD</t>
        </is>
      </c>
      <c r="H147" s="5" t="n">
        <v>1</v>
      </c>
      <c r="I147" s="3" t="n">
        <v>105730.46</v>
      </c>
      <c r="J147" s="2" t="inlineStr">
        <is>
          <t>CFR</t>
        </is>
      </c>
      <c r="K147" s="2" t="inlineStr">
        <is>
          <t>Denizyolu</t>
        </is>
      </c>
      <c r="L147" s="6" t="n">
        <v>45823</v>
      </c>
      <c r="M147" s="6" t="n">
        <v>45823</v>
      </c>
      <c r="N147" s="5" t="n">
        <v>0</v>
      </c>
      <c r="O147" s="2" t="inlineStr">
        <is>
          <t>Normal</t>
        </is>
      </c>
    </row>
    <row r="148">
      <c r="A148" s="2" t="inlineStr">
        <is>
          <t>SIP-0147</t>
        </is>
      </c>
      <c r="B148" s="6" t="n">
        <v>45784</v>
      </c>
      <c r="C148" s="2" t="inlineStr">
        <is>
          <t>MUS-036</t>
        </is>
      </c>
      <c r="D148" s="2" t="inlineStr">
        <is>
          <t>TKL-0307</t>
        </is>
      </c>
      <c r="E148" s="2" t="inlineStr">
        <is>
          <t>ST-006</t>
        </is>
      </c>
      <c r="F148" s="2" t="inlineStr">
        <is>
          <t>Tamamlandi</t>
        </is>
      </c>
      <c r="G148" s="2" t="inlineStr">
        <is>
          <t>USD</t>
        </is>
      </c>
      <c r="H148" s="5" t="n">
        <v>1</v>
      </c>
      <c r="I148" s="3" t="n">
        <v>41504.09</v>
      </c>
      <c r="J148" s="2" t="inlineStr">
        <is>
          <t>CFR</t>
        </is>
      </c>
      <c r="K148" s="2" t="inlineStr">
        <is>
          <t>Denizyolu</t>
        </is>
      </c>
      <c r="L148" s="6" t="n">
        <v>45825</v>
      </c>
      <c r="M148" s="6" t="n">
        <v>45826</v>
      </c>
      <c r="N148" s="5" t="n">
        <v>1</v>
      </c>
      <c r="O148" s="2" t="inlineStr">
        <is>
          <t>Kritik</t>
        </is>
      </c>
    </row>
    <row r="149">
      <c r="A149" s="2" t="inlineStr">
        <is>
          <t>SIP-0148</t>
        </is>
      </c>
      <c r="B149" s="6" t="n">
        <v>45799</v>
      </c>
      <c r="C149" s="2" t="inlineStr">
        <is>
          <t>MUS-006</t>
        </is>
      </c>
      <c r="D149" s="2" t="inlineStr">
        <is>
          <t>TKL-0308</t>
        </is>
      </c>
      <c r="E149" s="2" t="inlineStr">
        <is>
          <t>ST-008</t>
        </is>
      </c>
      <c r="F149" s="2" t="inlineStr">
        <is>
          <t>Tamamlandi</t>
        </is>
      </c>
      <c r="G149" s="2" t="inlineStr">
        <is>
          <t>USD</t>
        </is>
      </c>
      <c r="H149" s="5" t="n">
        <v>1</v>
      </c>
      <c r="I149" s="3" t="n">
        <v>46341.85</v>
      </c>
      <c r="J149" s="2" t="inlineStr">
        <is>
          <t>FCA</t>
        </is>
      </c>
      <c r="K149" s="2" t="inlineStr">
        <is>
          <t>Karayolu</t>
        </is>
      </c>
      <c r="L149" s="6" t="n">
        <v>45843</v>
      </c>
      <c r="M149" s="6" t="n">
        <v>45843</v>
      </c>
      <c r="N149" s="5" t="n">
        <v>0</v>
      </c>
      <c r="O149" s="2" t="inlineStr">
        <is>
          <t>Yuksek</t>
        </is>
      </c>
    </row>
    <row r="150">
      <c r="A150" s="2" t="inlineStr">
        <is>
          <t>SIP-0149</t>
        </is>
      </c>
      <c r="B150" s="6" t="n">
        <v>45780</v>
      </c>
      <c r="C150" s="2" t="inlineStr">
        <is>
          <t>MUS-006</t>
        </is>
      </c>
      <c r="D150" s="2" t="inlineStr">
        <is>
          <t>TKL-0309</t>
        </is>
      </c>
      <c r="E150" s="2" t="inlineStr">
        <is>
          <t>ST-008</t>
        </is>
      </c>
      <c r="F150" s="2" t="inlineStr">
        <is>
          <t>Uretimde</t>
        </is>
      </c>
      <c r="G150" s="2" t="inlineStr">
        <is>
          <t>USD</t>
        </is>
      </c>
      <c r="H150" s="5" t="n">
        <v>1</v>
      </c>
      <c r="I150" s="3" t="n">
        <v>31601.54</v>
      </c>
      <c r="J150" s="2" t="inlineStr">
        <is>
          <t>FCA</t>
        </is>
      </c>
      <c r="K150" s="2" t="inlineStr">
        <is>
          <t>Karayolu</t>
        </is>
      </c>
      <c r="L150" s="6" t="n">
        <v>45828</v>
      </c>
      <c r="M150" s="6" t="n">
        <v>45828</v>
      </c>
      <c r="N150" s="5" t="n">
        <v>0</v>
      </c>
      <c r="O150" s="2" t="inlineStr">
        <is>
          <t>Yuksek</t>
        </is>
      </c>
    </row>
    <row r="151">
      <c r="A151" s="2" t="inlineStr">
        <is>
          <t>SIP-0150</t>
        </is>
      </c>
      <c r="B151" s="6" t="n">
        <v>45803</v>
      </c>
      <c r="C151" s="2" t="inlineStr">
        <is>
          <t>MUS-046</t>
        </is>
      </c>
      <c r="D151" s="2" t="inlineStr">
        <is>
          <t>TKL-0310</t>
        </is>
      </c>
      <c r="E151" s="2" t="inlineStr">
        <is>
          <t>ST-001</t>
        </is>
      </c>
      <c r="F151" s="2" t="inlineStr">
        <is>
          <t>Tamamlandi</t>
        </is>
      </c>
      <c r="G151" s="2" t="inlineStr">
        <is>
          <t>EUR</t>
        </is>
      </c>
      <c r="H151" s="5" t="n">
        <v>1.1556</v>
      </c>
      <c r="I151" s="3" t="n">
        <v>18599.06</v>
      </c>
      <c r="J151" s="2" t="inlineStr">
        <is>
          <t>FCA</t>
        </is>
      </c>
      <c r="K151" s="2" t="inlineStr">
        <is>
          <t>Denizyolu</t>
        </is>
      </c>
      <c r="L151" s="6" t="n">
        <v>45825</v>
      </c>
      <c r="M151" s="6" t="n">
        <v>45825</v>
      </c>
      <c r="N151" s="5" t="n">
        <v>0</v>
      </c>
      <c r="O151" s="2" t="inlineStr">
        <is>
          <t>Normal</t>
        </is>
      </c>
    </row>
    <row r="152">
      <c r="A152" s="2" t="inlineStr">
        <is>
          <t>SIP-0151</t>
        </is>
      </c>
      <c r="B152" s="6" t="n">
        <v>45797</v>
      </c>
      <c r="C152" s="2" t="inlineStr">
        <is>
          <t>MUS-046</t>
        </is>
      </c>
      <c r="D152" s="2" t="inlineStr">
        <is>
          <t>TKL-0313</t>
        </is>
      </c>
      <c r="E152" s="2" t="inlineStr">
        <is>
          <t>ST-002</t>
        </is>
      </c>
      <c r="F152" s="2" t="inlineStr">
        <is>
          <t>Tamamlandi</t>
        </is>
      </c>
      <c r="G152" s="2" t="inlineStr">
        <is>
          <t>EUR</t>
        </is>
      </c>
      <c r="H152" s="5" t="n">
        <v>1.1556</v>
      </c>
      <c r="I152" s="3" t="n">
        <v>22917.51</v>
      </c>
      <c r="J152" s="2" t="inlineStr">
        <is>
          <t>FCA</t>
        </is>
      </c>
      <c r="K152" s="2" t="inlineStr">
        <is>
          <t>Karayolu</t>
        </is>
      </c>
      <c r="L152" s="6" t="n">
        <v>45830</v>
      </c>
      <c r="M152" s="6" t="n">
        <v>45830</v>
      </c>
      <c r="N152" s="5" t="n">
        <v>0</v>
      </c>
      <c r="O152" s="2" t="inlineStr">
        <is>
          <t>Normal</t>
        </is>
      </c>
    </row>
    <row r="153">
      <c r="A153" s="2" t="inlineStr">
        <is>
          <t>SIP-0152</t>
        </is>
      </c>
      <c r="B153" s="6" t="n">
        <v>45785</v>
      </c>
      <c r="C153" s="2" t="inlineStr">
        <is>
          <t>MUS-057</t>
        </is>
      </c>
      <c r="D153" s="2" t="inlineStr">
        <is>
          <t>TKL-0316</t>
        </is>
      </c>
      <c r="E153" s="2" t="inlineStr">
        <is>
          <t>ST-001</t>
        </is>
      </c>
      <c r="F153" s="2" t="inlineStr">
        <is>
          <t>Sevk Edildi</t>
        </is>
      </c>
      <c r="G153" s="2" t="inlineStr">
        <is>
          <t>EUR</t>
        </is>
      </c>
      <c r="H153" s="5" t="n">
        <v>1.1556</v>
      </c>
      <c r="I153" s="3" t="n">
        <v>50297.86</v>
      </c>
      <c r="J153" s="2" t="inlineStr">
        <is>
          <t>DAP</t>
        </is>
      </c>
      <c r="K153" s="2" t="inlineStr">
        <is>
          <t>Karayolu</t>
        </is>
      </c>
      <c r="L153" s="6" t="n">
        <v>45833</v>
      </c>
      <c r="M153" s="6" t="n">
        <v>45833</v>
      </c>
      <c r="N153" s="5" t="n">
        <v>0</v>
      </c>
      <c r="O153" s="2" t="inlineStr">
        <is>
          <t>Yuksek</t>
        </is>
      </c>
    </row>
    <row r="154">
      <c r="A154" s="2" t="inlineStr">
        <is>
          <t>SIP-0153</t>
        </is>
      </c>
      <c r="B154" s="6" t="n">
        <v>45807</v>
      </c>
      <c r="C154" s="2" t="inlineStr">
        <is>
          <t>MUS-080</t>
        </is>
      </c>
      <c r="D154" s="2" t="inlineStr">
        <is>
          <t>TKL-0321</t>
        </is>
      </c>
      <c r="E154" s="2" t="inlineStr">
        <is>
          <t>ST-006</t>
        </is>
      </c>
      <c r="F154" s="2" t="inlineStr">
        <is>
          <t>Tamamlandi</t>
        </is>
      </c>
      <c r="G154" s="2" t="inlineStr">
        <is>
          <t>USD</t>
        </is>
      </c>
      <c r="H154" s="5" t="n">
        <v>1</v>
      </c>
      <c r="I154" s="3" t="n">
        <v>70595.74000000001</v>
      </c>
      <c r="J154" s="2" t="inlineStr">
        <is>
          <t>CFR</t>
        </is>
      </c>
      <c r="K154" s="2" t="inlineStr">
        <is>
          <t>Denizyolu</t>
        </is>
      </c>
      <c r="L154" s="6" t="n">
        <v>45854</v>
      </c>
      <c r="M154" s="6" t="n">
        <v>45859</v>
      </c>
      <c r="N154" s="5" t="n">
        <v>5</v>
      </c>
      <c r="O154" s="2" t="inlineStr">
        <is>
          <t>Kritik</t>
        </is>
      </c>
    </row>
    <row r="155">
      <c r="A155" s="2" t="inlineStr">
        <is>
          <t>SIP-0154</t>
        </is>
      </c>
      <c r="B155" s="6" t="n">
        <v>45809</v>
      </c>
      <c r="C155" s="2" t="inlineStr">
        <is>
          <t>MUS-016</t>
        </is>
      </c>
      <c r="D155" s="2" t="inlineStr">
        <is>
          <t>TKL-0323</t>
        </is>
      </c>
      <c r="E155" s="2" t="inlineStr">
        <is>
          <t>ST-002</t>
        </is>
      </c>
      <c r="F155" s="2" t="inlineStr">
        <is>
          <t>Sevk Edildi</t>
        </is>
      </c>
      <c r="G155" s="2" t="inlineStr">
        <is>
          <t>EUR</t>
        </is>
      </c>
      <c r="H155" s="5" t="n">
        <v>1.1588</v>
      </c>
      <c r="I155" s="3" t="n">
        <v>29743.22</v>
      </c>
      <c r="J155" s="2" t="inlineStr">
        <is>
          <t>DAP</t>
        </is>
      </c>
      <c r="K155" s="2" t="inlineStr">
        <is>
          <t>Karayolu</t>
        </is>
      </c>
      <c r="L155" s="6" t="n">
        <v>45859</v>
      </c>
      <c r="M155" s="6" t="n">
        <v>45871</v>
      </c>
      <c r="N155" s="5" t="n">
        <v>12</v>
      </c>
      <c r="O155" s="2" t="inlineStr">
        <is>
          <t>Yuksek</t>
        </is>
      </c>
    </row>
    <row r="156">
      <c r="A156" s="2" t="inlineStr">
        <is>
          <t>SIP-0155</t>
        </is>
      </c>
      <c r="B156" s="6" t="n">
        <v>45818</v>
      </c>
      <c r="C156" s="2" t="inlineStr">
        <is>
          <t>MUS-008</t>
        </is>
      </c>
      <c r="D156" s="2" t="inlineStr">
        <is>
          <t>TKL-0324</t>
        </is>
      </c>
      <c r="E156" s="2" t="inlineStr">
        <is>
          <t>ST-008</t>
        </is>
      </c>
      <c r="F156" s="2" t="inlineStr">
        <is>
          <t>Tamamlandi</t>
        </is>
      </c>
      <c r="G156" s="2" t="inlineStr">
        <is>
          <t>USD</t>
        </is>
      </c>
      <c r="H156" s="5" t="n">
        <v>1</v>
      </c>
      <c r="I156" s="3" t="n">
        <v>19940.84</v>
      </c>
      <c r="J156" s="2" t="inlineStr">
        <is>
          <t>FCA</t>
        </is>
      </c>
      <c r="K156" s="2" t="inlineStr">
        <is>
          <t>Karayolu</t>
        </is>
      </c>
      <c r="L156" s="6" t="n">
        <v>45877</v>
      </c>
      <c r="M156" s="6" t="n">
        <v>45879</v>
      </c>
      <c r="N156" s="5" t="n">
        <v>2</v>
      </c>
      <c r="O156" s="2" t="inlineStr">
        <is>
          <t>Yuksek</t>
        </is>
      </c>
    </row>
    <row r="157">
      <c r="A157" s="2" t="inlineStr">
        <is>
          <t>SIP-0156</t>
        </is>
      </c>
      <c r="B157" s="6" t="n">
        <v>45813</v>
      </c>
      <c r="C157" s="2" t="inlineStr">
        <is>
          <t>MUS-027</t>
        </is>
      </c>
      <c r="D157" s="2" t="inlineStr">
        <is>
          <t>TKL-0325</t>
        </is>
      </c>
      <c r="E157" s="2" t="inlineStr">
        <is>
          <t>ST-003</t>
        </is>
      </c>
      <c r="F157" s="2" t="inlineStr">
        <is>
          <t>Tamamlandi</t>
        </is>
      </c>
      <c r="G157" s="2" t="inlineStr">
        <is>
          <t>USD</t>
        </is>
      </c>
      <c r="H157" s="5" t="n">
        <v>1</v>
      </c>
      <c r="I157" s="3" t="n">
        <v>24853.79</v>
      </c>
      <c r="J157" s="2" t="inlineStr">
        <is>
          <t>CIF</t>
        </is>
      </c>
      <c r="K157" s="2" t="inlineStr">
        <is>
          <t>Denizyolu</t>
        </is>
      </c>
      <c r="L157" s="6" t="n">
        <v>45855</v>
      </c>
      <c r="M157" s="6" t="n">
        <v>45855</v>
      </c>
      <c r="N157" s="5" t="n">
        <v>0</v>
      </c>
      <c r="O157" s="2" t="inlineStr">
        <is>
          <t>Normal</t>
        </is>
      </c>
    </row>
    <row r="158">
      <c r="A158" s="2" t="inlineStr">
        <is>
          <t>SIP-0157</t>
        </is>
      </c>
      <c r="B158" s="6" t="n">
        <v>45814</v>
      </c>
      <c r="C158" s="2" t="inlineStr">
        <is>
          <t>MUS-066</t>
        </is>
      </c>
      <c r="D158" s="2" t="inlineStr">
        <is>
          <t>TKL-0327</t>
        </is>
      </c>
      <c r="E158" s="2" t="inlineStr">
        <is>
          <t>ST-007</t>
        </is>
      </c>
      <c r="F158" s="2" t="inlineStr">
        <is>
          <t>Tamamlandi</t>
        </is>
      </c>
      <c r="G158" s="2" t="inlineStr">
        <is>
          <t>USD</t>
        </is>
      </c>
      <c r="H158" s="5" t="n">
        <v>1</v>
      </c>
      <c r="I158" s="3" t="n">
        <v>11625.37</v>
      </c>
      <c r="J158" s="2" t="inlineStr">
        <is>
          <t>FCA</t>
        </is>
      </c>
      <c r="K158" s="2" t="inlineStr">
        <is>
          <t>Karayolu</t>
        </is>
      </c>
      <c r="L158" s="6" t="n">
        <v>45858</v>
      </c>
      <c r="M158" s="6" t="n">
        <v>45863</v>
      </c>
      <c r="N158" s="5" t="n">
        <v>5</v>
      </c>
      <c r="O158" s="2" t="inlineStr">
        <is>
          <t>Normal</t>
        </is>
      </c>
    </row>
    <row r="159">
      <c r="A159" s="2" t="inlineStr">
        <is>
          <t>SIP-0158</t>
        </is>
      </c>
      <c r="B159" s="6" t="n">
        <v>45818</v>
      </c>
      <c r="C159" s="2" t="inlineStr">
        <is>
          <t>MUS-079</t>
        </is>
      </c>
      <c r="D159" s="2" t="inlineStr">
        <is>
          <t>TKL-0329</t>
        </is>
      </c>
      <c r="E159" s="2" t="inlineStr">
        <is>
          <t>ST-004</t>
        </is>
      </c>
      <c r="F159" s="2" t="inlineStr">
        <is>
          <t>Sevk Edildi</t>
        </is>
      </c>
      <c r="G159" s="2" t="inlineStr">
        <is>
          <t>USD</t>
        </is>
      </c>
      <c r="H159" s="5" t="n">
        <v>1</v>
      </c>
      <c r="I159" s="3" t="n">
        <v>121152.77</v>
      </c>
      <c r="J159" s="2" t="inlineStr">
        <is>
          <t>CIF</t>
        </is>
      </c>
      <c r="K159" s="2" t="inlineStr">
        <is>
          <t>Denizyolu</t>
        </is>
      </c>
      <c r="L159" s="6" t="n">
        <v>45884</v>
      </c>
      <c r="M159" s="6" t="n">
        <v>45884</v>
      </c>
      <c r="N159" s="5" t="n">
        <v>0</v>
      </c>
      <c r="O159" s="2" t="inlineStr">
        <is>
          <t>Yuksek</t>
        </is>
      </c>
    </row>
    <row r="160">
      <c r="A160" s="2" t="inlineStr">
        <is>
          <t>SIP-0159</t>
        </is>
      </c>
      <c r="B160" s="6" t="n">
        <v>45827</v>
      </c>
      <c r="C160" s="2" t="inlineStr">
        <is>
          <t>MUS-033</t>
        </is>
      </c>
      <c r="D160" s="2" t="inlineStr">
        <is>
          <t>TKL-0332</t>
        </is>
      </c>
      <c r="E160" s="2" t="inlineStr">
        <is>
          <t>ST-006</t>
        </is>
      </c>
      <c r="F160" s="2" t="inlineStr">
        <is>
          <t>Tamamlandi</t>
        </is>
      </c>
      <c r="G160" s="2" t="inlineStr">
        <is>
          <t>USD</t>
        </is>
      </c>
      <c r="H160" s="5" t="n">
        <v>1</v>
      </c>
      <c r="I160" s="3" t="n">
        <v>71265.27</v>
      </c>
      <c r="J160" s="2" t="inlineStr">
        <is>
          <t>CFR</t>
        </is>
      </c>
      <c r="K160" s="2" t="inlineStr">
        <is>
          <t>Denizyolu</t>
        </is>
      </c>
      <c r="L160" s="6" t="n">
        <v>45870</v>
      </c>
      <c r="M160" s="6" t="n">
        <v>45870</v>
      </c>
      <c r="N160" s="5" t="n">
        <v>0</v>
      </c>
      <c r="O160" s="2" t="inlineStr">
        <is>
          <t>Kritik</t>
        </is>
      </c>
    </row>
    <row r="161">
      <c r="A161" s="2" t="inlineStr">
        <is>
          <t>SIP-0160</t>
        </is>
      </c>
      <c r="B161" s="6" t="n">
        <v>45831</v>
      </c>
      <c r="C161" s="2" t="inlineStr">
        <is>
          <t>MUS-015</t>
        </is>
      </c>
      <c r="D161" s="2" t="inlineStr">
        <is>
          <t>TKL-0333</t>
        </is>
      </c>
      <c r="E161" s="2" t="inlineStr">
        <is>
          <t>ST-001</t>
        </is>
      </c>
      <c r="F161" s="2" t="inlineStr">
        <is>
          <t>Sevk Edildi</t>
        </is>
      </c>
      <c r="G161" s="2" t="inlineStr">
        <is>
          <t>EUR</t>
        </is>
      </c>
      <c r="H161" s="5" t="n">
        <v>1.1588</v>
      </c>
      <c r="I161" s="3" t="n">
        <v>20973.65</v>
      </c>
      <c r="J161" s="2" t="inlineStr">
        <is>
          <t>DAP</t>
        </is>
      </c>
      <c r="K161" s="2" t="inlineStr">
        <is>
          <t>Havayolu</t>
        </is>
      </c>
      <c r="L161" s="6" t="n">
        <v>45853</v>
      </c>
      <c r="M161" s="6" t="n">
        <v>45853</v>
      </c>
      <c r="N161" s="5" t="n">
        <v>0</v>
      </c>
      <c r="O161" s="2" t="inlineStr">
        <is>
          <t>Normal</t>
        </is>
      </c>
    </row>
    <row r="162">
      <c r="A162" s="2" t="inlineStr">
        <is>
          <t>SIP-0161</t>
        </is>
      </c>
      <c r="B162" s="6" t="n">
        <v>45808</v>
      </c>
      <c r="C162" s="2" t="inlineStr">
        <is>
          <t>MUS-041</t>
        </is>
      </c>
      <c r="D162" s="2" t="inlineStr">
        <is>
          <t>TKL-0334</t>
        </is>
      </c>
      <c r="E162" s="2" t="inlineStr">
        <is>
          <t>ST-001</t>
        </is>
      </c>
      <c r="F162" s="2" t="inlineStr">
        <is>
          <t>Sevk Edildi</t>
        </is>
      </c>
      <c r="G162" s="2" t="inlineStr">
        <is>
          <t>EUR</t>
        </is>
      </c>
      <c r="H162" s="5" t="n">
        <v>1.1588</v>
      </c>
      <c r="I162" s="3" t="n">
        <v>22439.61</v>
      </c>
      <c r="J162" s="2" t="inlineStr">
        <is>
          <t>DAP</t>
        </is>
      </c>
      <c r="K162" s="2" t="inlineStr">
        <is>
          <t>Denizyolu</t>
        </is>
      </c>
      <c r="L162" s="6" t="n">
        <v>45856</v>
      </c>
      <c r="M162" s="6" t="n">
        <v>45857</v>
      </c>
      <c r="N162" s="5" t="n">
        <v>1</v>
      </c>
      <c r="O162" s="2" t="inlineStr">
        <is>
          <t>Normal</t>
        </is>
      </c>
    </row>
    <row r="163">
      <c r="A163" s="2" t="inlineStr">
        <is>
          <t>SIP-0162</t>
        </is>
      </c>
      <c r="B163" s="6" t="n">
        <v>45825</v>
      </c>
      <c r="C163" s="2" t="inlineStr">
        <is>
          <t>MUS-077</t>
        </is>
      </c>
      <c r="D163" s="2" t="inlineStr">
        <is>
          <t>TKL-0336</t>
        </is>
      </c>
      <c r="E163" s="2" t="inlineStr">
        <is>
          <t>ST-002</t>
        </is>
      </c>
      <c r="F163" s="2" t="inlineStr">
        <is>
          <t>Tamamlandi</t>
        </is>
      </c>
      <c r="G163" s="2" t="inlineStr">
        <is>
          <t>EUR</t>
        </is>
      </c>
      <c r="H163" s="5" t="n">
        <v>1.1588</v>
      </c>
      <c r="I163" s="3" t="n">
        <v>19624.41</v>
      </c>
      <c r="J163" s="2" t="inlineStr">
        <is>
          <t>DAP</t>
        </is>
      </c>
      <c r="K163" s="2" t="inlineStr">
        <is>
          <t>Karayolu</t>
        </is>
      </c>
      <c r="L163" s="6" t="n">
        <v>45865</v>
      </c>
      <c r="M163" s="6" t="n">
        <v>45865</v>
      </c>
      <c r="N163" s="5" t="n">
        <v>0</v>
      </c>
      <c r="O163" s="2" t="inlineStr">
        <is>
          <t>Normal</t>
        </is>
      </c>
    </row>
    <row r="164">
      <c r="A164" s="2" t="inlineStr">
        <is>
          <t>SIP-0163</t>
        </is>
      </c>
      <c r="B164" s="6" t="n">
        <v>45831</v>
      </c>
      <c r="C164" s="2" t="inlineStr">
        <is>
          <t>MUS-078</t>
        </is>
      </c>
      <c r="D164" s="2" t="inlineStr">
        <is>
          <t>TKL-0342</t>
        </is>
      </c>
      <c r="E164" s="2" t="inlineStr">
        <is>
          <t>ST-001</t>
        </is>
      </c>
      <c r="F164" s="2" t="inlineStr">
        <is>
          <t>Tamamlandi</t>
        </is>
      </c>
      <c r="G164" s="2" t="inlineStr">
        <is>
          <t>EUR</t>
        </is>
      </c>
      <c r="H164" s="5" t="n">
        <v>1.1299</v>
      </c>
      <c r="I164" s="3" t="n">
        <v>16290.71</v>
      </c>
      <c r="J164" s="2" t="inlineStr">
        <is>
          <t>DAP</t>
        </is>
      </c>
      <c r="K164" s="2" t="inlineStr">
        <is>
          <t>Karayolu</t>
        </is>
      </c>
      <c r="L164" s="6" t="n">
        <v>45902</v>
      </c>
      <c r="M164" s="6" t="n">
        <v>45902</v>
      </c>
      <c r="N164" s="5" t="n">
        <v>0</v>
      </c>
      <c r="O164" s="2" t="inlineStr">
        <is>
          <t>Yuksek</t>
        </is>
      </c>
    </row>
    <row r="165">
      <c r="A165" s="2" t="inlineStr">
        <is>
          <t>SIP-0164</t>
        </is>
      </c>
      <c r="B165" s="6" t="n">
        <v>45829</v>
      </c>
      <c r="C165" s="2" t="inlineStr">
        <is>
          <t>MUS-071</t>
        </is>
      </c>
      <c r="D165" s="2" t="inlineStr">
        <is>
          <t>TKL-0346</t>
        </is>
      </c>
      <c r="E165" s="2" t="inlineStr">
        <is>
          <t>ST-008</t>
        </is>
      </c>
      <c r="F165" s="2" t="inlineStr">
        <is>
          <t>Tamamlandi</t>
        </is>
      </c>
      <c r="G165" s="2" t="inlineStr">
        <is>
          <t>USD</t>
        </is>
      </c>
      <c r="H165" s="5" t="n">
        <v>1</v>
      </c>
      <c r="I165" s="3" t="n">
        <v>22525.92</v>
      </c>
      <c r="J165" s="2" t="inlineStr">
        <is>
          <t>FCA</t>
        </is>
      </c>
      <c r="K165" s="2" t="inlineStr">
        <is>
          <t>Karayolu</t>
        </is>
      </c>
      <c r="L165" s="6" t="n">
        <v>45856</v>
      </c>
      <c r="M165" s="6" t="n">
        <v>45856</v>
      </c>
      <c r="N165" s="5" t="n">
        <v>0</v>
      </c>
      <c r="O165" s="2" t="inlineStr">
        <is>
          <t>Normal</t>
        </is>
      </c>
    </row>
    <row r="166">
      <c r="A166" s="2" t="inlineStr">
        <is>
          <t>SIP-0165</t>
        </is>
      </c>
      <c r="B166" s="6" t="n">
        <v>45834</v>
      </c>
      <c r="C166" s="2" t="inlineStr">
        <is>
          <t>MUS-052</t>
        </is>
      </c>
      <c r="D166" s="2" t="inlineStr">
        <is>
          <t>TKL-0347</t>
        </is>
      </c>
      <c r="E166" s="2" t="inlineStr">
        <is>
          <t>ST-008</t>
        </is>
      </c>
      <c r="F166" s="2" t="inlineStr">
        <is>
          <t>Sevk Edildi</t>
        </is>
      </c>
      <c r="G166" s="2" t="inlineStr">
        <is>
          <t>USD</t>
        </is>
      </c>
      <c r="H166" s="5" t="n">
        <v>1</v>
      </c>
      <c r="I166" s="3" t="n">
        <v>56845.82</v>
      </c>
      <c r="J166" s="2" t="inlineStr">
        <is>
          <t>FCA</t>
        </is>
      </c>
      <c r="K166" s="2" t="inlineStr">
        <is>
          <t>Karayolu</t>
        </is>
      </c>
      <c r="L166" s="6" t="n">
        <v>45888</v>
      </c>
      <c r="M166" s="6" t="n">
        <v>45888</v>
      </c>
      <c r="N166" s="5" t="n">
        <v>0</v>
      </c>
      <c r="O166" s="2" t="inlineStr">
        <is>
          <t>Yuksek</t>
        </is>
      </c>
    </row>
    <row r="167">
      <c r="A167" s="2" t="inlineStr">
        <is>
          <t>SIP-0166</t>
        </is>
      </c>
      <c r="B167" s="6" t="n">
        <v>45844</v>
      </c>
      <c r="C167" s="2" t="inlineStr">
        <is>
          <t>MUS-076</t>
        </is>
      </c>
      <c r="D167" s="2" t="inlineStr">
        <is>
          <t>TKL-0348</t>
        </is>
      </c>
      <c r="E167" s="2" t="inlineStr">
        <is>
          <t>ST-001</t>
        </is>
      </c>
      <c r="F167" s="2" t="inlineStr">
        <is>
          <t>Tamamlandi</t>
        </is>
      </c>
      <c r="G167" s="2" t="inlineStr">
        <is>
          <t>EUR</t>
        </is>
      </c>
      <c r="H167" s="5" t="n">
        <v>1.1299</v>
      </c>
      <c r="I167" s="3" t="n">
        <v>45682.82</v>
      </c>
      <c r="J167" s="2" t="inlineStr">
        <is>
          <t>DAP</t>
        </is>
      </c>
      <c r="K167" s="2" t="inlineStr">
        <is>
          <t>Denizyolu</t>
        </is>
      </c>
      <c r="L167" s="6" t="n">
        <v>45902</v>
      </c>
      <c r="M167" s="6" t="n">
        <v>45902</v>
      </c>
      <c r="N167" s="5" t="n">
        <v>0</v>
      </c>
      <c r="O167" s="2" t="inlineStr">
        <is>
          <t>Yuksek</t>
        </is>
      </c>
    </row>
    <row r="168">
      <c r="A168" s="2" t="inlineStr">
        <is>
          <t>SIP-0167</t>
        </is>
      </c>
      <c r="B168" s="6" t="n">
        <v>45856</v>
      </c>
      <c r="C168" s="2" t="inlineStr">
        <is>
          <t>MUS-066</t>
        </is>
      </c>
      <c r="D168" s="2" t="inlineStr">
        <is>
          <t>TKL-0349</t>
        </is>
      </c>
      <c r="E168" s="2" t="inlineStr">
        <is>
          <t>ST-008</t>
        </is>
      </c>
      <c r="F168" s="2" t="inlineStr">
        <is>
          <t>Sevk Edildi</t>
        </is>
      </c>
      <c r="G168" s="2" t="inlineStr">
        <is>
          <t>USD</t>
        </is>
      </c>
      <c r="H168" s="5" t="n">
        <v>1</v>
      </c>
      <c r="I168" s="3" t="n">
        <v>31185.46</v>
      </c>
      <c r="J168" s="2" t="inlineStr">
        <is>
          <t>FCA</t>
        </is>
      </c>
      <c r="K168" s="2" t="inlineStr">
        <is>
          <t>Karayolu</t>
        </is>
      </c>
      <c r="L168" s="6" t="n">
        <v>45916</v>
      </c>
      <c r="M168" s="6" t="n">
        <v>45918</v>
      </c>
      <c r="N168" s="5" t="n">
        <v>2</v>
      </c>
      <c r="O168" s="2" t="inlineStr">
        <is>
          <t>Yuksek</t>
        </is>
      </c>
    </row>
    <row r="169">
      <c r="A169" s="2" t="inlineStr">
        <is>
          <t>SIP-0168</t>
        </is>
      </c>
      <c r="B169" s="6" t="n">
        <v>45852</v>
      </c>
      <c r="C169" s="2" t="inlineStr">
        <is>
          <t>MUS-061</t>
        </is>
      </c>
      <c r="D169" s="2" t="inlineStr">
        <is>
          <t>TKL-0351</t>
        </is>
      </c>
      <c r="E169" s="2" t="inlineStr">
        <is>
          <t>ST-007</t>
        </is>
      </c>
      <c r="F169" s="2" t="inlineStr">
        <is>
          <t>Tamamlandi</t>
        </is>
      </c>
      <c r="G169" s="2" t="inlineStr">
        <is>
          <t>USD</t>
        </is>
      </c>
      <c r="H169" s="5" t="n">
        <v>1</v>
      </c>
      <c r="I169" s="3" t="n">
        <v>53226.76</v>
      </c>
      <c r="J169" s="2" t="inlineStr">
        <is>
          <t>FCA</t>
        </is>
      </c>
      <c r="K169" s="2" t="inlineStr">
        <is>
          <t>Karayolu</t>
        </is>
      </c>
      <c r="L169" s="6" t="n">
        <v>45926</v>
      </c>
      <c r="M169" s="6" t="n">
        <v>45931</v>
      </c>
      <c r="N169" s="5" t="n">
        <v>5</v>
      </c>
      <c r="O169" s="2" t="inlineStr">
        <is>
          <t>Yuksek</t>
        </is>
      </c>
    </row>
    <row r="170">
      <c r="A170" s="2" t="inlineStr">
        <is>
          <t>SIP-0169</t>
        </is>
      </c>
      <c r="B170" s="6" t="n">
        <v>45849</v>
      </c>
      <c r="C170" s="2" t="inlineStr">
        <is>
          <t>MUS-066</t>
        </is>
      </c>
      <c r="D170" s="2" t="inlineStr">
        <is>
          <t>TKL-0352</t>
        </is>
      </c>
      <c r="E170" s="2" t="inlineStr">
        <is>
          <t>ST-008</t>
        </is>
      </c>
      <c r="F170" s="2" t="inlineStr">
        <is>
          <t>Tamamlandi</t>
        </is>
      </c>
      <c r="G170" s="2" t="inlineStr">
        <is>
          <t>USD</t>
        </is>
      </c>
      <c r="H170" s="5" t="n">
        <v>1</v>
      </c>
      <c r="I170" s="3" t="n">
        <v>37281.94</v>
      </c>
      <c r="J170" s="2" t="inlineStr">
        <is>
          <t>FCA</t>
        </is>
      </c>
      <c r="K170" s="2" t="inlineStr">
        <is>
          <t>Karayolu</t>
        </is>
      </c>
      <c r="L170" s="6" t="n">
        <v>45916</v>
      </c>
      <c r="M170" s="6" t="n">
        <v>45924</v>
      </c>
      <c r="N170" s="5" t="n">
        <v>8</v>
      </c>
      <c r="O170" s="2" t="inlineStr">
        <is>
          <t>Yuksek</t>
        </is>
      </c>
    </row>
    <row r="171">
      <c r="A171" s="2" t="inlineStr">
        <is>
          <t>SIP-0170</t>
        </is>
      </c>
      <c r="B171" s="6" t="n">
        <v>45857</v>
      </c>
      <c r="C171" s="2" t="inlineStr">
        <is>
          <t>MUS-067</t>
        </is>
      </c>
      <c r="D171" s="2" t="inlineStr">
        <is>
          <t>TKL-0355</t>
        </is>
      </c>
      <c r="E171" s="2" t="inlineStr">
        <is>
          <t>ST-003</t>
        </is>
      </c>
      <c r="F171" s="2" t="inlineStr">
        <is>
          <t>Sevk Edildi</t>
        </is>
      </c>
      <c r="G171" s="2" t="inlineStr">
        <is>
          <t>USD</t>
        </is>
      </c>
      <c r="H171" s="5" t="n">
        <v>1</v>
      </c>
      <c r="I171" s="3" t="n">
        <v>85607.83</v>
      </c>
      <c r="J171" s="2" t="inlineStr">
        <is>
          <t>CIF</t>
        </is>
      </c>
      <c r="K171" s="2" t="inlineStr">
        <is>
          <t>Havayolu</t>
        </is>
      </c>
      <c r="L171" s="6" t="n">
        <v>45910</v>
      </c>
      <c r="M171" s="6" t="n">
        <v>45911</v>
      </c>
      <c r="N171" s="5" t="n">
        <v>1</v>
      </c>
      <c r="O171" s="2" t="inlineStr">
        <is>
          <t>Kritik</t>
        </is>
      </c>
    </row>
    <row r="172">
      <c r="A172" s="2" t="inlineStr">
        <is>
          <t>SIP-0171</t>
        </is>
      </c>
      <c r="B172" s="6" t="n">
        <v>45856</v>
      </c>
      <c r="C172" s="2" t="inlineStr">
        <is>
          <t>MUS-043</t>
        </is>
      </c>
      <c r="D172" s="2" t="inlineStr">
        <is>
          <t>TKL-0357</t>
        </is>
      </c>
      <c r="E172" s="2" t="inlineStr">
        <is>
          <t>ST-002</t>
        </is>
      </c>
      <c r="F172" s="2" t="inlineStr">
        <is>
          <t>Sevk Edildi</t>
        </is>
      </c>
      <c r="G172" s="2" t="inlineStr">
        <is>
          <t>EUR</t>
        </is>
      </c>
      <c r="H172" s="5" t="n">
        <v>1.1299</v>
      </c>
      <c r="I172" s="3" t="n">
        <v>71513.49000000001</v>
      </c>
      <c r="J172" s="2" t="inlineStr">
        <is>
          <t>DAP</t>
        </is>
      </c>
      <c r="K172" s="2" t="inlineStr">
        <is>
          <t>Karayolu</t>
        </is>
      </c>
      <c r="L172" s="6" t="n">
        <v>45904</v>
      </c>
      <c r="M172" s="6" t="n">
        <v>45905</v>
      </c>
      <c r="N172" s="5" t="n">
        <v>1</v>
      </c>
      <c r="O172" s="2" t="inlineStr">
        <is>
          <t>Normal</t>
        </is>
      </c>
    </row>
    <row r="173">
      <c r="A173" s="2" t="inlineStr">
        <is>
          <t>SIP-0172</t>
        </is>
      </c>
      <c r="B173" s="6" t="n">
        <v>45889</v>
      </c>
      <c r="C173" s="2" t="inlineStr">
        <is>
          <t>MUS-063</t>
        </is>
      </c>
      <c r="D173" s="2" t="inlineStr">
        <is>
          <t>TKL-0358</t>
        </is>
      </c>
      <c r="E173" s="2" t="inlineStr">
        <is>
          <t>ST-001</t>
        </is>
      </c>
      <c r="F173" s="2" t="inlineStr">
        <is>
          <t>Uretimde</t>
        </is>
      </c>
      <c r="G173" s="2" t="inlineStr">
        <is>
          <t>EUR</t>
        </is>
      </c>
      <c r="H173" s="5" t="n">
        <v>1.137</v>
      </c>
      <c r="I173" s="3" t="n">
        <v>36251.22</v>
      </c>
      <c r="J173" s="2" t="inlineStr">
        <is>
          <t>DAP</t>
        </is>
      </c>
      <c r="K173" s="2" t="inlineStr">
        <is>
          <t>Havayolu</t>
        </is>
      </c>
      <c r="L173" s="6" t="n">
        <v>45933</v>
      </c>
      <c r="M173" s="6" t="n">
        <v>45933</v>
      </c>
      <c r="N173" s="5" t="n">
        <v>0</v>
      </c>
      <c r="O173" s="2" t="inlineStr">
        <is>
          <t>Normal</t>
        </is>
      </c>
    </row>
    <row r="174">
      <c r="A174" s="2" t="inlineStr">
        <is>
          <t>SIP-0173</t>
        </is>
      </c>
      <c r="B174" s="6" t="n">
        <v>45861</v>
      </c>
      <c r="C174" s="2" t="inlineStr">
        <is>
          <t>MUS-028</t>
        </is>
      </c>
      <c r="D174" s="2" t="inlineStr">
        <is>
          <t>TKL-0367</t>
        </is>
      </c>
      <c r="E174" s="2" t="inlineStr">
        <is>
          <t>ST-002</t>
        </is>
      </c>
      <c r="F174" s="2" t="inlineStr">
        <is>
          <t>Tamamlandi</t>
        </is>
      </c>
      <c r="G174" s="2" t="inlineStr">
        <is>
          <t>EUR</t>
        </is>
      </c>
      <c r="H174" s="5" t="n">
        <v>1.137</v>
      </c>
      <c r="I174" s="3" t="n">
        <v>15330.57</v>
      </c>
      <c r="J174" s="2" t="inlineStr">
        <is>
          <t>DAP</t>
        </is>
      </c>
      <c r="K174" s="2" t="inlineStr">
        <is>
          <t>Karayolu</t>
        </is>
      </c>
      <c r="L174" s="6" t="n">
        <v>45908</v>
      </c>
      <c r="M174" s="6" t="n">
        <v>45908</v>
      </c>
      <c r="N174" s="5" t="n">
        <v>0</v>
      </c>
      <c r="O174" s="2" t="inlineStr">
        <is>
          <t>Normal</t>
        </is>
      </c>
    </row>
    <row r="175">
      <c r="A175" s="2" t="inlineStr">
        <is>
          <t>SIP-0174</t>
        </is>
      </c>
      <c r="B175" s="6" t="n">
        <v>45858</v>
      </c>
      <c r="C175" s="2" t="inlineStr">
        <is>
          <t>MUS-022</t>
        </is>
      </c>
      <c r="D175" s="2" t="inlineStr">
        <is>
          <t>TKL-0371</t>
        </is>
      </c>
      <c r="E175" s="2" t="inlineStr">
        <is>
          <t>ST-001</t>
        </is>
      </c>
      <c r="F175" s="2" t="inlineStr">
        <is>
          <t>Sevk Edildi</t>
        </is>
      </c>
      <c r="G175" s="2" t="inlineStr">
        <is>
          <t>EUR</t>
        </is>
      </c>
      <c r="H175" s="5" t="n">
        <v>1.137</v>
      </c>
      <c r="I175" s="3" t="n">
        <v>47992.89</v>
      </c>
      <c r="J175" s="2" t="inlineStr">
        <is>
          <t>DAP</t>
        </is>
      </c>
      <c r="K175" s="2" t="inlineStr">
        <is>
          <t>Denizyolu</t>
        </is>
      </c>
      <c r="L175" s="6" t="n">
        <v>45924</v>
      </c>
      <c r="M175" s="6" t="n">
        <v>45927</v>
      </c>
      <c r="N175" s="5" t="n">
        <v>3</v>
      </c>
      <c r="O175" s="2" t="inlineStr">
        <is>
          <t>Yuksek</t>
        </is>
      </c>
    </row>
    <row r="176">
      <c r="A176" s="2" t="inlineStr">
        <is>
          <t>SIP-0175</t>
        </is>
      </c>
      <c r="B176" s="6" t="n">
        <v>45868</v>
      </c>
      <c r="C176" s="2" t="inlineStr">
        <is>
          <t>MUS-061</t>
        </is>
      </c>
      <c r="D176" s="2" t="inlineStr">
        <is>
          <t>TKL-0372</t>
        </is>
      </c>
      <c r="E176" s="2" t="inlineStr">
        <is>
          <t>ST-007</t>
        </is>
      </c>
      <c r="F176" s="2" t="inlineStr">
        <is>
          <t>Tamamlandi</t>
        </is>
      </c>
      <c r="G176" s="2" t="inlineStr">
        <is>
          <t>USD</t>
        </is>
      </c>
      <c r="H176" s="5" t="n">
        <v>1</v>
      </c>
      <c r="I176" s="3" t="n">
        <v>33376.7</v>
      </c>
      <c r="J176" s="2" t="inlineStr">
        <is>
          <t>FCA</t>
        </is>
      </c>
      <c r="K176" s="2" t="inlineStr">
        <is>
          <t>Karayolu</t>
        </is>
      </c>
      <c r="L176" s="6" t="n">
        <v>45904</v>
      </c>
      <c r="M176" s="6" t="n">
        <v>45907</v>
      </c>
      <c r="N176" s="5" t="n">
        <v>3</v>
      </c>
      <c r="O176" s="2" t="inlineStr">
        <is>
          <t>Normal</t>
        </is>
      </c>
    </row>
    <row r="177">
      <c r="A177" s="2" t="inlineStr">
        <is>
          <t>SIP-0176</t>
        </is>
      </c>
      <c r="B177" s="6" t="n">
        <v>45869</v>
      </c>
      <c r="C177" s="2" t="inlineStr">
        <is>
          <t>MUS-068</t>
        </is>
      </c>
      <c r="D177" s="2" t="inlineStr">
        <is>
          <t>TKL-0373</t>
        </is>
      </c>
      <c r="E177" s="2" t="inlineStr">
        <is>
          <t>ST-001</t>
        </is>
      </c>
      <c r="F177" s="2" t="inlineStr">
        <is>
          <t>Uretimde</t>
        </is>
      </c>
      <c r="G177" s="2" t="inlineStr">
        <is>
          <t>EUR</t>
        </is>
      </c>
      <c r="H177" s="5" t="n">
        <v>1.137</v>
      </c>
      <c r="I177" s="3" t="n">
        <v>46107.59</v>
      </c>
      <c r="J177" s="2" t="inlineStr">
        <is>
          <t>DAP</t>
        </is>
      </c>
      <c r="K177" s="2" t="inlineStr">
        <is>
          <t>Denizyolu</t>
        </is>
      </c>
      <c r="L177" s="6" t="n">
        <v>45902</v>
      </c>
      <c r="M177" s="6" t="n">
        <v>45903</v>
      </c>
      <c r="N177" s="5" t="n">
        <v>1</v>
      </c>
      <c r="O177" s="2" t="inlineStr">
        <is>
          <t>Normal</t>
        </is>
      </c>
    </row>
    <row r="178">
      <c r="A178" s="2" t="inlineStr">
        <is>
          <t>SIP-0177</t>
        </is>
      </c>
      <c r="B178" s="6" t="n">
        <v>45866</v>
      </c>
      <c r="C178" s="2" t="inlineStr">
        <is>
          <t>MUS-023</t>
        </is>
      </c>
      <c r="D178" s="2" t="inlineStr">
        <is>
          <t>TKL-0376</t>
        </is>
      </c>
      <c r="E178" s="2" t="inlineStr">
        <is>
          <t>ST-003</t>
        </is>
      </c>
      <c r="F178" s="2" t="inlineStr">
        <is>
          <t>Tamamlandi</t>
        </is>
      </c>
      <c r="G178" s="2" t="inlineStr">
        <is>
          <t>USD</t>
        </is>
      </c>
      <c r="H178" s="5" t="n">
        <v>1</v>
      </c>
      <c r="I178" s="3" t="n">
        <v>24016.57</v>
      </c>
      <c r="J178" s="2" t="inlineStr">
        <is>
          <t>CIF</t>
        </is>
      </c>
      <c r="K178" s="2" t="inlineStr">
        <is>
          <t>Denizyolu</t>
        </is>
      </c>
      <c r="L178" s="6" t="n">
        <v>45908</v>
      </c>
      <c r="M178" s="6" t="n">
        <v>45916</v>
      </c>
      <c r="N178" s="5" t="n">
        <v>8</v>
      </c>
      <c r="O178" s="2" t="inlineStr">
        <is>
          <t>Normal</t>
        </is>
      </c>
    </row>
    <row r="179">
      <c r="A179" s="2" t="inlineStr">
        <is>
          <t>SIP-0178</t>
        </is>
      </c>
      <c r="B179" s="6" t="n">
        <v>45866</v>
      </c>
      <c r="C179" s="2" t="inlineStr">
        <is>
          <t>MUS-082</t>
        </is>
      </c>
      <c r="D179" s="2" t="inlineStr">
        <is>
          <t>TKL-0377</t>
        </is>
      </c>
      <c r="E179" s="2" t="inlineStr">
        <is>
          <t>ST-002</t>
        </is>
      </c>
      <c r="F179" s="2" t="inlineStr">
        <is>
          <t>Sevk Edildi</t>
        </is>
      </c>
      <c r="G179" s="2" t="inlineStr">
        <is>
          <t>EUR</t>
        </is>
      </c>
      <c r="H179" s="5" t="n">
        <v>1.137</v>
      </c>
      <c r="I179" s="3" t="n">
        <v>39597.57</v>
      </c>
      <c r="J179" s="2" t="inlineStr">
        <is>
          <t>DAP</t>
        </is>
      </c>
      <c r="K179" s="2" t="inlineStr">
        <is>
          <t>Denizyolu</t>
        </is>
      </c>
      <c r="L179" s="6" t="n">
        <v>45912</v>
      </c>
      <c r="M179" s="6" t="n">
        <v>45912</v>
      </c>
      <c r="N179" s="5" t="n">
        <v>0</v>
      </c>
      <c r="O179" s="2" t="inlineStr">
        <is>
          <t>Normal</t>
        </is>
      </c>
    </row>
    <row r="180">
      <c r="A180" s="2" t="inlineStr">
        <is>
          <t>SIP-0179</t>
        </is>
      </c>
      <c r="B180" s="6" t="n">
        <v>45871</v>
      </c>
      <c r="C180" s="2" t="inlineStr">
        <is>
          <t>MUS-033</t>
        </is>
      </c>
      <c r="D180" s="2" t="inlineStr">
        <is>
          <t>TKL-0378</t>
        </is>
      </c>
      <c r="E180" s="2" t="inlineStr">
        <is>
          <t>ST-005</t>
        </is>
      </c>
      <c r="F180" s="2" t="inlineStr">
        <is>
          <t>Tamamlandi</t>
        </is>
      </c>
      <c r="G180" s="2" t="inlineStr">
        <is>
          <t>USD</t>
        </is>
      </c>
      <c r="H180" s="5" t="n">
        <v>1</v>
      </c>
      <c r="I180" s="3" t="n">
        <v>10045.1</v>
      </c>
      <c r="J180" s="2" t="inlineStr">
        <is>
          <t>CFR</t>
        </is>
      </c>
      <c r="K180" s="2" t="inlineStr">
        <is>
          <t>Denizyolu</t>
        </is>
      </c>
      <c r="L180" s="6" t="n">
        <v>45917</v>
      </c>
      <c r="M180" s="6" t="n">
        <v>45917</v>
      </c>
      <c r="N180" s="5" t="n">
        <v>0</v>
      </c>
      <c r="O180" s="2" t="inlineStr">
        <is>
          <t>Normal</t>
        </is>
      </c>
    </row>
    <row r="181">
      <c r="A181" s="2" t="inlineStr">
        <is>
          <t>SIP-0180</t>
        </is>
      </c>
      <c r="B181" s="6" t="n">
        <v>45904</v>
      </c>
      <c r="C181" s="2" t="inlineStr">
        <is>
          <t>MUS-030</t>
        </is>
      </c>
      <c r="D181" s="2" t="inlineStr">
        <is>
          <t>TKL-0379</t>
        </is>
      </c>
      <c r="E181" s="2" t="inlineStr">
        <is>
          <t>ST-002</t>
        </is>
      </c>
      <c r="F181" s="2" t="inlineStr">
        <is>
          <t>Tamamlandi</t>
        </is>
      </c>
      <c r="G181" s="2" t="inlineStr">
        <is>
          <t>EUR</t>
        </is>
      </c>
      <c r="H181" s="5" t="n">
        <v>1.137</v>
      </c>
      <c r="I181" s="3" t="n">
        <v>26211.82</v>
      </c>
      <c r="J181" s="2" t="inlineStr">
        <is>
          <t>DAP</t>
        </is>
      </c>
      <c r="K181" s="2" t="inlineStr">
        <is>
          <t>Karayolu</t>
        </is>
      </c>
      <c r="L181" s="6" t="n">
        <v>45924</v>
      </c>
      <c r="M181" s="6" t="n">
        <v>45924</v>
      </c>
      <c r="N181" s="5" t="n">
        <v>0</v>
      </c>
      <c r="O181" s="2" t="inlineStr">
        <is>
          <t>Normal</t>
        </is>
      </c>
    </row>
    <row r="182">
      <c r="A182" s="2" t="inlineStr">
        <is>
          <t>SIP-0181</t>
        </is>
      </c>
      <c r="B182" s="6" t="n">
        <v>45897</v>
      </c>
      <c r="C182" s="2" t="inlineStr">
        <is>
          <t>MUS-017</t>
        </is>
      </c>
      <c r="D182" s="2" t="inlineStr">
        <is>
          <t>TKL-0382</t>
        </is>
      </c>
      <c r="E182" s="2" t="inlineStr">
        <is>
          <t>ST-001</t>
        </is>
      </c>
      <c r="F182" s="2" t="inlineStr">
        <is>
          <t>Sevk Edildi</t>
        </is>
      </c>
      <c r="G182" s="2" t="inlineStr">
        <is>
          <t>EUR</t>
        </is>
      </c>
      <c r="H182" s="5" t="n">
        <v>1.1234</v>
      </c>
      <c r="I182" s="3" t="n">
        <v>10680.2</v>
      </c>
      <c r="J182" s="2" t="inlineStr">
        <is>
          <t>DAP</t>
        </is>
      </c>
      <c r="K182" s="2" t="inlineStr">
        <is>
          <t>Karayolu</t>
        </is>
      </c>
      <c r="L182" s="6" t="n">
        <v>45929</v>
      </c>
      <c r="M182" s="6" t="n">
        <v>45931</v>
      </c>
      <c r="N182" s="5" t="n">
        <v>2</v>
      </c>
      <c r="O182" s="2" t="inlineStr">
        <is>
          <t>Normal</t>
        </is>
      </c>
    </row>
    <row r="183">
      <c r="A183" s="2" t="inlineStr">
        <is>
          <t>SIP-0182</t>
        </is>
      </c>
      <c r="B183" s="6" t="n">
        <v>45901</v>
      </c>
      <c r="C183" s="2" t="inlineStr">
        <is>
          <t>MUS-072</t>
        </is>
      </c>
      <c r="D183" s="2" t="inlineStr">
        <is>
          <t>TKL-0383</t>
        </is>
      </c>
      <c r="E183" s="2" t="inlineStr">
        <is>
          <t>ST-002</t>
        </is>
      </c>
      <c r="F183" s="2" t="inlineStr">
        <is>
          <t>Tamamlandi</t>
        </is>
      </c>
      <c r="G183" s="2" t="inlineStr">
        <is>
          <t>EUR</t>
        </is>
      </c>
      <c r="H183" s="5" t="n">
        <v>1.1234</v>
      </c>
      <c r="I183" s="3" t="n">
        <v>45881.85</v>
      </c>
      <c r="J183" s="2" t="inlineStr">
        <is>
          <t>DAP</t>
        </is>
      </c>
      <c r="K183" s="2" t="inlineStr">
        <is>
          <t>Denizyolu</t>
        </is>
      </c>
      <c r="L183" s="6" t="n">
        <v>45954</v>
      </c>
      <c r="M183" s="6" t="n">
        <v>45957</v>
      </c>
      <c r="N183" s="5" t="n">
        <v>3</v>
      </c>
      <c r="O183" s="2" t="inlineStr">
        <is>
          <t>Kritik</t>
        </is>
      </c>
    </row>
    <row r="184">
      <c r="A184" s="2" t="inlineStr">
        <is>
          <t>SIP-0183</t>
        </is>
      </c>
      <c r="B184" s="6" t="n">
        <v>45890</v>
      </c>
      <c r="C184" s="2" t="inlineStr">
        <is>
          <t>MUS-005</t>
        </is>
      </c>
      <c r="D184" s="2" t="inlineStr">
        <is>
          <t>TKL-0384</t>
        </is>
      </c>
      <c r="E184" s="2" t="inlineStr">
        <is>
          <t>ST-002</t>
        </is>
      </c>
      <c r="F184" s="2" t="inlineStr">
        <is>
          <t>Tamamlandi</t>
        </is>
      </c>
      <c r="G184" s="2" t="inlineStr">
        <is>
          <t>EUR</t>
        </is>
      </c>
      <c r="H184" s="5" t="n">
        <v>1.1234</v>
      </c>
      <c r="I184" s="3" t="n">
        <v>67128.46000000001</v>
      </c>
      <c r="J184" s="2" t="inlineStr">
        <is>
          <t>DAP</t>
        </is>
      </c>
      <c r="K184" s="2" t="inlineStr">
        <is>
          <t>Karayolu</t>
        </is>
      </c>
      <c r="L184" s="6" t="n">
        <v>45937</v>
      </c>
      <c r="M184" s="6" t="n">
        <v>45940</v>
      </c>
      <c r="N184" s="5" t="n">
        <v>3</v>
      </c>
      <c r="O184" s="2" t="inlineStr">
        <is>
          <t>Normal</t>
        </is>
      </c>
    </row>
    <row r="185">
      <c r="A185" s="2" t="inlineStr">
        <is>
          <t>SIP-0184</t>
        </is>
      </c>
      <c r="B185" s="6" t="n">
        <v>45897</v>
      </c>
      <c r="C185" s="2" t="inlineStr">
        <is>
          <t>MUS-051</t>
        </is>
      </c>
      <c r="D185" s="2" t="inlineStr">
        <is>
          <t>TKL-0386</t>
        </is>
      </c>
      <c r="E185" s="2" t="inlineStr">
        <is>
          <t>ST-001</t>
        </is>
      </c>
      <c r="F185" s="2" t="inlineStr">
        <is>
          <t>Tamamlandi</t>
        </is>
      </c>
      <c r="G185" s="2" t="inlineStr">
        <is>
          <t>EUR</t>
        </is>
      </c>
      <c r="H185" s="5" t="n">
        <v>1.1234</v>
      </c>
      <c r="I185" s="3" t="n">
        <v>1979.34</v>
      </c>
      <c r="J185" s="2" t="inlineStr">
        <is>
          <t>DAP</t>
        </is>
      </c>
      <c r="K185" s="2" t="inlineStr">
        <is>
          <t>Denizyolu</t>
        </is>
      </c>
      <c r="L185" s="6" t="n">
        <v>45911</v>
      </c>
      <c r="M185" s="6" t="n">
        <v>45916</v>
      </c>
      <c r="N185" s="5" t="n">
        <v>5</v>
      </c>
      <c r="O185" s="2" t="inlineStr">
        <is>
          <t>Normal</t>
        </is>
      </c>
    </row>
    <row r="186">
      <c r="A186" s="2" t="inlineStr">
        <is>
          <t>SIP-0185</t>
        </is>
      </c>
      <c r="B186" s="6" t="n">
        <v>45892</v>
      </c>
      <c r="C186" s="2" t="inlineStr">
        <is>
          <t>MUS-054</t>
        </is>
      </c>
      <c r="D186" s="2" t="inlineStr">
        <is>
          <t>TKL-0389</t>
        </is>
      </c>
      <c r="E186" s="2" t="inlineStr">
        <is>
          <t>ST-003</t>
        </is>
      </c>
      <c r="F186" s="2" t="inlineStr">
        <is>
          <t>Tamamlandi</t>
        </is>
      </c>
      <c r="G186" s="2" t="inlineStr">
        <is>
          <t>USD</t>
        </is>
      </c>
      <c r="H186" s="5" t="n">
        <v>1</v>
      </c>
      <c r="I186" s="3" t="n">
        <v>18718.44</v>
      </c>
      <c r="J186" s="2" t="inlineStr">
        <is>
          <t>CIF</t>
        </is>
      </c>
      <c r="K186" s="2" t="inlineStr">
        <is>
          <t>Denizyolu</t>
        </is>
      </c>
      <c r="L186" s="6" t="n">
        <v>45937</v>
      </c>
      <c r="M186" s="6" t="n">
        <v>45937</v>
      </c>
      <c r="N186" s="5" t="n">
        <v>0</v>
      </c>
      <c r="O186" s="2" t="inlineStr">
        <is>
          <t>Normal</t>
        </is>
      </c>
    </row>
    <row r="187">
      <c r="A187" s="2" t="inlineStr">
        <is>
          <t>SIP-0186</t>
        </is>
      </c>
      <c r="B187" s="6" t="n">
        <v>45957</v>
      </c>
      <c r="C187" s="2" t="inlineStr">
        <is>
          <t>MUS-031</t>
        </is>
      </c>
      <c r="D187" s="2" t="inlineStr">
        <is>
          <t>TKL-0391</t>
        </is>
      </c>
      <c r="E187" s="2" t="inlineStr">
        <is>
          <t>ST-001</t>
        </is>
      </c>
      <c r="F187" s="2" t="inlineStr">
        <is>
          <t>Tamamlandi</t>
        </is>
      </c>
      <c r="G187" s="2" t="inlineStr">
        <is>
          <t>EUR</t>
        </is>
      </c>
      <c r="H187" s="5" t="n">
        <v>1.1234</v>
      </c>
      <c r="I187" s="3" t="n">
        <v>38198.31</v>
      </c>
      <c r="J187" s="2" t="inlineStr">
        <is>
          <t>DAP</t>
        </is>
      </c>
      <c r="K187" s="2" t="inlineStr">
        <is>
          <t>Karayolu</t>
        </is>
      </c>
      <c r="L187" s="6" t="n">
        <v>46003</v>
      </c>
      <c r="M187" s="6" t="n">
        <v>46003</v>
      </c>
      <c r="N187" s="5" t="n">
        <v>0</v>
      </c>
      <c r="O187" s="2" t="inlineStr">
        <is>
          <t>Normal</t>
        </is>
      </c>
    </row>
    <row r="188">
      <c r="A188" s="2" t="inlineStr">
        <is>
          <t>SIP-0187</t>
        </is>
      </c>
      <c r="B188" s="6" t="n">
        <v>45922</v>
      </c>
      <c r="C188" s="2" t="inlineStr">
        <is>
          <t>MUS-026</t>
        </is>
      </c>
      <c r="D188" s="2" t="inlineStr">
        <is>
          <t>TKL-0393</t>
        </is>
      </c>
      <c r="E188" s="2" t="inlineStr">
        <is>
          <t>ST-002</t>
        </is>
      </c>
      <c r="F188" s="2" t="inlineStr">
        <is>
          <t>Tamamlandi</t>
        </is>
      </c>
      <c r="G188" s="2" t="inlineStr">
        <is>
          <t>EUR</t>
        </is>
      </c>
      <c r="H188" s="5" t="n">
        <v>1.1234</v>
      </c>
      <c r="I188" s="3" t="n">
        <v>9210.99</v>
      </c>
      <c r="J188" s="2" t="inlineStr">
        <is>
          <t>FCA</t>
        </is>
      </c>
      <c r="K188" s="2" t="inlineStr">
        <is>
          <t>Karayolu</t>
        </is>
      </c>
      <c r="L188" s="6" t="n">
        <v>45966</v>
      </c>
      <c r="M188" s="6" t="n">
        <v>45974</v>
      </c>
      <c r="N188" s="5" t="n">
        <v>8</v>
      </c>
      <c r="O188" s="2" t="inlineStr">
        <is>
          <t>Normal</t>
        </is>
      </c>
    </row>
    <row r="189">
      <c r="A189" s="2" t="inlineStr">
        <is>
          <t>SIP-0188</t>
        </is>
      </c>
      <c r="B189" s="6" t="n">
        <v>45912</v>
      </c>
      <c r="C189" s="2" t="inlineStr">
        <is>
          <t>MUS-019</t>
        </is>
      </c>
      <c r="D189" s="2" t="inlineStr">
        <is>
          <t>TKL-0394</t>
        </is>
      </c>
      <c r="E189" s="2" t="inlineStr">
        <is>
          <t>ST-003</t>
        </is>
      </c>
      <c r="F189" s="2" t="inlineStr">
        <is>
          <t>Sevk Edildi</t>
        </is>
      </c>
      <c r="G189" s="2" t="inlineStr">
        <is>
          <t>USD</t>
        </is>
      </c>
      <c r="H189" s="5" t="n">
        <v>1</v>
      </c>
      <c r="I189" s="3" t="n">
        <v>8538.450000000001</v>
      </c>
      <c r="J189" s="2" t="inlineStr">
        <is>
          <t>CIF</t>
        </is>
      </c>
      <c r="K189" s="2" t="inlineStr">
        <is>
          <t>Denizyolu</t>
        </is>
      </c>
      <c r="L189" s="6" t="n">
        <v>45957</v>
      </c>
      <c r="M189" s="6" t="n">
        <v>45962</v>
      </c>
      <c r="N189" s="5" t="n">
        <v>5</v>
      </c>
      <c r="O189" s="2" t="inlineStr">
        <is>
          <t>Normal</t>
        </is>
      </c>
    </row>
    <row r="190">
      <c r="A190" s="2" t="inlineStr">
        <is>
          <t>SIP-0189</t>
        </is>
      </c>
      <c r="B190" s="6" t="n">
        <v>45919</v>
      </c>
      <c r="C190" s="2" t="inlineStr">
        <is>
          <t>MUS-058</t>
        </is>
      </c>
      <c r="D190" s="2" t="inlineStr">
        <is>
          <t>TKL-0396</t>
        </is>
      </c>
      <c r="E190" s="2" t="inlineStr">
        <is>
          <t>ST-001</t>
        </is>
      </c>
      <c r="F190" s="2" t="inlineStr">
        <is>
          <t>Uretimde</t>
        </is>
      </c>
      <c r="G190" s="2" t="inlineStr">
        <is>
          <t>EUR</t>
        </is>
      </c>
      <c r="H190" s="5" t="n">
        <v>1.1234</v>
      </c>
      <c r="I190" s="3" t="n">
        <v>34354.75</v>
      </c>
      <c r="J190" s="2" t="inlineStr">
        <is>
          <t>DAP</t>
        </is>
      </c>
      <c r="K190" s="2" t="inlineStr">
        <is>
          <t>Karayolu</t>
        </is>
      </c>
      <c r="L190" s="6" t="n">
        <v>45947</v>
      </c>
      <c r="M190" s="6" t="n">
        <v>45947</v>
      </c>
      <c r="N190" s="5" t="n">
        <v>0</v>
      </c>
      <c r="O190" s="2" t="inlineStr">
        <is>
          <t>Normal</t>
        </is>
      </c>
    </row>
    <row r="191">
      <c r="A191" s="2" t="inlineStr">
        <is>
          <t>SIP-0190</t>
        </is>
      </c>
      <c r="B191" s="6" t="n">
        <v>45904</v>
      </c>
      <c r="C191" s="2" t="inlineStr">
        <is>
          <t>MUS-029</t>
        </is>
      </c>
      <c r="D191" s="2" t="inlineStr">
        <is>
          <t>TKL-0397</t>
        </is>
      </c>
      <c r="E191" s="2" t="inlineStr">
        <is>
          <t>ST-005</t>
        </is>
      </c>
      <c r="F191" s="2" t="inlineStr">
        <is>
          <t>Tamamlandi</t>
        </is>
      </c>
      <c r="G191" s="2" t="inlineStr">
        <is>
          <t>USD</t>
        </is>
      </c>
      <c r="H191" s="5" t="n">
        <v>1</v>
      </c>
      <c r="I191" s="3" t="n">
        <v>10953.51</v>
      </c>
      <c r="J191" s="2" t="inlineStr">
        <is>
          <t>CFR</t>
        </is>
      </c>
      <c r="K191" s="2" t="inlineStr">
        <is>
          <t>Denizyolu</t>
        </is>
      </c>
      <c r="L191" s="6" t="n">
        <v>45953</v>
      </c>
      <c r="M191" s="6" t="n">
        <v>45953</v>
      </c>
      <c r="N191" s="5" t="n">
        <v>0</v>
      </c>
      <c r="O191" s="2" t="inlineStr">
        <is>
          <t>Normal</t>
        </is>
      </c>
    </row>
    <row r="192">
      <c r="A192" s="2" t="inlineStr">
        <is>
          <t>SIP-0191</t>
        </is>
      </c>
      <c r="B192" s="6" t="n">
        <v>45889</v>
      </c>
      <c r="C192" s="2" t="inlineStr">
        <is>
          <t>MUS-049</t>
        </is>
      </c>
      <c r="D192" s="2" t="inlineStr">
        <is>
          <t>TKL-0399</t>
        </is>
      </c>
      <c r="E192" s="2" t="inlineStr">
        <is>
          <t>ST-003</t>
        </is>
      </c>
      <c r="F192" s="2" t="inlineStr">
        <is>
          <t>Tamamlandi</t>
        </is>
      </c>
      <c r="G192" s="2" t="inlineStr">
        <is>
          <t>USD</t>
        </is>
      </c>
      <c r="H192" s="5" t="n">
        <v>1</v>
      </c>
      <c r="I192" s="3" t="n">
        <v>28929.31</v>
      </c>
      <c r="J192" s="2" t="inlineStr">
        <is>
          <t>CIF</t>
        </is>
      </c>
      <c r="K192" s="2" t="inlineStr">
        <is>
          <t>Denizyolu</t>
        </is>
      </c>
      <c r="L192" s="6" t="n">
        <v>45938</v>
      </c>
      <c r="M192" s="6" t="n">
        <v>45938</v>
      </c>
      <c r="N192" s="5" t="n">
        <v>0</v>
      </c>
      <c r="O192" s="2" t="inlineStr">
        <is>
          <t>Kritik</t>
        </is>
      </c>
    </row>
    <row r="193">
      <c r="A193" s="2" t="inlineStr">
        <is>
          <t>SIP-0192</t>
        </is>
      </c>
      <c r="B193" s="6" t="n">
        <v>45913</v>
      </c>
      <c r="C193" s="2" t="inlineStr">
        <is>
          <t>MUS-020</t>
        </is>
      </c>
      <c r="D193" s="2" t="inlineStr">
        <is>
          <t>TKL-0400</t>
        </is>
      </c>
      <c r="E193" s="2" t="inlineStr">
        <is>
          <t>ST-005</t>
        </is>
      </c>
      <c r="F193" s="2" t="inlineStr">
        <is>
          <t>Sevk Edildi</t>
        </is>
      </c>
      <c r="G193" s="2" t="inlineStr">
        <is>
          <t>USD</t>
        </is>
      </c>
      <c r="H193" s="5" t="n">
        <v>1</v>
      </c>
      <c r="I193" s="3" t="n">
        <v>42956.64</v>
      </c>
      <c r="J193" s="2" t="inlineStr">
        <is>
          <t>CFR</t>
        </is>
      </c>
      <c r="K193" s="2" t="inlineStr">
        <is>
          <t>Denizyolu</t>
        </is>
      </c>
      <c r="L193" s="6" t="n">
        <v>45939</v>
      </c>
      <c r="M193" s="6" t="n">
        <v>45942</v>
      </c>
      <c r="N193" s="5" t="n">
        <v>3</v>
      </c>
      <c r="O193" s="2" t="inlineStr">
        <is>
          <t>Normal</t>
        </is>
      </c>
    </row>
    <row r="194">
      <c r="A194" s="2" t="inlineStr">
        <is>
          <t>SIP-0193</t>
        </is>
      </c>
      <c r="B194" s="6" t="n">
        <v>45903</v>
      </c>
      <c r="C194" s="2" t="inlineStr">
        <is>
          <t>MUS-006</t>
        </is>
      </c>
      <c r="D194" s="2" t="inlineStr">
        <is>
          <t>TKL-0402</t>
        </is>
      </c>
      <c r="E194" s="2" t="inlineStr">
        <is>
          <t>ST-008</t>
        </is>
      </c>
      <c r="F194" s="2" t="inlineStr">
        <is>
          <t>Tamamlandi</t>
        </is>
      </c>
      <c r="G194" s="2" t="inlineStr">
        <is>
          <t>USD</t>
        </is>
      </c>
      <c r="H194" s="5" t="n">
        <v>1</v>
      </c>
      <c r="I194" s="3" t="n">
        <v>41055.69</v>
      </c>
      <c r="J194" s="2" t="inlineStr">
        <is>
          <t>FCA</t>
        </is>
      </c>
      <c r="K194" s="2" t="inlineStr">
        <is>
          <t>Denizyolu</t>
        </is>
      </c>
      <c r="L194" s="6" t="n">
        <v>45943</v>
      </c>
      <c r="M194" s="6" t="n">
        <v>45945</v>
      </c>
      <c r="N194" s="5" t="n">
        <v>2</v>
      </c>
      <c r="O194" s="2" t="inlineStr">
        <is>
          <t>Normal</t>
        </is>
      </c>
    </row>
    <row r="195">
      <c r="A195" s="2" t="inlineStr">
        <is>
          <t>SIP-0194</t>
        </is>
      </c>
      <c r="B195" s="6" t="n">
        <v>45901</v>
      </c>
      <c r="C195" s="2" t="inlineStr">
        <is>
          <t>MUS-026</t>
        </is>
      </c>
      <c r="D195" s="2" t="inlineStr">
        <is>
          <t>TKL-0403</t>
        </is>
      </c>
      <c r="E195" s="2" t="inlineStr">
        <is>
          <t>ST-001</t>
        </is>
      </c>
      <c r="F195" s="2" t="inlineStr">
        <is>
          <t>Uretimde</t>
        </is>
      </c>
      <c r="G195" s="2" t="inlineStr">
        <is>
          <t>EUR</t>
        </is>
      </c>
      <c r="H195" s="5" t="n">
        <v>1.1234</v>
      </c>
      <c r="I195" s="3" t="n">
        <v>58432.92</v>
      </c>
      <c r="J195" s="2" t="inlineStr">
        <is>
          <t>FCA</t>
        </is>
      </c>
      <c r="K195" s="2" t="inlineStr">
        <is>
          <t>Karayolu</t>
        </is>
      </c>
      <c r="L195" s="6" t="n">
        <v>45933</v>
      </c>
      <c r="M195" s="6" t="n">
        <v>45938</v>
      </c>
      <c r="N195" s="5" t="n">
        <v>5</v>
      </c>
      <c r="O195" s="2" t="inlineStr">
        <is>
          <t>Kritik</t>
        </is>
      </c>
    </row>
    <row r="196">
      <c r="A196" s="2" t="inlineStr">
        <is>
          <t>SIP-0195</t>
        </is>
      </c>
      <c r="B196" s="6" t="n">
        <v>45950</v>
      </c>
      <c r="C196" s="2" t="inlineStr">
        <is>
          <t>MUS-036</t>
        </is>
      </c>
      <c r="D196" s="2" t="inlineStr">
        <is>
          <t>TKL-0405</t>
        </is>
      </c>
      <c r="E196" s="2" t="inlineStr">
        <is>
          <t>ST-006</t>
        </is>
      </c>
      <c r="F196" s="2" t="inlineStr">
        <is>
          <t>Tamamlandi</t>
        </is>
      </c>
      <c r="G196" s="2" t="inlineStr">
        <is>
          <t>USD</t>
        </is>
      </c>
      <c r="H196" s="5" t="n">
        <v>1</v>
      </c>
      <c r="I196" s="3" t="n">
        <v>42476.6</v>
      </c>
      <c r="J196" s="2" t="inlineStr">
        <is>
          <t>CFR</t>
        </is>
      </c>
      <c r="K196" s="2" t="inlineStr">
        <is>
          <t>Denizyolu</t>
        </is>
      </c>
      <c r="L196" s="6" t="n">
        <v>46019</v>
      </c>
      <c r="M196" s="6" t="n">
        <v>46020</v>
      </c>
      <c r="N196" s="5" t="n">
        <v>1</v>
      </c>
      <c r="O196" s="2" t="inlineStr">
        <is>
          <t>Kritik</t>
        </is>
      </c>
    </row>
    <row r="197">
      <c r="A197" s="2" t="inlineStr">
        <is>
          <t>SIP-0196</t>
        </is>
      </c>
      <c r="B197" s="6" t="n">
        <v>45937</v>
      </c>
      <c r="C197" s="2" t="inlineStr">
        <is>
          <t>MUS-068</t>
        </is>
      </c>
      <c r="D197" s="2" t="inlineStr">
        <is>
          <t>TKL-0408</t>
        </is>
      </c>
      <c r="E197" s="2" t="inlineStr">
        <is>
          <t>ST-001</t>
        </is>
      </c>
      <c r="F197" s="2" t="inlineStr">
        <is>
          <t>Tamamlandi</t>
        </is>
      </c>
      <c r="G197" s="2" t="inlineStr">
        <is>
          <t>EUR</t>
        </is>
      </c>
      <c r="H197" s="5" t="n">
        <v>1.1328</v>
      </c>
      <c r="I197" s="3" t="n">
        <v>11751.3</v>
      </c>
      <c r="J197" s="2" t="inlineStr">
        <is>
          <t>DAP</t>
        </is>
      </c>
      <c r="K197" s="2" t="inlineStr">
        <is>
          <t>Karayolu</t>
        </is>
      </c>
      <c r="L197" s="6" t="n">
        <v>45978</v>
      </c>
      <c r="M197" s="6" t="n">
        <v>45978</v>
      </c>
      <c r="N197" s="5" t="n">
        <v>0</v>
      </c>
      <c r="O197" s="2" t="inlineStr">
        <is>
          <t>Normal</t>
        </is>
      </c>
    </row>
    <row r="198">
      <c r="A198" s="2" t="inlineStr">
        <is>
          <t>SIP-0197</t>
        </is>
      </c>
      <c r="B198" s="6" t="n">
        <v>45956</v>
      </c>
      <c r="C198" s="2" t="inlineStr">
        <is>
          <t>MUS-007</t>
        </is>
      </c>
      <c r="D198" s="2" t="inlineStr">
        <is>
          <t>TKL-0409</t>
        </is>
      </c>
      <c r="E198" s="2" t="inlineStr">
        <is>
          <t>ST-004</t>
        </is>
      </c>
      <c r="F198" s="2" t="inlineStr">
        <is>
          <t>Tamamlandi</t>
        </is>
      </c>
      <c r="G198" s="2" t="inlineStr">
        <is>
          <t>USD</t>
        </is>
      </c>
      <c r="H198" s="5" t="n">
        <v>1</v>
      </c>
      <c r="I198" s="3" t="n">
        <v>20439.76</v>
      </c>
      <c r="J198" s="2" t="inlineStr">
        <is>
          <t>CIF</t>
        </is>
      </c>
      <c r="K198" s="2" t="inlineStr">
        <is>
          <t>Karayolu</t>
        </is>
      </c>
      <c r="L198" s="6" t="n">
        <v>46003</v>
      </c>
      <c r="M198" s="6" t="n">
        <v>46003</v>
      </c>
      <c r="N198" s="5" t="n">
        <v>0</v>
      </c>
      <c r="O198" s="2" t="inlineStr">
        <is>
          <t>Normal</t>
        </is>
      </c>
    </row>
    <row r="199">
      <c r="A199" s="2" t="inlineStr">
        <is>
          <t>SIP-0198</t>
        </is>
      </c>
      <c r="B199" s="6" t="n">
        <v>45965</v>
      </c>
      <c r="C199" s="2" t="inlineStr">
        <is>
          <t>MUS-021</t>
        </is>
      </c>
      <c r="D199" s="2" t="inlineStr">
        <is>
          <t>TKL-0411</t>
        </is>
      </c>
      <c r="E199" s="2" t="inlineStr">
        <is>
          <t>ST-002</t>
        </is>
      </c>
      <c r="F199" s="2" t="inlineStr">
        <is>
          <t>Sevk Edildi</t>
        </is>
      </c>
      <c r="G199" s="2" t="inlineStr">
        <is>
          <t>EUR</t>
        </is>
      </c>
      <c r="H199" s="5" t="n">
        <v>1.1328</v>
      </c>
      <c r="I199" s="3" t="n">
        <v>55376.61</v>
      </c>
      <c r="J199" s="2" t="inlineStr">
        <is>
          <t>DAP</t>
        </is>
      </c>
      <c r="K199" s="2" t="inlineStr">
        <is>
          <t>Karayolu</t>
        </is>
      </c>
      <c r="L199" s="6" t="n">
        <v>46010</v>
      </c>
      <c r="M199" s="6" t="n">
        <v>46010</v>
      </c>
      <c r="N199" s="5" t="n">
        <v>0</v>
      </c>
      <c r="O199" s="2" t="inlineStr">
        <is>
          <t>Kritik</t>
        </is>
      </c>
    </row>
    <row r="200">
      <c r="A200" s="2" t="inlineStr">
        <is>
          <t>SIP-0199</t>
        </is>
      </c>
      <c r="B200" s="6" t="n">
        <v>45934</v>
      </c>
      <c r="C200" s="2" t="inlineStr">
        <is>
          <t>MUS-040</t>
        </is>
      </c>
      <c r="D200" s="2" t="inlineStr">
        <is>
          <t>TKL-0412</t>
        </is>
      </c>
      <c r="E200" s="2" t="inlineStr">
        <is>
          <t>ST-003</t>
        </is>
      </c>
      <c r="F200" s="2" t="inlineStr">
        <is>
          <t>Tamamlandi</t>
        </is>
      </c>
      <c r="G200" s="2" t="inlineStr">
        <is>
          <t>USD</t>
        </is>
      </c>
      <c r="H200" s="5" t="n">
        <v>1</v>
      </c>
      <c r="I200" s="3" t="n">
        <v>14555.59</v>
      </c>
      <c r="J200" s="2" t="inlineStr">
        <is>
          <t>CIF</t>
        </is>
      </c>
      <c r="K200" s="2" t="inlineStr">
        <is>
          <t>Denizyolu</t>
        </is>
      </c>
      <c r="L200" s="6" t="n">
        <v>45971</v>
      </c>
      <c r="M200" s="6" t="n">
        <v>45971</v>
      </c>
      <c r="N200" s="5" t="n">
        <v>0</v>
      </c>
      <c r="O200" s="2" t="inlineStr">
        <is>
          <t>Normal</t>
        </is>
      </c>
    </row>
    <row r="201">
      <c r="A201" s="2" t="inlineStr">
        <is>
          <t>SIP-0200</t>
        </is>
      </c>
      <c r="B201" s="6" t="n">
        <v>45956</v>
      </c>
      <c r="C201" s="2" t="inlineStr">
        <is>
          <t>MUS-053</t>
        </is>
      </c>
      <c r="D201" s="2" t="inlineStr">
        <is>
          <t>TKL-0414</t>
        </is>
      </c>
      <c r="E201" s="2" t="inlineStr">
        <is>
          <t>ST-002</t>
        </is>
      </c>
      <c r="F201" s="2" t="inlineStr">
        <is>
          <t>Sevk Edildi</t>
        </is>
      </c>
      <c r="G201" s="2" t="inlineStr">
        <is>
          <t>EUR</t>
        </is>
      </c>
      <c r="H201" s="5" t="n">
        <v>1.1328</v>
      </c>
      <c r="I201" s="3" t="n">
        <v>57910.59</v>
      </c>
      <c r="J201" s="2" t="inlineStr">
        <is>
          <t>DAP</t>
        </is>
      </c>
      <c r="K201" s="2" t="inlineStr">
        <is>
          <t>Karayolu</t>
        </is>
      </c>
      <c r="L201" s="6" t="n">
        <v>46002</v>
      </c>
      <c r="M201" s="6" t="n">
        <v>46002</v>
      </c>
      <c r="N201" s="5" t="n">
        <v>0</v>
      </c>
      <c r="O201" s="2" t="inlineStr">
        <is>
          <t>Yuksek</t>
        </is>
      </c>
    </row>
    <row r="202">
      <c r="A202" s="2" t="inlineStr">
        <is>
          <t>SIP-0201</t>
        </is>
      </c>
      <c r="B202" s="6" t="n">
        <v>45926</v>
      </c>
      <c r="C202" s="2" t="inlineStr">
        <is>
          <t>MUS-051</t>
        </is>
      </c>
      <c r="D202" s="2" t="inlineStr">
        <is>
          <t>TKL-0415</t>
        </is>
      </c>
      <c r="E202" s="2" t="inlineStr">
        <is>
          <t>ST-002</t>
        </is>
      </c>
      <c r="F202" s="2" t="inlineStr">
        <is>
          <t>Sevk Edildi</t>
        </is>
      </c>
      <c r="G202" s="2" t="inlineStr">
        <is>
          <t>EUR</t>
        </is>
      </c>
      <c r="H202" s="5" t="n">
        <v>1.1328</v>
      </c>
      <c r="I202" s="3" t="n">
        <v>5184.19</v>
      </c>
      <c r="J202" s="2" t="inlineStr">
        <is>
          <t>DAP</t>
        </is>
      </c>
      <c r="K202" s="2" t="inlineStr">
        <is>
          <t>Denizyolu</t>
        </is>
      </c>
      <c r="L202" s="6" t="n">
        <v>45973</v>
      </c>
      <c r="M202" s="6" t="n">
        <v>45975</v>
      </c>
      <c r="N202" s="5" t="n">
        <v>2</v>
      </c>
      <c r="O202" s="2" t="inlineStr">
        <is>
          <t>Normal</t>
        </is>
      </c>
    </row>
    <row r="203">
      <c r="A203" s="2" t="inlineStr">
        <is>
          <t>SIP-0202</t>
        </is>
      </c>
      <c r="B203" s="6" t="n">
        <v>45933</v>
      </c>
      <c r="C203" s="2" t="inlineStr">
        <is>
          <t>MUS-035</t>
        </is>
      </c>
      <c r="D203" s="2" t="inlineStr">
        <is>
          <t>TKL-0416</t>
        </is>
      </c>
      <c r="E203" s="2" t="inlineStr">
        <is>
          <t>ST-001</t>
        </is>
      </c>
      <c r="F203" s="2" t="inlineStr">
        <is>
          <t>Sevk Edildi</t>
        </is>
      </c>
      <c r="G203" s="2" t="inlineStr">
        <is>
          <t>EUR</t>
        </is>
      </c>
      <c r="H203" s="5" t="n">
        <v>1.1328</v>
      </c>
      <c r="I203" s="3" t="n">
        <v>45639.04</v>
      </c>
      <c r="J203" s="2" t="inlineStr">
        <is>
          <t>FCA</t>
        </is>
      </c>
      <c r="K203" s="2" t="inlineStr">
        <is>
          <t>Denizyolu</t>
        </is>
      </c>
      <c r="L203" s="6" t="n">
        <v>45970</v>
      </c>
      <c r="M203" s="6" t="n">
        <v>45970</v>
      </c>
      <c r="N203" s="5" t="n">
        <v>0</v>
      </c>
      <c r="O203" s="2" t="inlineStr">
        <is>
          <t>Normal</t>
        </is>
      </c>
    </row>
    <row r="204">
      <c r="A204" s="2" t="inlineStr">
        <is>
          <t>SIP-0203</t>
        </is>
      </c>
      <c r="B204" s="6" t="n">
        <v>45931</v>
      </c>
      <c r="C204" s="2" t="inlineStr">
        <is>
          <t>MUS-008</t>
        </is>
      </c>
      <c r="D204" s="2" t="inlineStr">
        <is>
          <t>TKL-0417</t>
        </is>
      </c>
      <c r="E204" s="2" t="inlineStr">
        <is>
          <t>ST-007</t>
        </is>
      </c>
      <c r="F204" s="2" t="inlineStr">
        <is>
          <t>Sevk Edildi</t>
        </is>
      </c>
      <c r="G204" s="2" t="inlineStr">
        <is>
          <t>USD</t>
        </is>
      </c>
      <c r="H204" s="5" t="n">
        <v>1</v>
      </c>
      <c r="I204" s="3" t="n">
        <v>39739.24</v>
      </c>
      <c r="J204" s="2" t="inlineStr">
        <is>
          <t>FCA</t>
        </is>
      </c>
      <c r="K204" s="2" t="inlineStr">
        <is>
          <t>Karayolu</t>
        </is>
      </c>
      <c r="L204" s="6" t="n">
        <v>45969</v>
      </c>
      <c r="M204" s="6" t="n">
        <v>45972</v>
      </c>
      <c r="N204" s="5" t="n">
        <v>3</v>
      </c>
      <c r="O204" s="2" t="inlineStr">
        <is>
          <t>Normal</t>
        </is>
      </c>
    </row>
    <row r="205">
      <c r="A205" s="2" t="inlineStr">
        <is>
          <t>SIP-0204</t>
        </is>
      </c>
      <c r="B205" s="6" t="n">
        <v>45917</v>
      </c>
      <c r="C205" s="2" t="inlineStr">
        <is>
          <t>MUS-053</t>
        </is>
      </c>
      <c r="D205" s="2" t="inlineStr">
        <is>
          <t>TKL-0418</t>
        </is>
      </c>
      <c r="E205" s="2" t="inlineStr">
        <is>
          <t>ST-002</t>
        </is>
      </c>
      <c r="F205" s="2" t="inlineStr">
        <is>
          <t>Tamamlandi</t>
        </is>
      </c>
      <c r="G205" s="2" t="inlineStr">
        <is>
          <t>EUR</t>
        </is>
      </c>
      <c r="H205" s="5" t="n">
        <v>1.1328</v>
      </c>
      <c r="I205" s="3" t="n">
        <v>23031.08</v>
      </c>
      <c r="J205" s="2" t="inlineStr">
        <is>
          <t>DAP</t>
        </is>
      </c>
      <c r="K205" s="2" t="inlineStr">
        <is>
          <t>Denizyolu</t>
        </is>
      </c>
      <c r="L205" s="6" t="n">
        <v>45963</v>
      </c>
      <c r="M205" s="6" t="n">
        <v>45963</v>
      </c>
      <c r="N205" s="5" t="n">
        <v>0</v>
      </c>
      <c r="O205" s="2" t="inlineStr">
        <is>
          <t>Normal</t>
        </is>
      </c>
    </row>
    <row r="206">
      <c r="A206" s="2" t="inlineStr">
        <is>
          <t>SIP-0205</t>
        </is>
      </c>
      <c r="B206" s="6" t="n">
        <v>45925</v>
      </c>
      <c r="C206" s="2" t="inlineStr">
        <is>
          <t>MUS-048</t>
        </is>
      </c>
      <c r="D206" s="2" t="inlineStr">
        <is>
          <t>TKL-0419</t>
        </is>
      </c>
      <c r="E206" s="2" t="inlineStr">
        <is>
          <t>ST-001</t>
        </is>
      </c>
      <c r="F206" s="2" t="inlineStr">
        <is>
          <t>Uretimde</t>
        </is>
      </c>
      <c r="G206" s="2" t="inlineStr">
        <is>
          <t>EUR</t>
        </is>
      </c>
      <c r="H206" s="5" t="n">
        <v>1.1328</v>
      </c>
      <c r="I206" s="3" t="n">
        <v>53668.21</v>
      </c>
      <c r="J206" s="2" t="inlineStr">
        <is>
          <t>DAP</t>
        </is>
      </c>
      <c r="K206" s="2" t="inlineStr">
        <is>
          <t>Denizyolu</t>
        </is>
      </c>
      <c r="L206" s="6" t="n">
        <v>45977</v>
      </c>
      <c r="M206" s="6" t="n">
        <v>45977</v>
      </c>
      <c r="N206" s="5" t="n">
        <v>0</v>
      </c>
      <c r="O206" s="2" t="inlineStr">
        <is>
          <t>Normal</t>
        </is>
      </c>
    </row>
    <row r="207">
      <c r="A207" s="2" t="inlineStr">
        <is>
          <t>SIP-0206</t>
        </is>
      </c>
      <c r="B207" s="6" t="n">
        <v>45923</v>
      </c>
      <c r="C207" s="2" t="inlineStr">
        <is>
          <t>MUS-016</t>
        </is>
      </c>
      <c r="D207" s="2" t="inlineStr">
        <is>
          <t>TKL-0422</t>
        </is>
      </c>
      <c r="E207" s="2" t="inlineStr">
        <is>
          <t>ST-001</t>
        </is>
      </c>
      <c r="F207" s="2" t="inlineStr">
        <is>
          <t>Sevk Edildi</t>
        </is>
      </c>
      <c r="G207" s="2" t="inlineStr">
        <is>
          <t>EUR</t>
        </is>
      </c>
      <c r="H207" s="5" t="n">
        <v>1.1328</v>
      </c>
      <c r="I207" s="3" t="n">
        <v>2481.6</v>
      </c>
      <c r="J207" s="2" t="inlineStr">
        <is>
          <t>DAP</t>
        </is>
      </c>
      <c r="K207" s="2" t="inlineStr">
        <is>
          <t>Karayolu</t>
        </is>
      </c>
      <c r="L207" s="6" t="n">
        <v>45974</v>
      </c>
      <c r="M207" s="6" t="n">
        <v>45975</v>
      </c>
      <c r="N207" s="5" t="n">
        <v>1</v>
      </c>
      <c r="O207" s="2" t="inlineStr">
        <is>
          <t>Normal</t>
        </is>
      </c>
    </row>
    <row r="208">
      <c r="A208" s="2" t="inlineStr">
        <is>
          <t>SIP-0207</t>
        </is>
      </c>
      <c r="B208" s="6" t="n">
        <v>45935</v>
      </c>
      <c r="C208" s="2" t="inlineStr">
        <is>
          <t>MUS-034</t>
        </is>
      </c>
      <c r="D208" s="2" t="inlineStr">
        <is>
          <t>TKL-0424</t>
        </is>
      </c>
      <c r="E208" s="2" t="inlineStr">
        <is>
          <t>ST-001</t>
        </is>
      </c>
      <c r="F208" s="2" t="inlineStr">
        <is>
          <t>Uretimde</t>
        </is>
      </c>
      <c r="G208" s="2" t="inlineStr">
        <is>
          <t>EUR</t>
        </is>
      </c>
      <c r="H208" s="5" t="n">
        <v>1.1328</v>
      </c>
      <c r="I208" s="3" t="n">
        <v>18785.52</v>
      </c>
      <c r="J208" s="2" t="inlineStr">
        <is>
          <t>DAP</t>
        </is>
      </c>
      <c r="K208" s="2" t="inlineStr">
        <is>
          <t>Karayolu</t>
        </is>
      </c>
      <c r="L208" s="6" t="n">
        <v>45976</v>
      </c>
      <c r="M208" s="6" t="n">
        <v>45978</v>
      </c>
      <c r="N208" s="5" t="n">
        <v>2</v>
      </c>
      <c r="O208" s="2" t="inlineStr">
        <is>
          <t>Normal</t>
        </is>
      </c>
    </row>
    <row r="209">
      <c r="A209" s="2" t="inlineStr">
        <is>
          <t>SIP-0208</t>
        </is>
      </c>
      <c r="B209" s="6" t="n">
        <v>45935</v>
      </c>
      <c r="C209" s="2" t="inlineStr">
        <is>
          <t>MUS-033</t>
        </is>
      </c>
      <c r="D209" s="2" t="inlineStr">
        <is>
          <t>TKL-0425</t>
        </is>
      </c>
      <c r="E209" s="2" t="inlineStr">
        <is>
          <t>ST-005</t>
        </is>
      </c>
      <c r="F209" s="2" t="inlineStr">
        <is>
          <t>Tamamlandi</t>
        </is>
      </c>
      <c r="G209" s="2" t="inlineStr">
        <is>
          <t>USD</t>
        </is>
      </c>
      <c r="H209" s="5" t="n">
        <v>1</v>
      </c>
      <c r="I209" s="3" t="n">
        <v>11809.37</v>
      </c>
      <c r="J209" s="2" t="inlineStr">
        <is>
          <t>CFR</t>
        </is>
      </c>
      <c r="K209" s="2" t="inlineStr">
        <is>
          <t>Denizyolu</t>
        </is>
      </c>
      <c r="L209" s="6" t="n">
        <v>45983</v>
      </c>
      <c r="M209" s="6" t="n">
        <v>45983</v>
      </c>
      <c r="N209" s="5" t="n">
        <v>0</v>
      </c>
      <c r="O209" s="2" t="inlineStr">
        <is>
          <t>Normal</t>
        </is>
      </c>
    </row>
    <row r="210">
      <c r="A210" s="2" t="inlineStr">
        <is>
          <t>SIP-0209</t>
        </is>
      </c>
      <c r="B210" s="6" t="n">
        <v>45948</v>
      </c>
      <c r="C210" s="2" t="inlineStr">
        <is>
          <t>MUS-043</t>
        </is>
      </c>
      <c r="D210" s="2" t="inlineStr">
        <is>
          <t>TKL-0428</t>
        </is>
      </c>
      <c r="E210" s="2" t="inlineStr">
        <is>
          <t>ST-002</t>
        </is>
      </c>
      <c r="F210" s="2" t="inlineStr">
        <is>
          <t>Tamamlandi</t>
        </is>
      </c>
      <c r="G210" s="2" t="inlineStr">
        <is>
          <t>EUR</t>
        </is>
      </c>
      <c r="H210" s="5" t="n">
        <v>1.1328</v>
      </c>
      <c r="I210" s="3" t="n">
        <v>39754.55</v>
      </c>
      <c r="J210" s="2" t="inlineStr">
        <is>
          <t>DAP</t>
        </is>
      </c>
      <c r="K210" s="2" t="inlineStr">
        <is>
          <t>Karayolu</t>
        </is>
      </c>
      <c r="L210" s="6" t="n">
        <v>45999</v>
      </c>
      <c r="M210" s="6" t="n">
        <v>46004</v>
      </c>
      <c r="N210" s="5" t="n">
        <v>5</v>
      </c>
      <c r="O210" s="2" t="inlineStr">
        <is>
          <t>Normal</t>
        </is>
      </c>
    </row>
    <row r="211">
      <c r="A211" s="2" t="inlineStr">
        <is>
          <t>SIP-0210</t>
        </is>
      </c>
      <c r="B211" s="6" t="n">
        <v>45943</v>
      </c>
      <c r="C211" s="2" t="inlineStr">
        <is>
          <t>MUS-084</t>
        </is>
      </c>
      <c r="D211" s="2" t="inlineStr">
        <is>
          <t>TKL-0429</t>
        </is>
      </c>
      <c r="E211" s="2" t="inlineStr">
        <is>
          <t>ST-002</t>
        </is>
      </c>
      <c r="F211" s="2" t="inlineStr">
        <is>
          <t>Tamamlandi</t>
        </is>
      </c>
      <c r="G211" s="2" t="inlineStr">
        <is>
          <t>EUR</t>
        </is>
      </c>
      <c r="H211" s="5" t="n">
        <v>1.1328</v>
      </c>
      <c r="I211" s="3" t="n">
        <v>31683.63</v>
      </c>
      <c r="J211" s="2" t="inlineStr">
        <is>
          <t>DAP</t>
        </is>
      </c>
      <c r="K211" s="2" t="inlineStr">
        <is>
          <t>Denizyolu</t>
        </is>
      </c>
      <c r="L211" s="6" t="n">
        <v>45989</v>
      </c>
      <c r="M211" s="6" t="n">
        <v>45991</v>
      </c>
      <c r="N211" s="5" t="n">
        <v>2</v>
      </c>
      <c r="O211" s="2" t="inlineStr">
        <is>
          <t>Normal</t>
        </is>
      </c>
    </row>
    <row r="212">
      <c r="A212" s="2" t="inlineStr">
        <is>
          <t>SIP-0211</t>
        </is>
      </c>
      <c r="B212" s="6" t="n">
        <v>45949</v>
      </c>
      <c r="C212" s="2" t="inlineStr">
        <is>
          <t>MUS-015</t>
        </is>
      </c>
      <c r="D212" s="2" t="inlineStr">
        <is>
          <t>TKL-0432</t>
        </is>
      </c>
      <c r="E212" s="2" t="inlineStr">
        <is>
          <t>ST-002</t>
        </is>
      </c>
      <c r="F212" s="2" t="inlineStr">
        <is>
          <t>Tamamlandi</t>
        </is>
      </c>
      <c r="G212" s="2" t="inlineStr">
        <is>
          <t>EUR</t>
        </is>
      </c>
      <c r="H212" s="5" t="n">
        <v>1.1257</v>
      </c>
      <c r="I212" s="3" t="n">
        <v>10983.67</v>
      </c>
      <c r="J212" s="2" t="inlineStr">
        <is>
          <t>DAP</t>
        </is>
      </c>
      <c r="K212" s="2" t="inlineStr">
        <is>
          <t>Karayolu</t>
        </is>
      </c>
      <c r="L212" s="6" t="n">
        <v>45993</v>
      </c>
      <c r="M212" s="6" t="n">
        <v>45993</v>
      </c>
      <c r="N212" s="5" t="n">
        <v>0</v>
      </c>
      <c r="O212" s="2" t="inlineStr">
        <is>
          <t>Normal</t>
        </is>
      </c>
    </row>
    <row r="213">
      <c r="A213" s="2" t="inlineStr">
        <is>
          <t>SIP-0212</t>
        </is>
      </c>
      <c r="B213" s="6" t="n">
        <v>45971</v>
      </c>
      <c r="C213" s="2" t="inlineStr">
        <is>
          <t>MUS-054</t>
        </is>
      </c>
      <c r="D213" s="2" t="inlineStr">
        <is>
          <t>TKL-0434</t>
        </is>
      </c>
      <c r="E213" s="2" t="inlineStr">
        <is>
          <t>ST-003</t>
        </is>
      </c>
      <c r="F213" s="2" t="inlineStr">
        <is>
          <t>Tamamlandi</t>
        </is>
      </c>
      <c r="G213" s="2" t="inlineStr">
        <is>
          <t>USD</t>
        </is>
      </c>
      <c r="H213" s="5" t="n">
        <v>1</v>
      </c>
      <c r="I213" s="3" t="n">
        <v>8462.74</v>
      </c>
      <c r="J213" s="2" t="inlineStr">
        <is>
          <t>CIF</t>
        </is>
      </c>
      <c r="K213" s="2" t="inlineStr">
        <is>
          <t>Havayolu</t>
        </is>
      </c>
      <c r="L213" s="6" t="n">
        <v>46001</v>
      </c>
      <c r="M213" s="6" t="n">
        <v>46013</v>
      </c>
      <c r="N213" s="5" t="n">
        <v>12</v>
      </c>
      <c r="O213" s="2" t="inlineStr">
        <is>
          <t>Normal</t>
        </is>
      </c>
    </row>
    <row r="214">
      <c r="A214" s="2" t="inlineStr">
        <is>
          <t>SIP-0213</t>
        </is>
      </c>
      <c r="B214" s="6" t="n">
        <v>45970</v>
      </c>
      <c r="C214" s="2" t="inlineStr">
        <is>
          <t>MUS-023</t>
        </is>
      </c>
      <c r="D214" s="2" t="inlineStr">
        <is>
          <t>TKL-0435</t>
        </is>
      </c>
      <c r="E214" s="2" t="inlineStr">
        <is>
          <t>ST-004</t>
        </is>
      </c>
      <c r="F214" s="2" t="inlineStr">
        <is>
          <t>Tamamlandi</t>
        </is>
      </c>
      <c r="G214" s="2" t="inlineStr">
        <is>
          <t>USD</t>
        </is>
      </c>
      <c r="H214" s="5" t="n">
        <v>1</v>
      </c>
      <c r="I214" s="3" t="n">
        <v>38329.35</v>
      </c>
      <c r="J214" s="2" t="inlineStr">
        <is>
          <t>CIF</t>
        </is>
      </c>
      <c r="K214" s="2" t="inlineStr">
        <is>
          <t>Denizyolu</t>
        </is>
      </c>
      <c r="L214" s="6" t="n">
        <v>46019</v>
      </c>
      <c r="M214" s="6" t="n">
        <v>46019</v>
      </c>
      <c r="N214" s="5" t="n">
        <v>0</v>
      </c>
      <c r="O214" s="2" t="inlineStr">
        <is>
          <t>Kritik</t>
        </is>
      </c>
    </row>
    <row r="215">
      <c r="A215" s="2" t="inlineStr">
        <is>
          <t>SIP-0214</t>
        </is>
      </c>
      <c r="B215" s="6" t="n">
        <v>45957</v>
      </c>
      <c r="C215" s="2" t="inlineStr">
        <is>
          <t>MUS-060</t>
        </is>
      </c>
      <c r="D215" s="2" t="inlineStr">
        <is>
          <t>TKL-0436</t>
        </is>
      </c>
      <c r="E215" s="2" t="inlineStr">
        <is>
          <t>ST-001</t>
        </is>
      </c>
      <c r="F215" s="2" t="inlineStr">
        <is>
          <t>Tamamlandi</t>
        </is>
      </c>
      <c r="G215" s="2" t="inlineStr">
        <is>
          <t>EUR</t>
        </is>
      </c>
      <c r="H215" s="5" t="n">
        <v>1.1257</v>
      </c>
      <c r="I215" s="3" t="n">
        <v>15860.08</v>
      </c>
      <c r="J215" s="2" t="inlineStr">
        <is>
          <t>DAP</t>
        </is>
      </c>
      <c r="K215" s="2" t="inlineStr">
        <is>
          <t>Havayolu</t>
        </is>
      </c>
      <c r="L215" s="6" t="n">
        <v>45991</v>
      </c>
      <c r="M215" s="6" t="n">
        <v>45991</v>
      </c>
      <c r="N215" s="5" t="n">
        <v>0</v>
      </c>
      <c r="O215" s="2" t="inlineStr">
        <is>
          <t>Normal</t>
        </is>
      </c>
    </row>
    <row r="216">
      <c r="A216" s="2" t="inlineStr">
        <is>
          <t>SIP-0215</t>
        </is>
      </c>
      <c r="B216" s="6" t="n">
        <v>45973</v>
      </c>
      <c r="C216" s="2" t="inlineStr">
        <is>
          <t>MUS-039</t>
        </is>
      </c>
      <c r="D216" s="2" t="inlineStr">
        <is>
          <t>TKL-0437</t>
        </is>
      </c>
      <c r="E216" s="2" t="inlineStr">
        <is>
          <t>ST-004</t>
        </is>
      </c>
      <c r="F216" s="2" t="inlineStr">
        <is>
          <t>Tamamlandi</t>
        </is>
      </c>
      <c r="G216" s="2" t="inlineStr">
        <is>
          <t>USD</t>
        </is>
      </c>
      <c r="H216" s="5" t="n">
        <v>1</v>
      </c>
      <c r="I216" s="3" t="n">
        <v>29522.33</v>
      </c>
      <c r="J216" s="2" t="inlineStr">
        <is>
          <t>CIF</t>
        </is>
      </c>
      <c r="K216" s="2" t="inlineStr">
        <is>
          <t>Denizyolu</t>
        </is>
      </c>
      <c r="L216" s="6" t="n">
        <v>46033</v>
      </c>
      <c r="M216" s="6" t="n">
        <v>46033</v>
      </c>
      <c r="N216" s="5" t="n">
        <v>0</v>
      </c>
      <c r="O216" s="2" t="inlineStr">
        <is>
          <t>Yuksek</t>
        </is>
      </c>
    </row>
    <row r="217">
      <c r="A217" s="2" t="inlineStr">
        <is>
          <t>SIP-0216</t>
        </is>
      </c>
      <c r="B217" s="6" t="n">
        <v>45993</v>
      </c>
      <c r="C217" s="2" t="inlineStr">
        <is>
          <t>MUS-032</t>
        </is>
      </c>
      <c r="D217" s="2" t="inlineStr">
        <is>
          <t>TKL-0438</t>
        </is>
      </c>
      <c r="E217" s="2" t="inlineStr">
        <is>
          <t>ST-004</t>
        </is>
      </c>
      <c r="F217" s="2" t="inlineStr">
        <is>
          <t>Uretimde</t>
        </is>
      </c>
      <c r="G217" s="2" t="inlineStr">
        <is>
          <t>USD</t>
        </is>
      </c>
      <c r="H217" s="5" t="n">
        <v>1</v>
      </c>
      <c r="I217" s="3" t="n">
        <v>17660.49</v>
      </c>
      <c r="J217" s="2" t="inlineStr">
        <is>
          <t>CIF</t>
        </is>
      </c>
      <c r="K217" s="2" t="inlineStr">
        <is>
          <t>Denizyolu</t>
        </is>
      </c>
      <c r="L217" s="6" t="n">
        <v>46039</v>
      </c>
      <c r="M217" s="6" t="n">
        <v>46040</v>
      </c>
      <c r="N217" s="5" t="n">
        <v>1</v>
      </c>
      <c r="O217" s="2" t="inlineStr">
        <is>
          <t>Normal</t>
        </is>
      </c>
    </row>
    <row r="218">
      <c r="A218" s="2" t="inlineStr">
        <is>
          <t>SIP-0217</t>
        </is>
      </c>
      <c r="B218" s="6" t="n">
        <v>45972</v>
      </c>
      <c r="C218" s="2" t="inlineStr">
        <is>
          <t>MUS-056</t>
        </is>
      </c>
      <c r="D218" s="2" t="inlineStr">
        <is>
          <t>TKL-0439</t>
        </is>
      </c>
      <c r="E218" s="2" t="inlineStr">
        <is>
          <t>ST-002</t>
        </is>
      </c>
      <c r="F218" s="2" t="inlineStr">
        <is>
          <t>Tamamlandi</t>
        </is>
      </c>
      <c r="G218" s="2" t="inlineStr">
        <is>
          <t>EUR</t>
        </is>
      </c>
      <c r="H218" s="5" t="n">
        <v>1.1257</v>
      </c>
      <c r="I218" s="3" t="n">
        <v>16864.35</v>
      </c>
      <c r="J218" s="2" t="inlineStr">
        <is>
          <t>DAP</t>
        </is>
      </c>
      <c r="K218" s="2" t="inlineStr">
        <is>
          <t>Karayolu</t>
        </is>
      </c>
      <c r="L218" s="6" t="n">
        <v>46018</v>
      </c>
      <c r="M218" s="6" t="n">
        <v>46018</v>
      </c>
      <c r="N218" s="5" t="n">
        <v>0</v>
      </c>
      <c r="O218" s="2" t="inlineStr">
        <is>
          <t>Normal</t>
        </is>
      </c>
    </row>
    <row r="219">
      <c r="A219" s="2" t="inlineStr">
        <is>
          <t>SIP-0218</t>
        </is>
      </c>
      <c r="B219" s="6" t="n">
        <v>45962</v>
      </c>
      <c r="C219" s="2" t="inlineStr">
        <is>
          <t>MUS-003</t>
        </is>
      </c>
      <c r="D219" s="2" t="inlineStr">
        <is>
          <t>TKL-0441</t>
        </is>
      </c>
      <c r="E219" s="2" t="inlineStr">
        <is>
          <t>ST-003</t>
        </is>
      </c>
      <c r="F219" s="2" t="inlineStr">
        <is>
          <t>Tamamlandi</t>
        </is>
      </c>
      <c r="G219" s="2" t="inlineStr">
        <is>
          <t>USD</t>
        </is>
      </c>
      <c r="H219" s="5" t="n">
        <v>1</v>
      </c>
      <c r="I219" s="3" t="n">
        <v>37903.69</v>
      </c>
      <c r="J219" s="2" t="inlineStr">
        <is>
          <t>CIF</t>
        </is>
      </c>
      <c r="K219" s="2" t="inlineStr">
        <is>
          <t>Denizyolu</t>
        </is>
      </c>
      <c r="L219" s="6" t="n">
        <v>46007</v>
      </c>
      <c r="M219" s="6" t="n">
        <v>46007</v>
      </c>
      <c r="N219" s="5" t="n">
        <v>0</v>
      </c>
      <c r="O219" s="2" t="inlineStr">
        <is>
          <t>Normal</t>
        </is>
      </c>
    </row>
    <row r="220">
      <c r="A220" s="2" t="inlineStr">
        <is>
          <t>SIP-0219</t>
        </is>
      </c>
      <c r="B220" s="6" t="n">
        <v>45992</v>
      </c>
      <c r="C220" s="2" t="inlineStr">
        <is>
          <t>MUS-029</t>
        </is>
      </c>
      <c r="D220" s="2" t="inlineStr">
        <is>
          <t>TKL-0442</t>
        </is>
      </c>
      <c r="E220" s="2" t="inlineStr">
        <is>
          <t>ST-006</t>
        </is>
      </c>
      <c r="F220" s="2" t="inlineStr">
        <is>
          <t>Sevk Edildi</t>
        </is>
      </c>
      <c r="G220" s="2" t="inlineStr">
        <is>
          <t>USD</t>
        </is>
      </c>
      <c r="H220" s="5" t="n">
        <v>1</v>
      </c>
      <c r="I220" s="3" t="n">
        <v>75408.28</v>
      </c>
      <c r="J220" s="2" t="inlineStr">
        <is>
          <t>CFR</t>
        </is>
      </c>
      <c r="K220" s="2" t="inlineStr">
        <is>
          <t>Karayolu</t>
        </is>
      </c>
      <c r="L220" s="6" t="n">
        <v>46046</v>
      </c>
      <c r="M220" s="6" t="n">
        <v>46049</v>
      </c>
      <c r="N220" s="5" t="n">
        <v>3</v>
      </c>
      <c r="O220" s="2" t="inlineStr">
        <is>
          <t>Yuksek</t>
        </is>
      </c>
    </row>
    <row r="221">
      <c r="A221" s="2" t="inlineStr">
        <is>
          <t>SIP-0220</t>
        </is>
      </c>
      <c r="B221" s="6" t="n">
        <v>45949</v>
      </c>
      <c r="C221" s="2" t="inlineStr">
        <is>
          <t>MUS-068</t>
        </is>
      </c>
      <c r="D221" s="2" t="inlineStr">
        <is>
          <t>TKL-0443</t>
        </is>
      </c>
      <c r="E221" s="2" t="inlineStr">
        <is>
          <t>ST-001</t>
        </is>
      </c>
      <c r="F221" s="2" t="inlineStr">
        <is>
          <t>Sevk Edildi</t>
        </is>
      </c>
      <c r="G221" s="2" t="inlineStr">
        <is>
          <t>EUR</t>
        </is>
      </c>
      <c r="H221" s="5" t="n">
        <v>1.1257</v>
      </c>
      <c r="I221" s="3" t="n">
        <v>27059.21</v>
      </c>
      <c r="J221" s="2" t="inlineStr">
        <is>
          <t>DAP</t>
        </is>
      </c>
      <c r="K221" s="2" t="inlineStr">
        <is>
          <t>Denizyolu</t>
        </is>
      </c>
      <c r="L221" s="6" t="n">
        <v>45997</v>
      </c>
      <c r="M221" s="6" t="n">
        <v>45999</v>
      </c>
      <c r="N221" s="5" t="n">
        <v>2</v>
      </c>
      <c r="O221" s="2" t="inlineStr">
        <is>
          <t>Normal</t>
        </is>
      </c>
    </row>
    <row r="222">
      <c r="A222" s="2" t="inlineStr">
        <is>
          <t>SIP-0221</t>
        </is>
      </c>
      <c r="B222" s="6" t="n">
        <v>45979</v>
      </c>
      <c r="C222" s="2" t="inlineStr">
        <is>
          <t>MUS-062</t>
        </is>
      </c>
      <c r="D222" s="2" t="inlineStr">
        <is>
          <t>TKL-0448</t>
        </is>
      </c>
      <c r="E222" s="2" t="inlineStr">
        <is>
          <t>ST-007</t>
        </is>
      </c>
      <c r="F222" s="2" t="inlineStr">
        <is>
          <t>Tamamlandi</t>
        </is>
      </c>
      <c r="G222" s="2" t="inlineStr">
        <is>
          <t>USD</t>
        </is>
      </c>
      <c r="H222" s="5" t="n">
        <v>1</v>
      </c>
      <c r="I222" s="3" t="n">
        <v>14023.67</v>
      </c>
      <c r="J222" s="2" t="inlineStr">
        <is>
          <t>FCA</t>
        </is>
      </c>
      <c r="K222" s="2" t="inlineStr">
        <is>
          <t>Karayolu</t>
        </is>
      </c>
      <c r="L222" s="6" t="n">
        <v>46009</v>
      </c>
      <c r="M222" s="6" t="n">
        <v>46014</v>
      </c>
      <c r="N222" s="5" t="n">
        <v>5</v>
      </c>
      <c r="O222" s="2" t="inlineStr">
        <is>
          <t>Normal</t>
        </is>
      </c>
    </row>
    <row r="223">
      <c r="A223" s="2" t="inlineStr">
        <is>
          <t>SIP-0222</t>
        </is>
      </c>
      <c r="B223" s="6" t="n">
        <v>45976</v>
      </c>
      <c r="C223" s="2" t="inlineStr">
        <is>
          <t>MUS-046</t>
        </is>
      </c>
      <c r="D223" s="2" t="inlineStr">
        <is>
          <t>TKL-0450</t>
        </is>
      </c>
      <c r="E223" s="2" t="inlineStr">
        <is>
          <t>ST-002</t>
        </is>
      </c>
      <c r="F223" s="2" t="inlineStr">
        <is>
          <t>Tamamlandi</t>
        </is>
      </c>
      <c r="G223" s="2" t="inlineStr">
        <is>
          <t>EUR</t>
        </is>
      </c>
      <c r="H223" s="5" t="n">
        <v>1.1257</v>
      </c>
      <c r="I223" s="3" t="n">
        <v>48270.2</v>
      </c>
      <c r="J223" s="2" t="inlineStr">
        <is>
          <t>FCA</t>
        </is>
      </c>
      <c r="K223" s="2" t="inlineStr">
        <is>
          <t>Karayolu</t>
        </is>
      </c>
      <c r="L223" s="6" t="n">
        <v>46029</v>
      </c>
      <c r="M223" s="6" t="n">
        <v>46029</v>
      </c>
      <c r="N223" s="5" t="n">
        <v>0</v>
      </c>
      <c r="O223" s="2" t="inlineStr">
        <is>
          <t>Normal</t>
        </is>
      </c>
    </row>
    <row r="224">
      <c r="A224" s="2" t="inlineStr">
        <is>
          <t>SIP-0223</t>
        </is>
      </c>
      <c r="B224" s="6" t="n">
        <v>45994</v>
      </c>
      <c r="C224" s="2" t="inlineStr">
        <is>
          <t>MUS-064</t>
        </is>
      </c>
      <c r="D224" s="2" t="inlineStr">
        <is>
          <t>TKL-0451</t>
        </is>
      </c>
      <c r="E224" s="2" t="inlineStr">
        <is>
          <t>ST-002</t>
        </is>
      </c>
      <c r="F224" s="2" t="inlineStr">
        <is>
          <t>Sevk Edildi</t>
        </is>
      </c>
      <c r="G224" s="2" t="inlineStr">
        <is>
          <t>EUR</t>
        </is>
      </c>
      <c r="H224" s="5" t="n">
        <v>1.1131</v>
      </c>
      <c r="I224" s="3" t="n">
        <v>16122.55</v>
      </c>
      <c r="J224" s="2" t="inlineStr">
        <is>
          <t>FCA</t>
        </is>
      </c>
      <c r="K224" s="2" t="inlineStr">
        <is>
          <t>Havayolu</t>
        </is>
      </c>
      <c r="L224" s="6" t="n">
        <v>46048</v>
      </c>
      <c r="M224" s="6" t="n">
        <v>46048</v>
      </c>
      <c r="N224" s="5" t="n">
        <v>0</v>
      </c>
      <c r="O224" s="2" t="inlineStr">
        <is>
          <t>Yuksek</t>
        </is>
      </c>
    </row>
    <row r="225">
      <c r="A225" s="2" t="inlineStr">
        <is>
          <t>SIP-0224</t>
        </is>
      </c>
      <c r="B225" s="6" t="n">
        <v>46006</v>
      </c>
      <c r="C225" s="2" t="inlineStr">
        <is>
          <t>MUS-067</t>
        </is>
      </c>
      <c r="D225" s="2" t="inlineStr">
        <is>
          <t>TKL-0452</t>
        </is>
      </c>
      <c r="E225" s="2" t="inlineStr">
        <is>
          <t>ST-003</t>
        </is>
      </c>
      <c r="F225" s="2" t="inlineStr">
        <is>
          <t>Sevk Edildi</t>
        </is>
      </c>
      <c r="G225" s="2" t="inlineStr">
        <is>
          <t>USD</t>
        </is>
      </c>
      <c r="H225" s="5" t="n">
        <v>1</v>
      </c>
      <c r="I225" s="3" t="n">
        <v>18680.74</v>
      </c>
      <c r="J225" s="2" t="inlineStr">
        <is>
          <t>CIF</t>
        </is>
      </c>
      <c r="K225" s="2" t="inlineStr">
        <is>
          <t>Denizyolu</t>
        </is>
      </c>
      <c r="L225" s="6" t="n">
        <v>46051</v>
      </c>
      <c r="M225" s="6" t="n">
        <v>46053</v>
      </c>
      <c r="N225" s="5" t="n">
        <v>2</v>
      </c>
      <c r="O225" s="2" t="inlineStr">
        <is>
          <t>Normal</t>
        </is>
      </c>
    </row>
    <row r="226">
      <c r="A226" s="2" t="inlineStr">
        <is>
          <t>SIP-0225</t>
        </is>
      </c>
      <c r="B226" s="6" t="n">
        <v>45994</v>
      </c>
      <c r="C226" s="2" t="inlineStr">
        <is>
          <t>MUS-044</t>
        </is>
      </c>
      <c r="D226" s="2" t="inlineStr">
        <is>
          <t>TKL-0453</t>
        </is>
      </c>
      <c r="E226" s="2" t="inlineStr">
        <is>
          <t>ST-001</t>
        </is>
      </c>
      <c r="F226" s="2" t="inlineStr">
        <is>
          <t>Tamamlandi</t>
        </is>
      </c>
      <c r="G226" s="2" t="inlineStr">
        <is>
          <t>EUR</t>
        </is>
      </c>
      <c r="H226" s="5" t="n">
        <v>1.1131</v>
      </c>
      <c r="I226" s="3" t="n">
        <v>27877.77</v>
      </c>
      <c r="J226" s="2" t="inlineStr">
        <is>
          <t>DAP</t>
        </is>
      </c>
      <c r="K226" s="2" t="inlineStr">
        <is>
          <t>Karayolu</t>
        </is>
      </c>
      <c r="L226" s="6" t="n">
        <v>46026</v>
      </c>
      <c r="M226" s="6" t="n">
        <v>46026</v>
      </c>
      <c r="N226" s="5" t="n">
        <v>0</v>
      </c>
      <c r="O226" s="2" t="inlineStr">
        <is>
          <t>Normal</t>
        </is>
      </c>
    </row>
    <row r="227">
      <c r="A227" s="2" t="inlineStr">
        <is>
          <t>SIP-0226</t>
        </is>
      </c>
      <c r="B227" s="6" t="n">
        <v>45999</v>
      </c>
      <c r="C227" s="2" t="inlineStr">
        <is>
          <t>MUS-015</t>
        </is>
      </c>
      <c r="D227" s="2" t="inlineStr">
        <is>
          <t>TKL-0455</t>
        </is>
      </c>
      <c r="E227" s="2" t="inlineStr">
        <is>
          <t>ST-002</t>
        </is>
      </c>
      <c r="F227" s="2" t="inlineStr">
        <is>
          <t>Tamamlandi</t>
        </is>
      </c>
      <c r="G227" s="2" t="inlineStr">
        <is>
          <t>EUR</t>
        </is>
      </c>
      <c r="H227" s="5" t="n">
        <v>1.1131</v>
      </c>
      <c r="I227" s="3" t="n">
        <v>16097.56</v>
      </c>
      <c r="J227" s="2" t="inlineStr">
        <is>
          <t>DAP</t>
        </is>
      </c>
      <c r="K227" s="2" t="inlineStr">
        <is>
          <t>Karayolu</t>
        </is>
      </c>
      <c r="L227" s="6" t="n">
        <v>46029</v>
      </c>
      <c r="M227" s="6" t="n">
        <v>46029</v>
      </c>
      <c r="N227" s="5" t="n">
        <v>0</v>
      </c>
      <c r="O227" s="2" t="inlineStr">
        <is>
          <t>Normal</t>
        </is>
      </c>
    </row>
    <row r="228">
      <c r="A228" s="2" t="inlineStr">
        <is>
          <t>SIP-0227</t>
        </is>
      </c>
      <c r="B228" s="6" t="n">
        <v>45971</v>
      </c>
      <c r="C228" s="2" t="inlineStr">
        <is>
          <t>MUS-083</t>
        </is>
      </c>
      <c r="D228" s="2" t="inlineStr">
        <is>
          <t>TKL-0457</t>
        </is>
      </c>
      <c r="E228" s="2" t="inlineStr">
        <is>
          <t>ST-001</t>
        </is>
      </c>
      <c r="F228" s="2" t="inlineStr">
        <is>
          <t>Sevk Edildi</t>
        </is>
      </c>
      <c r="G228" s="2" t="inlineStr">
        <is>
          <t>EUR</t>
        </is>
      </c>
      <c r="H228" s="5" t="n">
        <v>1.1131</v>
      </c>
      <c r="I228" s="3" t="n">
        <v>52807.08</v>
      </c>
      <c r="J228" s="2" t="inlineStr">
        <is>
          <t>DAP</t>
        </is>
      </c>
      <c r="K228" s="2" t="inlineStr">
        <is>
          <t>Denizyolu</t>
        </is>
      </c>
      <c r="L228" s="6" t="n">
        <v>46011</v>
      </c>
      <c r="M228" s="6" t="n">
        <v>46013</v>
      </c>
      <c r="N228" s="5" t="n">
        <v>2</v>
      </c>
      <c r="O228" s="2" t="inlineStr">
        <is>
          <t>Normal</t>
        </is>
      </c>
    </row>
    <row r="229">
      <c r="A229" s="2" t="inlineStr">
        <is>
          <t>SIP-0228</t>
        </is>
      </c>
      <c r="B229" s="6" t="n">
        <v>45997</v>
      </c>
      <c r="C229" s="2" t="inlineStr">
        <is>
          <t>MUS-039</t>
        </is>
      </c>
      <c r="D229" s="2" t="inlineStr">
        <is>
          <t>TKL-0458</t>
        </is>
      </c>
      <c r="E229" s="2" t="inlineStr">
        <is>
          <t>ST-004</t>
        </is>
      </c>
      <c r="F229" s="2" t="inlineStr">
        <is>
          <t>Tamamlandi</t>
        </is>
      </c>
      <c r="G229" s="2" t="inlineStr">
        <is>
          <t>USD</t>
        </is>
      </c>
      <c r="H229" s="5" t="n">
        <v>1</v>
      </c>
      <c r="I229" s="3" t="n">
        <v>21340.2</v>
      </c>
      <c r="J229" s="2" t="inlineStr">
        <is>
          <t>CIF</t>
        </is>
      </c>
      <c r="K229" s="2" t="inlineStr">
        <is>
          <t>Denizyolu</t>
        </is>
      </c>
      <c r="L229" s="6" t="n">
        <v>46030</v>
      </c>
      <c r="M229" s="6" t="n">
        <v>46030</v>
      </c>
      <c r="N229" s="5" t="n">
        <v>0</v>
      </c>
      <c r="O229" s="2" t="inlineStr">
        <is>
          <t>Normal</t>
        </is>
      </c>
    </row>
    <row r="230">
      <c r="A230" s="2" t="inlineStr">
        <is>
          <t>SIP-0229</t>
        </is>
      </c>
      <c r="B230" s="6" t="n">
        <v>46010</v>
      </c>
      <c r="C230" s="2" t="inlineStr">
        <is>
          <t>MUS-022</t>
        </is>
      </c>
      <c r="D230" s="2" t="inlineStr">
        <is>
          <t>TKL-0460</t>
        </is>
      </c>
      <c r="E230" s="2" t="inlineStr">
        <is>
          <t>ST-002</t>
        </is>
      </c>
      <c r="F230" s="2" t="inlineStr">
        <is>
          <t>Tamamlandi</t>
        </is>
      </c>
      <c r="G230" s="2" t="inlineStr">
        <is>
          <t>EUR</t>
        </is>
      </c>
      <c r="H230" s="5" t="n">
        <v>1.1131</v>
      </c>
      <c r="I230" s="3" t="n">
        <v>15652.27</v>
      </c>
      <c r="J230" s="2" t="inlineStr">
        <is>
          <t>DAP</t>
        </is>
      </c>
      <c r="K230" s="2" t="inlineStr">
        <is>
          <t>Karayolu</t>
        </is>
      </c>
      <c r="L230" s="6" t="n">
        <v>46046</v>
      </c>
      <c r="M230" s="6" t="n">
        <v>46051</v>
      </c>
      <c r="N230" s="5" t="n">
        <v>5</v>
      </c>
      <c r="O230" s="2" t="inlineStr">
        <is>
          <t>Normal</t>
        </is>
      </c>
    </row>
    <row r="231">
      <c r="A231" s="2" t="inlineStr">
        <is>
          <t>SIP-0230</t>
        </is>
      </c>
      <c r="B231" s="6" t="n">
        <v>46013</v>
      </c>
      <c r="C231" s="2" t="inlineStr">
        <is>
          <t>MUS-067</t>
        </is>
      </c>
      <c r="D231" s="2" t="inlineStr">
        <is>
          <t>TKL-0462</t>
        </is>
      </c>
      <c r="E231" s="2" t="inlineStr">
        <is>
          <t>ST-003</t>
        </is>
      </c>
      <c r="F231" s="2" t="inlineStr">
        <is>
          <t>Sevk Edildi</t>
        </is>
      </c>
      <c r="G231" s="2" t="inlineStr">
        <is>
          <t>USD</t>
        </is>
      </c>
      <c r="H231" s="5" t="n">
        <v>1</v>
      </c>
      <c r="I231" s="3" t="n">
        <v>28936.43</v>
      </c>
      <c r="J231" s="2" t="inlineStr">
        <is>
          <t>CIF</t>
        </is>
      </c>
      <c r="K231" s="2" t="inlineStr">
        <is>
          <t>Denizyolu</t>
        </is>
      </c>
      <c r="L231" s="6" t="n">
        <v>46060</v>
      </c>
      <c r="M231" s="6" t="n">
        <v>46061</v>
      </c>
      <c r="N231" s="5" t="n">
        <v>1</v>
      </c>
      <c r="O231" s="2" t="inlineStr">
        <is>
          <t>Yuksek</t>
        </is>
      </c>
    </row>
    <row r="232">
      <c r="A232" s="2" t="inlineStr">
        <is>
          <t>SIP-0231</t>
        </is>
      </c>
      <c r="B232" s="6" t="n">
        <v>45987</v>
      </c>
      <c r="C232" s="2" t="inlineStr">
        <is>
          <t>MUS-042</t>
        </is>
      </c>
      <c r="D232" s="2" t="inlineStr">
        <is>
          <t>TKL-0463</t>
        </is>
      </c>
      <c r="E232" s="2" t="inlineStr">
        <is>
          <t>ST-005</t>
        </is>
      </c>
      <c r="F232" s="2" t="inlineStr">
        <is>
          <t>Tamamlandi</t>
        </is>
      </c>
      <c r="G232" s="2" t="inlineStr">
        <is>
          <t>USD</t>
        </is>
      </c>
      <c r="H232" s="5" t="n">
        <v>1</v>
      </c>
      <c r="I232" s="3" t="n">
        <v>34704.04</v>
      </c>
      <c r="J232" s="2" t="inlineStr">
        <is>
          <t>CFR</t>
        </is>
      </c>
      <c r="K232" s="2" t="inlineStr">
        <is>
          <t>Havayolu</t>
        </is>
      </c>
      <c r="L232" s="6" t="n">
        <v>46023</v>
      </c>
      <c r="M232" s="6" t="n">
        <v>46023</v>
      </c>
      <c r="N232" s="5" t="n">
        <v>0</v>
      </c>
      <c r="O232" s="2" t="inlineStr">
        <is>
          <t>Normal</t>
        </is>
      </c>
    </row>
    <row r="233">
      <c r="A233" s="2" t="inlineStr">
        <is>
          <t>SIP-0232</t>
        </is>
      </c>
      <c r="B233" s="6" t="n">
        <v>46012</v>
      </c>
      <c r="C233" s="2" t="inlineStr">
        <is>
          <t>MUS-069</t>
        </is>
      </c>
      <c r="D233" s="2" t="inlineStr">
        <is>
          <t>TKL-0464</t>
        </is>
      </c>
      <c r="E233" s="2" t="inlineStr">
        <is>
          <t>ST-001</t>
        </is>
      </c>
      <c r="F233" s="2" t="inlineStr">
        <is>
          <t>Uretimde</t>
        </is>
      </c>
      <c r="G233" s="2" t="inlineStr">
        <is>
          <t>EUR</t>
        </is>
      </c>
      <c r="H233" s="5" t="n">
        <v>1.1131</v>
      </c>
      <c r="I233" s="3" t="n">
        <v>68541.7</v>
      </c>
      <c r="J233" s="2" t="inlineStr">
        <is>
          <t>FCA</t>
        </is>
      </c>
      <c r="K233" s="2" t="inlineStr">
        <is>
          <t>Karayolu</t>
        </is>
      </c>
      <c r="L233" s="6" t="n">
        <v>46077</v>
      </c>
      <c r="M233" s="6" t="n">
        <v>46077</v>
      </c>
      <c r="N233" s="5" t="n">
        <v>0</v>
      </c>
      <c r="O233" s="2" t="inlineStr">
        <is>
          <t>Yuksek</t>
        </is>
      </c>
    </row>
    <row r="234">
      <c r="A234" s="2" t="inlineStr">
        <is>
          <t>SIP-0233</t>
        </is>
      </c>
      <c r="B234" s="6" t="n">
        <v>45992</v>
      </c>
      <c r="C234" s="2" t="inlineStr">
        <is>
          <t>MUS-015</t>
        </is>
      </c>
      <c r="D234" s="2" t="inlineStr">
        <is>
          <t>TKL-0465</t>
        </is>
      </c>
      <c r="E234" s="2" t="inlineStr">
        <is>
          <t>ST-002</t>
        </is>
      </c>
      <c r="F234" s="2" t="inlineStr">
        <is>
          <t>Tamamlandi</t>
        </is>
      </c>
      <c r="G234" s="2" t="inlineStr">
        <is>
          <t>EUR</t>
        </is>
      </c>
      <c r="H234" s="5" t="n">
        <v>1.1131</v>
      </c>
      <c r="I234" s="3" t="n">
        <v>21102.64</v>
      </c>
      <c r="J234" s="2" t="inlineStr">
        <is>
          <t>DAP</t>
        </is>
      </c>
      <c r="K234" s="2" t="inlineStr">
        <is>
          <t>Karayolu</t>
        </is>
      </c>
      <c r="L234" s="6" t="n">
        <v>46017</v>
      </c>
      <c r="M234" s="6" t="n">
        <v>46017</v>
      </c>
      <c r="N234" s="5" t="n">
        <v>0</v>
      </c>
      <c r="O234" s="2" t="inlineStr">
        <is>
          <t>Normal</t>
        </is>
      </c>
    </row>
    <row r="235">
      <c r="A235" s="2" t="inlineStr">
        <is>
          <t>SIP-0234</t>
        </is>
      </c>
      <c r="B235" s="6" t="n">
        <v>46004</v>
      </c>
      <c r="C235" s="2" t="inlineStr">
        <is>
          <t>MUS-052</t>
        </is>
      </c>
      <c r="D235" s="2" t="inlineStr">
        <is>
          <t>TKL-0470</t>
        </is>
      </c>
      <c r="E235" s="2" t="inlineStr">
        <is>
          <t>ST-007</t>
        </is>
      </c>
      <c r="F235" s="2" t="inlineStr">
        <is>
          <t>Tamamlandi</t>
        </is>
      </c>
      <c r="G235" s="2" t="inlineStr">
        <is>
          <t>USD</t>
        </is>
      </c>
      <c r="H235" s="5" t="n">
        <v>1</v>
      </c>
      <c r="I235" s="3" t="n">
        <v>70915.60000000001</v>
      </c>
      <c r="J235" s="2" t="inlineStr">
        <is>
          <t>FCA</t>
        </is>
      </c>
      <c r="K235" s="2" t="inlineStr">
        <is>
          <t>Karayolu</t>
        </is>
      </c>
      <c r="L235" s="6" t="n">
        <v>46075</v>
      </c>
      <c r="M235" s="6" t="n">
        <v>46075</v>
      </c>
      <c r="N235" s="5" t="n">
        <v>0</v>
      </c>
      <c r="O235" s="2" t="inlineStr">
        <is>
          <t>Yuksek</t>
        </is>
      </c>
    </row>
    <row r="236">
      <c r="A236" s="2" t="inlineStr">
        <is>
          <t>SIP-0235</t>
        </is>
      </c>
      <c r="B236" s="6" t="n">
        <v>46003</v>
      </c>
      <c r="C236" s="2" t="inlineStr">
        <is>
          <t>MUS-003</t>
        </is>
      </c>
      <c r="D236" s="2" t="inlineStr">
        <is>
          <t>TKL-0472</t>
        </is>
      </c>
      <c r="E236" s="2" t="inlineStr">
        <is>
          <t>ST-004</t>
        </is>
      </c>
      <c r="F236" s="2" t="inlineStr">
        <is>
          <t>Sevk Edildi</t>
        </is>
      </c>
      <c r="G236" s="2" t="inlineStr">
        <is>
          <t>USD</t>
        </is>
      </c>
      <c r="H236" s="5" t="n">
        <v>1</v>
      </c>
      <c r="I236" s="3" t="n">
        <v>42735.78</v>
      </c>
      <c r="J236" s="2" t="inlineStr">
        <is>
          <t>CIF</t>
        </is>
      </c>
      <c r="K236" s="2" t="inlineStr">
        <is>
          <t>Denizyolu</t>
        </is>
      </c>
      <c r="L236" s="6" t="n">
        <v>46077</v>
      </c>
      <c r="M236" s="6" t="n">
        <v>46080</v>
      </c>
      <c r="N236" s="5" t="n">
        <v>3</v>
      </c>
      <c r="O236" s="2" t="inlineStr">
        <is>
          <t>Kritik</t>
        </is>
      </c>
    </row>
    <row r="237">
      <c r="A237" s="2" t="inlineStr">
        <is>
          <t>SIP-0236</t>
        </is>
      </c>
      <c r="B237" s="6" t="n">
        <v>46013</v>
      </c>
      <c r="C237" s="2" t="inlineStr">
        <is>
          <t>MUS-021</t>
        </is>
      </c>
      <c r="D237" s="2" t="inlineStr">
        <is>
          <t>TKL-0473</t>
        </is>
      </c>
      <c r="E237" s="2" t="inlineStr">
        <is>
          <t>ST-001</t>
        </is>
      </c>
      <c r="F237" s="2" t="inlineStr">
        <is>
          <t>Tamamlandi</t>
        </is>
      </c>
      <c r="G237" s="2" t="inlineStr">
        <is>
          <t>EUR</t>
        </is>
      </c>
      <c r="H237" s="5" t="n">
        <v>1.1131</v>
      </c>
      <c r="I237" s="3" t="n">
        <v>56819.99</v>
      </c>
      <c r="J237" s="2" t="inlineStr">
        <is>
          <t>DAP</t>
        </is>
      </c>
      <c r="K237" s="2" t="inlineStr">
        <is>
          <t>Karayolu</t>
        </is>
      </c>
      <c r="L237" s="6" t="n">
        <v>46058</v>
      </c>
      <c r="M237" s="6" t="n">
        <v>46063</v>
      </c>
      <c r="N237" s="5" t="n">
        <v>5</v>
      </c>
      <c r="O237" s="2" t="inlineStr">
        <is>
          <t>Normal</t>
        </is>
      </c>
    </row>
    <row r="238">
      <c r="A238" s="2" t="inlineStr">
        <is>
          <t>SIP-0237</t>
        </is>
      </c>
      <c r="B238" s="6" t="n">
        <v>46000</v>
      </c>
      <c r="C238" s="2" t="inlineStr">
        <is>
          <t>MUS-008</t>
        </is>
      </c>
      <c r="D238" s="2" t="inlineStr">
        <is>
          <t>TKL-0475</t>
        </is>
      </c>
      <c r="E238" s="2" t="inlineStr">
        <is>
          <t>ST-008</t>
        </is>
      </c>
      <c r="F238" s="2" t="inlineStr">
        <is>
          <t>Tamamlandi</t>
        </is>
      </c>
      <c r="G238" s="2" t="inlineStr">
        <is>
          <t>USD</t>
        </is>
      </c>
      <c r="H238" s="5" t="n">
        <v>1</v>
      </c>
      <c r="I238" s="3" t="n">
        <v>54302.29</v>
      </c>
      <c r="J238" s="2" t="inlineStr">
        <is>
          <t>FCA</t>
        </is>
      </c>
      <c r="K238" s="2" t="inlineStr">
        <is>
          <t>Havayolu</t>
        </is>
      </c>
      <c r="L238" s="6" t="n">
        <v>46072</v>
      </c>
      <c r="M238" s="6" t="n">
        <v>46072</v>
      </c>
      <c r="N238" s="5" t="n">
        <v>0</v>
      </c>
      <c r="O238" s="2" t="inlineStr">
        <is>
          <t>Yuksek</t>
        </is>
      </c>
    </row>
    <row r="239">
      <c r="A239" s="2" t="inlineStr">
        <is>
          <t>SIP-0238</t>
        </is>
      </c>
      <c r="B239" s="6" t="n">
        <v>45998</v>
      </c>
      <c r="C239" s="2" t="inlineStr">
        <is>
          <t>MUS-001</t>
        </is>
      </c>
      <c r="D239" s="2" t="inlineStr">
        <is>
          <t>TKL-0478</t>
        </is>
      </c>
      <c r="E239" s="2" t="inlineStr">
        <is>
          <t>ST-006</t>
        </is>
      </c>
      <c r="F239" s="2" t="inlineStr">
        <is>
          <t>Tamamlandi</t>
        </is>
      </c>
      <c r="G239" s="2" t="inlineStr">
        <is>
          <t>USD</t>
        </is>
      </c>
      <c r="H239" s="5" t="n">
        <v>1</v>
      </c>
      <c r="I239" s="3" t="n">
        <v>7949.11</v>
      </c>
      <c r="J239" s="2" t="inlineStr">
        <is>
          <t>CFR</t>
        </is>
      </c>
      <c r="K239" s="2" t="inlineStr">
        <is>
          <t>Karayolu</t>
        </is>
      </c>
      <c r="L239" s="6" t="n">
        <v>46023</v>
      </c>
      <c r="M239" s="6" t="n">
        <v>46025</v>
      </c>
      <c r="N239" s="5" t="n">
        <v>2</v>
      </c>
      <c r="O239" s="2" t="inlineStr">
        <is>
          <t>Normal</t>
        </is>
      </c>
    </row>
    <row r="240">
      <c r="A240" s="2" t="inlineStr">
        <is>
          <t>SIP-0239</t>
        </is>
      </c>
      <c r="B240" s="6" t="n">
        <v>45992</v>
      </c>
      <c r="C240" s="2" t="inlineStr">
        <is>
          <t>MUS-053</t>
        </is>
      </c>
      <c r="D240" s="2" t="inlineStr">
        <is>
          <t>TKL-0479</t>
        </is>
      </c>
      <c r="E240" s="2" t="inlineStr">
        <is>
          <t>ST-002</t>
        </is>
      </c>
      <c r="F240" s="2" t="inlineStr">
        <is>
          <t>Tamamlandi</t>
        </is>
      </c>
      <c r="G240" s="2" t="inlineStr">
        <is>
          <t>EUR</t>
        </is>
      </c>
      <c r="H240" s="5" t="n">
        <v>1.1131</v>
      </c>
      <c r="I240" s="3" t="n">
        <v>22857.82</v>
      </c>
      <c r="J240" s="2" t="inlineStr">
        <is>
          <t>DAP</t>
        </is>
      </c>
      <c r="K240" s="2" t="inlineStr">
        <is>
          <t>Denizyolu</t>
        </is>
      </c>
      <c r="L240" s="6" t="n">
        <v>46035</v>
      </c>
      <c r="M240" s="6" t="n">
        <v>46043</v>
      </c>
      <c r="N240" s="5" t="n">
        <v>8</v>
      </c>
      <c r="O240" s="2" t="inlineStr">
        <is>
          <t>Normal</t>
        </is>
      </c>
    </row>
    <row r="241">
      <c r="A241" s="2" t="inlineStr">
        <is>
          <t>SIP-0240</t>
        </is>
      </c>
      <c r="B241" s="6" t="n">
        <v>46007</v>
      </c>
      <c r="C241" s="2" t="inlineStr">
        <is>
          <t>MUS-063</t>
        </is>
      </c>
      <c r="D241" s="2" t="inlineStr">
        <is>
          <t>TKL-0480</t>
        </is>
      </c>
      <c r="E241" s="2" t="inlineStr">
        <is>
          <t>ST-002</t>
        </is>
      </c>
      <c r="F241" s="2" t="inlineStr">
        <is>
          <t>Sevk Edildi</t>
        </is>
      </c>
      <c r="G241" s="2" t="inlineStr">
        <is>
          <t>EUR</t>
        </is>
      </c>
      <c r="H241" s="5" t="n">
        <v>1.1131</v>
      </c>
      <c r="I241" s="3" t="n">
        <v>66506.49000000001</v>
      </c>
      <c r="J241" s="2" t="inlineStr">
        <is>
          <t>DAP</t>
        </is>
      </c>
      <c r="K241" s="2" t="inlineStr">
        <is>
          <t>Karayolu</t>
        </is>
      </c>
      <c r="L241" s="6" t="n">
        <v>46054</v>
      </c>
      <c r="M241" s="6" t="n">
        <v>46059</v>
      </c>
      <c r="N241" s="5" t="n">
        <v>5</v>
      </c>
      <c r="O241" s="2" t="inlineStr">
        <is>
          <t>Normal</t>
        </is>
      </c>
    </row>
    <row r="242">
      <c r="A242" s="2" t="inlineStr">
        <is>
          <t>SIP-0241</t>
        </is>
      </c>
      <c r="B242" s="6" t="n">
        <v>46027</v>
      </c>
      <c r="C242" s="2" t="inlineStr">
        <is>
          <t>MUS-033</t>
        </is>
      </c>
      <c r="D242" s="2" t="inlineStr">
        <is>
          <t>TKL-0481</t>
        </is>
      </c>
      <c r="E242" s="2" t="inlineStr">
        <is>
          <t>ST-006</t>
        </is>
      </c>
      <c r="F242" s="2" t="inlineStr">
        <is>
          <t>Sevk Edildi</t>
        </is>
      </c>
      <c r="G242" s="2" t="inlineStr">
        <is>
          <t>USD</t>
        </is>
      </c>
      <c r="H242" s="5" t="n">
        <v>1</v>
      </c>
      <c r="I242" s="3" t="n">
        <v>5207.6</v>
      </c>
      <c r="J242" s="2" t="inlineStr">
        <is>
          <t>CFR</t>
        </is>
      </c>
      <c r="K242" s="2" t="inlineStr">
        <is>
          <t>Denizyolu</t>
        </is>
      </c>
      <c r="L242" s="6" t="n">
        <v>46065</v>
      </c>
      <c r="M242" s="6" t="n">
        <v>46065</v>
      </c>
      <c r="N242" s="5" t="n">
        <v>0</v>
      </c>
      <c r="O242" s="2" t="inlineStr">
        <is>
          <t>Normal</t>
        </is>
      </c>
    </row>
    <row r="243">
      <c r="A243" s="2" t="inlineStr">
        <is>
          <t>SIP-0242</t>
        </is>
      </c>
      <c r="B243" s="6" t="n">
        <v>46033</v>
      </c>
      <c r="C243" s="2" t="inlineStr">
        <is>
          <t>MUS-039</t>
        </is>
      </c>
      <c r="D243" s="2" t="inlineStr">
        <is>
          <t>TKL-0484</t>
        </is>
      </c>
      <c r="E243" s="2" t="inlineStr">
        <is>
          <t>ST-003</t>
        </is>
      </c>
      <c r="F243" s="2" t="inlineStr">
        <is>
          <t>Tamamlandi</t>
        </is>
      </c>
      <c r="G243" s="2" t="inlineStr">
        <is>
          <t>USD</t>
        </is>
      </c>
      <c r="H243" s="5" t="n">
        <v>1</v>
      </c>
      <c r="I243" s="3" t="n">
        <v>34422.82</v>
      </c>
      <c r="J243" s="2" t="inlineStr">
        <is>
          <t>CIF</t>
        </is>
      </c>
      <c r="K243" s="2" t="inlineStr">
        <is>
          <t>Denizyolu</t>
        </is>
      </c>
      <c r="L243" s="6" t="n">
        <v>46083</v>
      </c>
      <c r="M243" s="6" t="n">
        <v>46083</v>
      </c>
      <c r="N243" s="5" t="n">
        <v>0</v>
      </c>
      <c r="O243" s="2" t="inlineStr">
        <is>
          <t>Yuksek</t>
        </is>
      </c>
    </row>
    <row r="244">
      <c r="A244" s="2" t="inlineStr">
        <is>
          <t>SIP-0243</t>
        </is>
      </c>
      <c r="B244" s="6" t="n">
        <v>46018</v>
      </c>
      <c r="C244" s="2" t="inlineStr">
        <is>
          <t>MUS-029</t>
        </is>
      </c>
      <c r="D244" s="2" t="inlineStr">
        <is>
          <t>TKL-0487</t>
        </is>
      </c>
      <c r="E244" s="2" t="inlineStr">
        <is>
          <t>ST-005</t>
        </is>
      </c>
      <c r="F244" s="2" t="inlineStr">
        <is>
          <t>Sevk Edildi</t>
        </is>
      </c>
      <c r="G244" s="2" t="inlineStr">
        <is>
          <t>USD</t>
        </is>
      </c>
      <c r="H244" s="5" t="n">
        <v>1</v>
      </c>
      <c r="I244" s="3" t="n">
        <v>81874.5</v>
      </c>
      <c r="J244" s="2" t="inlineStr">
        <is>
          <t>CFR</t>
        </is>
      </c>
      <c r="K244" s="2" t="inlineStr">
        <is>
          <t>Denizyolu</t>
        </is>
      </c>
      <c r="L244" s="6" t="n">
        <v>46050</v>
      </c>
      <c r="M244" s="6" t="n">
        <v>46055</v>
      </c>
      <c r="N244" s="5" t="n">
        <v>5</v>
      </c>
      <c r="O244" s="2" t="inlineStr">
        <is>
          <t>Normal</t>
        </is>
      </c>
    </row>
    <row r="245">
      <c r="A245" s="2" t="inlineStr">
        <is>
          <t>SIP-0244</t>
        </is>
      </c>
      <c r="B245" s="6" t="n">
        <v>46013</v>
      </c>
      <c r="C245" s="2" t="inlineStr">
        <is>
          <t>MUS-073</t>
        </is>
      </c>
      <c r="D245" s="2" t="inlineStr">
        <is>
          <t>TKL-0489</t>
        </is>
      </c>
      <c r="E245" s="2" t="inlineStr">
        <is>
          <t>ST-003</t>
        </is>
      </c>
      <c r="F245" s="2" t="inlineStr">
        <is>
          <t>Tamamlandi</t>
        </is>
      </c>
      <c r="G245" s="2" t="inlineStr">
        <is>
          <t>USD</t>
        </is>
      </c>
      <c r="H245" s="5" t="n">
        <v>1</v>
      </c>
      <c r="I245" s="3" t="n">
        <v>83462.13</v>
      </c>
      <c r="J245" s="2" t="inlineStr">
        <is>
          <t>CIF</t>
        </is>
      </c>
      <c r="K245" s="2" t="inlineStr">
        <is>
          <t>Denizyolu</t>
        </is>
      </c>
      <c r="L245" s="6" t="n">
        <v>46056</v>
      </c>
      <c r="M245" s="6" t="n">
        <v>46059</v>
      </c>
      <c r="N245" s="5" t="n">
        <v>3</v>
      </c>
      <c r="O245" s="2" t="inlineStr">
        <is>
          <t>Normal</t>
        </is>
      </c>
    </row>
    <row r="246">
      <c r="A246" s="2" t="inlineStr">
        <is>
          <t>SIP-0245</t>
        </is>
      </c>
      <c r="B246" s="6" t="n">
        <v>46046</v>
      </c>
      <c r="C246" s="2" t="inlineStr">
        <is>
          <t>MUS-037</t>
        </is>
      </c>
      <c r="D246" s="2" t="inlineStr">
        <is>
          <t>TKL-0490</t>
        </is>
      </c>
      <c r="E246" s="2" t="inlineStr">
        <is>
          <t>ST-001</t>
        </is>
      </c>
      <c r="F246" s="2" t="inlineStr">
        <is>
          <t>Uretimde</t>
        </is>
      </c>
      <c r="G246" s="2" t="inlineStr">
        <is>
          <t>EUR</t>
        </is>
      </c>
      <c r="H246" s="5" t="n">
        <v>1.0849</v>
      </c>
      <c r="I246" s="3" t="n">
        <v>39809.33</v>
      </c>
      <c r="J246" s="2" t="inlineStr">
        <is>
          <t>DAP</t>
        </is>
      </c>
      <c r="K246" s="2" t="inlineStr">
        <is>
          <t>Denizyolu</t>
        </is>
      </c>
      <c r="L246" s="6" t="n">
        <v>46083</v>
      </c>
      <c r="M246" s="6" t="n">
        <v>46083</v>
      </c>
      <c r="N246" s="5" t="n">
        <v>0</v>
      </c>
      <c r="O246" s="2" t="inlineStr">
        <is>
          <t>Normal</t>
        </is>
      </c>
    </row>
    <row r="247">
      <c r="A247" s="2" t="inlineStr">
        <is>
          <t>SIP-0246</t>
        </is>
      </c>
      <c r="B247" s="6" t="n">
        <v>46015</v>
      </c>
      <c r="C247" s="2" t="inlineStr">
        <is>
          <t>MUS-056</t>
        </is>
      </c>
      <c r="D247" s="2" t="inlineStr">
        <is>
          <t>TKL-0491</t>
        </is>
      </c>
      <c r="E247" s="2" t="inlineStr">
        <is>
          <t>ST-001</t>
        </is>
      </c>
      <c r="F247" s="2" t="inlineStr">
        <is>
          <t>Sevk Edildi</t>
        </is>
      </c>
      <c r="G247" s="2" t="inlineStr">
        <is>
          <t>EUR</t>
        </is>
      </c>
      <c r="H247" s="5" t="n">
        <v>1.0849</v>
      </c>
      <c r="I247" s="3" t="n">
        <v>68371.75</v>
      </c>
      <c r="J247" s="2" t="inlineStr">
        <is>
          <t>DAP</t>
        </is>
      </c>
      <c r="K247" s="2" t="inlineStr">
        <is>
          <t>Karayolu</t>
        </is>
      </c>
      <c r="L247" s="6" t="n">
        <v>46087</v>
      </c>
      <c r="M247" s="6" t="n">
        <v>46090</v>
      </c>
      <c r="N247" s="5" t="n">
        <v>3</v>
      </c>
      <c r="O247" s="2" t="inlineStr">
        <is>
          <t>Kritik</t>
        </is>
      </c>
    </row>
    <row r="248">
      <c r="A248" s="2" t="inlineStr">
        <is>
          <t>SIP-0247</t>
        </is>
      </c>
      <c r="B248" s="6" t="n">
        <v>46034</v>
      </c>
      <c r="C248" s="2" t="inlineStr">
        <is>
          <t>MUS-032</t>
        </is>
      </c>
      <c r="D248" s="2" t="inlineStr">
        <is>
          <t>TKL-0493</t>
        </is>
      </c>
      <c r="E248" s="2" t="inlineStr">
        <is>
          <t>ST-004</t>
        </is>
      </c>
      <c r="F248" s="2" t="inlineStr">
        <is>
          <t>Sevk Edildi</t>
        </is>
      </c>
      <c r="G248" s="2" t="inlineStr">
        <is>
          <t>USD</t>
        </is>
      </c>
      <c r="H248" s="5" t="n">
        <v>1</v>
      </c>
      <c r="I248" s="3" t="n">
        <v>59838.35</v>
      </c>
      <c r="J248" s="2" t="inlineStr">
        <is>
          <t>CIF</t>
        </is>
      </c>
      <c r="K248" s="2" t="inlineStr">
        <is>
          <t>Denizyolu</t>
        </is>
      </c>
      <c r="L248" s="6" t="n">
        <v>46082</v>
      </c>
      <c r="M248" s="6" t="n">
        <v>46083</v>
      </c>
      <c r="N248" s="5" t="n">
        <v>1</v>
      </c>
      <c r="O248" s="2" t="inlineStr">
        <is>
          <t>Normal</t>
        </is>
      </c>
    </row>
    <row r="249">
      <c r="A249" s="2" t="inlineStr">
        <is>
          <t>SIP-0248</t>
        </is>
      </c>
      <c r="B249" s="6" t="n">
        <v>46017</v>
      </c>
      <c r="C249" s="2" t="inlineStr">
        <is>
          <t>MUS-081</t>
        </is>
      </c>
      <c r="D249" s="2" t="inlineStr">
        <is>
          <t>TKL-0498</t>
        </is>
      </c>
      <c r="E249" s="2" t="inlineStr">
        <is>
          <t>ST-003</t>
        </is>
      </c>
      <c r="F249" s="2" t="inlineStr">
        <is>
          <t>Tamamlandi</t>
        </is>
      </c>
      <c r="G249" s="2" t="inlineStr">
        <is>
          <t>USD</t>
        </is>
      </c>
      <c r="H249" s="5" t="n">
        <v>1</v>
      </c>
      <c r="I249" s="3" t="n">
        <v>18801.97</v>
      </c>
      <c r="J249" s="2" t="inlineStr">
        <is>
          <t>CIF</t>
        </is>
      </c>
      <c r="K249" s="2" t="inlineStr">
        <is>
          <t>Karayolu</t>
        </is>
      </c>
      <c r="L249" s="6" t="n">
        <v>46059</v>
      </c>
      <c r="M249" s="6" t="n">
        <v>46071</v>
      </c>
      <c r="N249" s="5" t="n">
        <v>12</v>
      </c>
      <c r="O249" s="2" t="inlineStr">
        <is>
          <t>Normal</t>
        </is>
      </c>
    </row>
    <row r="250">
      <c r="A250" s="2" t="inlineStr">
        <is>
          <t>SIP-0249</t>
        </is>
      </c>
      <c r="B250" s="6" t="n">
        <v>46049</v>
      </c>
      <c r="C250" s="2" t="inlineStr">
        <is>
          <t>MUS-011</t>
        </is>
      </c>
      <c r="D250" s="2" t="inlineStr">
        <is>
          <t>TKL-0500</t>
        </is>
      </c>
      <c r="E250" s="2" t="inlineStr">
        <is>
          <t>ST-003</t>
        </is>
      </c>
      <c r="F250" s="2" t="inlineStr">
        <is>
          <t>Sevk Edildi</t>
        </is>
      </c>
      <c r="G250" s="2" t="inlineStr">
        <is>
          <t>USD</t>
        </is>
      </c>
      <c r="H250" s="5" t="n">
        <v>1</v>
      </c>
      <c r="I250" s="3" t="n">
        <v>70123.13</v>
      </c>
      <c r="J250" s="2" t="inlineStr">
        <is>
          <t>CIF</t>
        </is>
      </c>
      <c r="K250" s="2" t="inlineStr">
        <is>
          <t>Denizyolu</t>
        </is>
      </c>
      <c r="L250" s="6" t="n">
        <v>46109</v>
      </c>
      <c r="M250" s="6" t="n">
        <v>46111</v>
      </c>
      <c r="N250" s="5" t="n">
        <v>2</v>
      </c>
      <c r="O250" s="2" t="inlineStr">
        <is>
          <t>Yuksek</t>
        </is>
      </c>
    </row>
    <row r="251">
      <c r="A251" s="2" t="inlineStr">
        <is>
          <t>SIP-0250</t>
        </is>
      </c>
      <c r="B251" s="6" t="n">
        <v>46085</v>
      </c>
      <c r="C251" s="2" t="inlineStr">
        <is>
          <t>MUS-008</t>
        </is>
      </c>
      <c r="D251" s="2" t="inlineStr">
        <is>
          <t>TKL-0504</t>
        </is>
      </c>
      <c r="E251" s="2" t="inlineStr">
        <is>
          <t>ST-008</t>
        </is>
      </c>
      <c r="F251" s="2" t="inlineStr">
        <is>
          <t>Tamamlandi</t>
        </is>
      </c>
      <c r="G251" s="2" t="inlineStr">
        <is>
          <t>USD</t>
        </is>
      </c>
      <c r="H251" s="5" t="n">
        <v>1</v>
      </c>
      <c r="I251" s="3" t="n">
        <v>33130.34</v>
      </c>
      <c r="J251" s="2" t="inlineStr">
        <is>
          <t>FCA</t>
        </is>
      </c>
      <c r="K251" s="2" t="inlineStr">
        <is>
          <t>Karayolu</t>
        </is>
      </c>
      <c r="L251" s="6" t="n">
        <v>46158</v>
      </c>
      <c r="M251" s="6" t="n">
        <v>46158</v>
      </c>
      <c r="N251" s="5" t="n">
        <v>0</v>
      </c>
      <c r="O251" s="2" t="inlineStr">
        <is>
          <t>Yuksek</t>
        </is>
      </c>
    </row>
    <row r="252">
      <c r="A252" s="2" t="inlineStr">
        <is>
          <t>SIP-0251</t>
        </is>
      </c>
      <c r="B252" s="6" t="n">
        <v>46078</v>
      </c>
      <c r="C252" s="2" t="inlineStr">
        <is>
          <t>MUS-064</t>
        </is>
      </c>
      <c r="D252" s="2" t="inlineStr">
        <is>
          <t>TKL-0507</t>
        </is>
      </c>
      <c r="E252" s="2" t="inlineStr">
        <is>
          <t>ST-001</t>
        </is>
      </c>
      <c r="F252" s="2" t="inlineStr">
        <is>
          <t>Tamamlandi</t>
        </is>
      </c>
      <c r="G252" s="2" t="inlineStr">
        <is>
          <t>EUR</t>
        </is>
      </c>
      <c r="H252" s="5" t="n">
        <v>1.0938</v>
      </c>
      <c r="I252" s="3" t="n">
        <v>72649.17</v>
      </c>
      <c r="J252" s="2" t="inlineStr">
        <is>
          <t>FCA</t>
        </is>
      </c>
      <c r="K252" s="2" t="inlineStr">
        <is>
          <t>Karayolu</t>
        </is>
      </c>
      <c r="L252" s="6" t="n">
        <v>46132</v>
      </c>
      <c r="M252" s="6" t="n">
        <v>46132</v>
      </c>
      <c r="N252" s="5" t="n">
        <v>0</v>
      </c>
      <c r="O252" s="2" t="inlineStr">
        <is>
          <t>Yuksek</t>
        </is>
      </c>
    </row>
    <row r="253">
      <c r="A253" s="2" t="inlineStr">
        <is>
          <t>SIP-0252</t>
        </is>
      </c>
      <c r="B253" s="6" t="n">
        <v>46058</v>
      </c>
      <c r="C253" s="2" t="inlineStr">
        <is>
          <t>MUS-044</t>
        </is>
      </c>
      <c r="D253" s="2" t="inlineStr">
        <is>
          <t>TKL-0509</t>
        </is>
      </c>
      <c r="E253" s="2" t="inlineStr">
        <is>
          <t>ST-001</t>
        </is>
      </c>
      <c r="F253" s="2" t="inlineStr">
        <is>
          <t>Tamamlandi</t>
        </is>
      </c>
      <c r="G253" s="2" t="inlineStr">
        <is>
          <t>EUR</t>
        </is>
      </c>
      <c r="H253" s="5" t="n">
        <v>1.0938</v>
      </c>
      <c r="I253" s="3" t="n">
        <v>3520.02</v>
      </c>
      <c r="J253" s="2" t="inlineStr">
        <is>
          <t>DAP</t>
        </is>
      </c>
      <c r="K253" s="2" t="inlineStr">
        <is>
          <t>Karayolu</t>
        </is>
      </c>
      <c r="L253" s="6" t="n">
        <v>46086</v>
      </c>
      <c r="M253" s="6" t="n">
        <v>46088</v>
      </c>
      <c r="N253" s="5" t="n">
        <v>2</v>
      </c>
      <c r="O253" s="2" t="inlineStr">
        <is>
          <t>Normal</t>
        </is>
      </c>
    </row>
    <row r="254">
      <c r="A254" s="2" t="inlineStr">
        <is>
          <t>SIP-0253</t>
        </is>
      </c>
      <c r="B254" s="6" t="n">
        <v>46074</v>
      </c>
      <c r="C254" s="2" t="inlineStr">
        <is>
          <t>MUS-039</t>
        </is>
      </c>
      <c r="D254" s="2" t="inlineStr">
        <is>
          <t>TKL-0511</t>
        </is>
      </c>
      <c r="E254" s="2" t="inlineStr">
        <is>
          <t>ST-004</t>
        </is>
      </c>
      <c r="F254" s="2" t="inlineStr">
        <is>
          <t>Tamamlandi</t>
        </is>
      </c>
      <c r="G254" s="2" t="inlineStr">
        <is>
          <t>USD</t>
        </is>
      </c>
      <c r="H254" s="5" t="n">
        <v>1</v>
      </c>
      <c r="I254" s="3" t="n">
        <v>20239.14</v>
      </c>
      <c r="J254" s="2" t="inlineStr">
        <is>
          <t>CIF</t>
        </is>
      </c>
      <c r="K254" s="2" t="inlineStr">
        <is>
          <t>Denizyolu</t>
        </is>
      </c>
      <c r="L254" s="6" t="n">
        <v>46108</v>
      </c>
      <c r="M254" s="6" t="n">
        <v>46120</v>
      </c>
      <c r="N254" s="5" t="n">
        <v>12</v>
      </c>
      <c r="O254" s="2" t="inlineStr">
        <is>
          <t>Kritik</t>
        </is>
      </c>
    </row>
    <row r="255">
      <c r="A255" s="2" t="inlineStr">
        <is>
          <t>SIP-0254</t>
        </is>
      </c>
      <c r="B255" s="6" t="n">
        <v>46053</v>
      </c>
      <c r="C255" s="2" t="inlineStr">
        <is>
          <t>MUS-030</t>
        </is>
      </c>
      <c r="D255" s="2" t="inlineStr">
        <is>
          <t>TKL-0513</t>
        </is>
      </c>
      <c r="E255" s="2" t="inlineStr">
        <is>
          <t>ST-002</t>
        </is>
      </c>
      <c r="F255" s="2" t="inlineStr">
        <is>
          <t>Sevk Edildi</t>
        </is>
      </c>
      <c r="G255" s="2" t="inlineStr">
        <is>
          <t>EUR</t>
        </is>
      </c>
      <c r="H255" s="5" t="n">
        <v>1.0938</v>
      </c>
      <c r="I255" s="3" t="n">
        <v>60805.83</v>
      </c>
      <c r="J255" s="2" t="inlineStr">
        <is>
          <t>DAP</t>
        </is>
      </c>
      <c r="K255" s="2" t="inlineStr">
        <is>
          <t>Karayolu</t>
        </is>
      </c>
      <c r="L255" s="6" t="n">
        <v>46100</v>
      </c>
      <c r="M255" s="6" t="n">
        <v>46100</v>
      </c>
      <c r="N255" s="5" t="n">
        <v>0</v>
      </c>
      <c r="O255" s="2" t="inlineStr">
        <is>
          <t>Yuksek</t>
        </is>
      </c>
    </row>
    <row r="256">
      <c r="A256" s="2" t="inlineStr">
        <is>
          <t>SIP-0255</t>
        </is>
      </c>
      <c r="B256" s="6" t="n">
        <v>46051</v>
      </c>
      <c r="C256" s="2" t="inlineStr">
        <is>
          <t>MUS-017</t>
        </is>
      </c>
      <c r="D256" s="2" t="inlineStr">
        <is>
          <t>TKL-0514</t>
        </is>
      </c>
      <c r="E256" s="2" t="inlineStr">
        <is>
          <t>ST-001</t>
        </is>
      </c>
      <c r="F256" s="2" t="inlineStr">
        <is>
          <t>Uretimde</t>
        </is>
      </c>
      <c r="G256" s="2" t="inlineStr">
        <is>
          <t>EUR</t>
        </is>
      </c>
      <c r="H256" s="5" t="n">
        <v>1.0938</v>
      </c>
      <c r="I256" s="3" t="n">
        <v>20992.54</v>
      </c>
      <c r="J256" s="2" t="inlineStr">
        <is>
          <t>DAP</t>
        </is>
      </c>
      <c r="K256" s="2" t="inlineStr">
        <is>
          <t>Havayolu</t>
        </is>
      </c>
      <c r="L256" s="6" t="n">
        <v>46101</v>
      </c>
      <c r="M256" s="6" t="n">
        <v>46104</v>
      </c>
      <c r="N256" s="5" t="n">
        <v>3</v>
      </c>
      <c r="O256" s="2" t="inlineStr">
        <is>
          <t>Normal</t>
        </is>
      </c>
    </row>
    <row r="257">
      <c r="A257" s="2" t="inlineStr">
        <is>
          <t>SIP-0256</t>
        </is>
      </c>
      <c r="B257" s="6" t="n">
        <v>46058</v>
      </c>
      <c r="C257" s="2" t="inlineStr">
        <is>
          <t>MUS-034</t>
        </is>
      </c>
      <c r="D257" s="2" t="inlineStr">
        <is>
          <t>TKL-0515</t>
        </is>
      </c>
      <c r="E257" s="2" t="inlineStr">
        <is>
          <t>ST-002</t>
        </is>
      </c>
      <c r="F257" s="2" t="inlineStr">
        <is>
          <t>Tamamlandi</t>
        </is>
      </c>
      <c r="G257" s="2" t="inlineStr">
        <is>
          <t>EUR</t>
        </is>
      </c>
      <c r="H257" s="5" t="n">
        <v>1.0938</v>
      </c>
      <c r="I257" s="3" t="n">
        <v>76858.92999999999</v>
      </c>
      <c r="J257" s="2" t="inlineStr">
        <is>
          <t>DAP</t>
        </is>
      </c>
      <c r="K257" s="2" t="inlineStr">
        <is>
          <t>Karayolu</t>
        </is>
      </c>
      <c r="L257" s="6" t="n">
        <v>46111</v>
      </c>
      <c r="M257" s="6" t="n">
        <v>46111</v>
      </c>
      <c r="N257" s="5" t="n">
        <v>0</v>
      </c>
      <c r="O257" s="2" t="inlineStr">
        <is>
          <t>Yuksek</t>
        </is>
      </c>
    </row>
    <row r="258">
      <c r="A258" s="2" t="inlineStr">
        <is>
          <t>SIP-0257</t>
        </is>
      </c>
      <c r="B258" s="6" t="n">
        <v>46038</v>
      </c>
      <c r="C258" s="2" t="inlineStr">
        <is>
          <t>MUS-016</t>
        </is>
      </c>
      <c r="D258" s="2" t="inlineStr">
        <is>
          <t>TKL-0517</t>
        </is>
      </c>
      <c r="E258" s="2" t="inlineStr">
        <is>
          <t>ST-002</t>
        </is>
      </c>
      <c r="F258" s="2" t="inlineStr">
        <is>
          <t>Sevk Edildi</t>
        </is>
      </c>
      <c r="G258" s="2" t="inlineStr">
        <is>
          <t>EUR</t>
        </is>
      </c>
      <c r="H258" s="5" t="n">
        <v>1.0938</v>
      </c>
      <c r="I258" s="3" t="n">
        <v>37669.18</v>
      </c>
      <c r="J258" s="2" t="inlineStr">
        <is>
          <t>DAP</t>
        </is>
      </c>
      <c r="K258" s="2" t="inlineStr">
        <is>
          <t>Denizyolu</t>
        </is>
      </c>
      <c r="L258" s="6" t="n">
        <v>46085</v>
      </c>
      <c r="M258" s="6" t="n">
        <v>46088</v>
      </c>
      <c r="N258" s="5" t="n">
        <v>3</v>
      </c>
      <c r="O258" s="2" t="inlineStr">
        <is>
          <t>Normal</t>
        </is>
      </c>
    </row>
    <row r="259">
      <c r="A259" s="2" t="inlineStr">
        <is>
          <t>SIP-0258</t>
        </is>
      </c>
      <c r="B259" s="6" t="n">
        <v>46086</v>
      </c>
      <c r="C259" s="2" t="inlineStr">
        <is>
          <t>MUS-084</t>
        </is>
      </c>
      <c r="D259" s="2" t="inlineStr">
        <is>
          <t>TKL-0521</t>
        </is>
      </c>
      <c r="E259" s="2" t="inlineStr">
        <is>
          <t>ST-001</t>
        </is>
      </c>
      <c r="F259" s="2" t="inlineStr">
        <is>
          <t>Uretimde</t>
        </is>
      </c>
      <c r="G259" s="2" t="inlineStr">
        <is>
          <t>EUR</t>
        </is>
      </c>
      <c r="H259" s="5" t="n">
        <v>1.0657</v>
      </c>
      <c r="I259" s="3" t="n">
        <v>18237.35</v>
      </c>
      <c r="J259" s="2" t="inlineStr">
        <is>
          <t>DAP</t>
        </is>
      </c>
      <c r="K259" s="2" t="inlineStr">
        <is>
          <t>Karayolu</t>
        </is>
      </c>
      <c r="L259" s="6" t="n">
        <v>46111</v>
      </c>
      <c r="M259" s="6" t="n">
        <v>46112</v>
      </c>
      <c r="N259" s="5" t="n">
        <v>1</v>
      </c>
      <c r="O259" s="2" t="inlineStr">
        <is>
          <t>Normal</t>
        </is>
      </c>
    </row>
    <row r="260">
      <c r="A260" s="2" t="inlineStr">
        <is>
          <t>SIP-0259</t>
        </is>
      </c>
      <c r="B260" s="6" t="n">
        <v>46083</v>
      </c>
      <c r="C260" s="2" t="inlineStr">
        <is>
          <t>MUS-066</t>
        </is>
      </c>
      <c r="D260" s="2" t="inlineStr">
        <is>
          <t>TKL-0522</t>
        </is>
      </c>
      <c r="E260" s="2" t="inlineStr">
        <is>
          <t>ST-007</t>
        </is>
      </c>
      <c r="F260" s="2" t="inlineStr">
        <is>
          <t>Uretimde</t>
        </is>
      </c>
      <c r="G260" s="2" t="inlineStr">
        <is>
          <t>USD</t>
        </is>
      </c>
      <c r="H260" s="5" t="n">
        <v>1</v>
      </c>
      <c r="I260" s="3" t="n">
        <v>13548.18</v>
      </c>
      <c r="J260" s="2" t="inlineStr">
        <is>
          <t>FCA</t>
        </is>
      </c>
      <c r="K260" s="2" t="inlineStr">
        <is>
          <t>Karayolu</t>
        </is>
      </c>
      <c r="L260" s="6" t="n">
        <v>46115</v>
      </c>
      <c r="M260" s="6" t="n">
        <v>46117</v>
      </c>
      <c r="N260" s="5" t="n">
        <v>2</v>
      </c>
      <c r="O260" s="2" t="inlineStr">
        <is>
          <t>Normal</t>
        </is>
      </c>
    </row>
    <row r="261">
      <c r="A261" s="2" t="inlineStr">
        <is>
          <t>SIP-0260</t>
        </is>
      </c>
      <c r="B261" s="6" t="n">
        <v>46083</v>
      </c>
      <c r="C261" s="2" t="inlineStr">
        <is>
          <t>MUS-041</t>
        </is>
      </c>
      <c r="D261" s="2" t="inlineStr">
        <is>
          <t>TKL-0523</t>
        </is>
      </c>
      <c r="E261" s="2" t="inlineStr">
        <is>
          <t>ST-002</t>
        </is>
      </c>
      <c r="F261" s="2" t="inlineStr">
        <is>
          <t>Uretimde</t>
        </is>
      </c>
      <c r="G261" s="2" t="inlineStr">
        <is>
          <t>EUR</t>
        </is>
      </c>
      <c r="H261" s="5" t="n">
        <v>1.0657</v>
      </c>
      <c r="I261" s="3" t="n">
        <v>47266.87</v>
      </c>
      <c r="J261" s="2" t="inlineStr">
        <is>
          <t>DAP</t>
        </is>
      </c>
      <c r="K261" s="2" t="inlineStr">
        <is>
          <t>Denizyolu</t>
        </is>
      </c>
      <c r="L261" s="6" t="n">
        <v>46126</v>
      </c>
      <c r="M261" s="6" t="n">
        <v>46126</v>
      </c>
      <c r="N261" s="5" t="n">
        <v>0</v>
      </c>
      <c r="O261" s="2" t="inlineStr">
        <is>
          <t>Yuksek</t>
        </is>
      </c>
    </row>
    <row r="262">
      <c r="A262" s="2" t="inlineStr">
        <is>
          <t>SIP-0261</t>
        </is>
      </c>
      <c r="B262" s="6" t="n">
        <v>46096</v>
      </c>
      <c r="C262" s="2" t="inlineStr">
        <is>
          <t>MUS-072</t>
        </is>
      </c>
      <c r="D262" s="2" t="inlineStr">
        <is>
          <t>TKL-0525</t>
        </is>
      </c>
      <c r="E262" s="2" t="inlineStr">
        <is>
          <t>ST-001</t>
        </is>
      </c>
      <c r="F262" s="2" t="inlineStr">
        <is>
          <t>Tamamlandi</t>
        </is>
      </c>
      <c r="G262" s="2" t="inlineStr">
        <is>
          <t>EUR</t>
        </is>
      </c>
      <c r="H262" s="5" t="n">
        <v>1.0657</v>
      </c>
      <c r="I262" s="3" t="n">
        <v>40599.27</v>
      </c>
      <c r="J262" s="2" t="inlineStr">
        <is>
          <t>DAP</t>
        </is>
      </c>
      <c r="K262" s="2" t="inlineStr">
        <is>
          <t>Karayolu</t>
        </is>
      </c>
      <c r="L262" s="6" t="n">
        <v>46139</v>
      </c>
      <c r="M262" s="6" t="n">
        <v>46141</v>
      </c>
      <c r="N262" s="5" t="n">
        <v>2</v>
      </c>
      <c r="O262" s="2" t="inlineStr">
        <is>
          <t>Normal</t>
        </is>
      </c>
    </row>
    <row r="263">
      <c r="A263" s="2" t="inlineStr">
        <is>
          <t>SIP-0262</t>
        </is>
      </c>
      <c r="B263" s="6" t="n">
        <v>46081</v>
      </c>
      <c r="C263" s="2" t="inlineStr">
        <is>
          <t>MUS-058</t>
        </is>
      </c>
      <c r="D263" s="2" t="inlineStr">
        <is>
          <t>TKL-0526</t>
        </is>
      </c>
      <c r="E263" s="2" t="inlineStr">
        <is>
          <t>ST-002</t>
        </is>
      </c>
      <c r="F263" s="2" t="inlineStr">
        <is>
          <t>Tamamlandi</t>
        </is>
      </c>
      <c r="G263" s="2" t="inlineStr">
        <is>
          <t>EUR</t>
        </is>
      </c>
      <c r="H263" s="5" t="n">
        <v>1.0657</v>
      </c>
      <c r="I263" s="3" t="n">
        <v>19352.19</v>
      </c>
      <c r="J263" s="2" t="inlineStr">
        <is>
          <t>DAP</t>
        </is>
      </c>
      <c r="K263" s="2" t="inlineStr">
        <is>
          <t>Karayolu</t>
        </is>
      </c>
      <c r="L263" s="6" t="n">
        <v>46107</v>
      </c>
      <c r="M263" s="6" t="n">
        <v>46107</v>
      </c>
      <c r="N263" s="5" t="n">
        <v>0</v>
      </c>
      <c r="O263" s="2" t="inlineStr">
        <is>
          <t>Normal</t>
        </is>
      </c>
    </row>
    <row r="264">
      <c r="A264" s="2" t="inlineStr">
        <is>
          <t>SIP-0263</t>
        </is>
      </c>
      <c r="B264" s="6" t="n">
        <v>46078</v>
      </c>
      <c r="C264" s="2" t="inlineStr">
        <is>
          <t>MUS-001</t>
        </is>
      </c>
      <c r="D264" s="2" t="inlineStr">
        <is>
          <t>TKL-0527</t>
        </is>
      </c>
      <c r="E264" s="2" t="inlineStr">
        <is>
          <t>ST-006</t>
        </is>
      </c>
      <c r="F264" s="2" t="inlineStr">
        <is>
          <t>Tamamlandi</t>
        </is>
      </c>
      <c r="G264" s="2" t="inlineStr">
        <is>
          <t>USD</t>
        </is>
      </c>
      <c r="H264" s="5" t="n">
        <v>1</v>
      </c>
      <c r="I264" s="3" t="n">
        <v>72924.2</v>
      </c>
      <c r="J264" s="2" t="inlineStr">
        <is>
          <t>CFR</t>
        </is>
      </c>
      <c r="K264" s="2" t="inlineStr">
        <is>
          <t>Denizyolu</t>
        </is>
      </c>
      <c r="L264" s="6" t="n">
        <v>46112</v>
      </c>
      <c r="M264" s="6" t="n">
        <v>46113</v>
      </c>
      <c r="N264" s="5" t="n">
        <v>1</v>
      </c>
      <c r="O264" s="2" t="inlineStr">
        <is>
          <t>Normal</t>
        </is>
      </c>
    </row>
    <row r="265">
      <c r="A265" s="2" t="inlineStr">
        <is>
          <t>SIP-0264</t>
        </is>
      </c>
      <c r="B265" s="6" t="n">
        <v>46084</v>
      </c>
      <c r="C265" s="2" t="inlineStr">
        <is>
          <t>MUS-046</t>
        </is>
      </c>
      <c r="D265" s="2" t="inlineStr">
        <is>
          <t>TKL-0528</t>
        </is>
      </c>
      <c r="E265" s="2" t="inlineStr">
        <is>
          <t>ST-001</t>
        </is>
      </c>
      <c r="F265" s="2" t="inlineStr">
        <is>
          <t>Sevk Edildi</t>
        </is>
      </c>
      <c r="G265" s="2" t="inlineStr">
        <is>
          <t>EUR</t>
        </is>
      </c>
      <c r="H265" s="5" t="n">
        <v>1.0657</v>
      </c>
      <c r="I265" s="3" t="n">
        <v>31431.5</v>
      </c>
      <c r="J265" s="2" t="inlineStr">
        <is>
          <t>FCA</t>
        </is>
      </c>
      <c r="K265" s="2" t="inlineStr">
        <is>
          <t>Havayolu</t>
        </is>
      </c>
      <c r="L265" s="6" t="n">
        <v>46116</v>
      </c>
      <c r="M265" s="6" t="n">
        <v>46118</v>
      </c>
      <c r="N265" s="5" t="n">
        <v>2</v>
      </c>
      <c r="O265" s="2" t="inlineStr">
        <is>
          <t>Normal</t>
        </is>
      </c>
    </row>
    <row r="266">
      <c r="A266" s="2" t="inlineStr">
        <is>
          <t>SIP-0265</t>
        </is>
      </c>
      <c r="B266" s="6" t="n">
        <v>46094</v>
      </c>
      <c r="C266" s="2" t="inlineStr">
        <is>
          <t>MUS-007</t>
        </is>
      </c>
      <c r="D266" s="2" t="inlineStr">
        <is>
          <t>TKL-0529</t>
        </is>
      </c>
      <c r="E266" s="2" t="inlineStr">
        <is>
          <t>ST-004</t>
        </is>
      </c>
      <c r="F266" s="2" t="inlineStr">
        <is>
          <t>Tamamlandi</t>
        </is>
      </c>
      <c r="G266" s="2" t="inlineStr">
        <is>
          <t>USD</t>
        </is>
      </c>
      <c r="H266" s="5" t="n">
        <v>1</v>
      </c>
      <c r="I266" s="3" t="n">
        <v>32015.16</v>
      </c>
      <c r="J266" s="2" t="inlineStr">
        <is>
          <t>CIF</t>
        </is>
      </c>
      <c r="K266" s="2" t="inlineStr">
        <is>
          <t>Denizyolu</t>
        </is>
      </c>
      <c r="L266" s="6" t="n">
        <v>46155</v>
      </c>
      <c r="M266" s="6" t="n">
        <v>46156</v>
      </c>
      <c r="N266" s="5" t="n">
        <v>1</v>
      </c>
      <c r="O266" s="2" t="inlineStr">
        <is>
          <t>Yuksek</t>
        </is>
      </c>
    </row>
    <row r="267">
      <c r="A267" s="2" t="inlineStr">
        <is>
          <t>SIP-0266</t>
        </is>
      </c>
      <c r="B267" s="6" t="n">
        <v>46103</v>
      </c>
      <c r="C267" s="2" t="inlineStr">
        <is>
          <t>MUS-017</t>
        </is>
      </c>
      <c r="D267" s="2" t="inlineStr">
        <is>
          <t>TKL-0533</t>
        </is>
      </c>
      <c r="E267" s="2" t="inlineStr">
        <is>
          <t>ST-002</t>
        </is>
      </c>
      <c r="F267" s="2" t="inlineStr">
        <is>
          <t>Tamamlandi</t>
        </is>
      </c>
      <c r="G267" s="2" t="inlineStr">
        <is>
          <t>EUR</t>
        </is>
      </c>
      <c r="H267" s="5" t="n">
        <v>1.0657</v>
      </c>
      <c r="I267" s="3" t="n">
        <v>12136.12</v>
      </c>
      <c r="J267" s="2" t="inlineStr">
        <is>
          <t>DAP</t>
        </is>
      </c>
      <c r="K267" s="2" t="inlineStr">
        <is>
          <t>Karayolu</t>
        </is>
      </c>
      <c r="L267" s="6" t="n">
        <v>46146</v>
      </c>
      <c r="M267" s="6" t="n">
        <v>46146</v>
      </c>
      <c r="N267" s="5" t="n">
        <v>0</v>
      </c>
      <c r="O267" s="2" t="inlineStr">
        <is>
          <t>Normal</t>
        </is>
      </c>
    </row>
    <row r="268">
      <c r="A268" s="2" t="inlineStr">
        <is>
          <t>SIP-0267</t>
        </is>
      </c>
      <c r="B268" s="6" t="n">
        <v>46077</v>
      </c>
      <c r="C268" s="2" t="inlineStr">
        <is>
          <t>MUS-036</t>
        </is>
      </c>
      <c r="D268" s="2" t="inlineStr">
        <is>
          <t>TKL-0534</t>
        </is>
      </c>
      <c r="E268" s="2" t="inlineStr">
        <is>
          <t>ST-005</t>
        </is>
      </c>
      <c r="F268" s="2" t="inlineStr">
        <is>
          <t>Tamamlandi</t>
        </is>
      </c>
      <c r="G268" s="2" t="inlineStr">
        <is>
          <t>USD</t>
        </is>
      </c>
      <c r="H268" s="5" t="n">
        <v>1</v>
      </c>
      <c r="I268" s="3" t="n">
        <v>36866.6</v>
      </c>
      <c r="J268" s="2" t="inlineStr">
        <is>
          <t>CFR</t>
        </is>
      </c>
      <c r="K268" s="2" t="inlineStr">
        <is>
          <t>Denizyolu</t>
        </is>
      </c>
      <c r="L268" s="6" t="n">
        <v>46118</v>
      </c>
      <c r="M268" s="6" t="n">
        <v>46118</v>
      </c>
      <c r="N268" s="5" t="n">
        <v>0</v>
      </c>
      <c r="O268" s="2" t="inlineStr">
        <is>
          <t>Normal</t>
        </is>
      </c>
    </row>
    <row r="269">
      <c r="A269" s="2" t="inlineStr">
        <is>
          <t>SIP-0268</t>
        </is>
      </c>
      <c r="B269" s="6" t="n">
        <v>46068</v>
      </c>
      <c r="C269" s="2" t="inlineStr">
        <is>
          <t>MUS-047</t>
        </is>
      </c>
      <c r="D269" s="2" t="inlineStr">
        <is>
          <t>TKL-0537</t>
        </is>
      </c>
      <c r="E269" s="2" t="inlineStr">
        <is>
          <t>ST-005</t>
        </is>
      </c>
      <c r="F269" s="2" t="inlineStr">
        <is>
          <t>Uretimde</t>
        </is>
      </c>
      <c r="G269" s="2" t="inlineStr">
        <is>
          <t>USD</t>
        </is>
      </c>
      <c r="H269" s="5" t="n">
        <v>1</v>
      </c>
      <c r="I269" s="3" t="n">
        <v>29498.28</v>
      </c>
      <c r="J269" s="2" t="inlineStr">
        <is>
          <t>CFR</t>
        </is>
      </c>
      <c r="K269" s="2" t="inlineStr">
        <is>
          <t>Denizyolu</t>
        </is>
      </c>
      <c r="L269" s="6" t="n">
        <v>46137</v>
      </c>
      <c r="M269" s="6" t="n">
        <v>46137</v>
      </c>
      <c r="N269" s="5" t="n">
        <v>0</v>
      </c>
      <c r="O269" s="2" t="inlineStr">
        <is>
          <t>Kritik</t>
        </is>
      </c>
    </row>
    <row r="270">
      <c r="A270" s="2" t="inlineStr">
        <is>
          <t>SIP-0269</t>
        </is>
      </c>
      <c r="B270" s="6" t="n">
        <v>46089</v>
      </c>
      <c r="C270" s="2" t="inlineStr">
        <is>
          <t>MUS-039</t>
        </is>
      </c>
      <c r="D270" s="2" t="inlineStr">
        <is>
          <t>TKL-0539</t>
        </is>
      </c>
      <c r="E270" s="2" t="inlineStr">
        <is>
          <t>ST-003</t>
        </is>
      </c>
      <c r="F270" s="2" t="inlineStr">
        <is>
          <t>Tamamlandi</t>
        </is>
      </c>
      <c r="G270" s="2" t="inlineStr">
        <is>
          <t>USD</t>
        </is>
      </c>
      <c r="H270" s="5" t="n">
        <v>1</v>
      </c>
      <c r="I270" s="3" t="n">
        <v>67550.97</v>
      </c>
      <c r="J270" s="2" t="inlineStr">
        <is>
          <t>CIF</t>
        </is>
      </c>
      <c r="K270" s="2" t="inlineStr">
        <is>
          <t>Karayolu</t>
        </is>
      </c>
      <c r="L270" s="6" t="n">
        <v>46140</v>
      </c>
      <c r="M270" s="6" t="n">
        <v>46140</v>
      </c>
      <c r="N270" s="5" t="n">
        <v>0</v>
      </c>
      <c r="O270" s="2" t="inlineStr">
        <is>
          <t>Yuksek</t>
        </is>
      </c>
    </row>
    <row r="271">
      <c r="A271" s="2" t="inlineStr">
        <is>
          <t>SIP-0270</t>
        </is>
      </c>
      <c r="B271" s="6" t="n">
        <v>46115</v>
      </c>
      <c r="C271" s="2" t="inlineStr">
        <is>
          <t>MUS-081</t>
        </is>
      </c>
      <c r="D271" s="2" t="inlineStr">
        <is>
          <t>TKL-0541</t>
        </is>
      </c>
      <c r="E271" s="2" t="inlineStr">
        <is>
          <t>ST-004</t>
        </is>
      </c>
      <c r="F271" s="2" t="inlineStr">
        <is>
          <t>Uretimde</t>
        </is>
      </c>
      <c r="G271" s="2" t="inlineStr">
        <is>
          <t>USD</t>
        </is>
      </c>
      <c r="H271" s="5" t="n">
        <v>1</v>
      </c>
      <c r="I271" s="3" t="n">
        <v>35992.14</v>
      </c>
      <c r="J271" s="2" t="inlineStr">
        <is>
          <t>CIF</t>
        </is>
      </c>
      <c r="K271" s="2" t="inlineStr">
        <is>
          <t>Denizyolu</t>
        </is>
      </c>
      <c r="L271" s="6" t="n">
        <v>46149</v>
      </c>
      <c r="M271" s="6" t="n">
        <v>46149</v>
      </c>
      <c r="N271" s="5" t="n">
        <v>0</v>
      </c>
      <c r="O271" s="2" t="inlineStr">
        <is>
          <t>Normal</t>
        </is>
      </c>
    </row>
    <row r="272">
      <c r="A272" s="2" t="inlineStr">
        <is>
          <t>SIP-0271</t>
        </is>
      </c>
      <c r="B272" s="6" t="n">
        <v>46128</v>
      </c>
      <c r="C272" s="2" t="inlineStr">
        <is>
          <t>MUS-033</t>
        </is>
      </c>
      <c r="D272" s="2" t="inlineStr">
        <is>
          <t>TKL-0542</t>
        </is>
      </c>
      <c r="E272" s="2" t="inlineStr">
        <is>
          <t>ST-006</t>
        </is>
      </c>
      <c r="F272" s="2" t="inlineStr">
        <is>
          <t>Sevk Edildi</t>
        </is>
      </c>
      <c r="G272" s="2" t="inlineStr">
        <is>
          <t>USD</t>
        </is>
      </c>
      <c r="H272" s="5" t="n">
        <v>1</v>
      </c>
      <c r="I272" s="3" t="n">
        <v>63566.89</v>
      </c>
      <c r="J272" s="2" t="inlineStr">
        <is>
          <t>CFR</t>
        </is>
      </c>
      <c r="K272" s="2" t="inlineStr">
        <is>
          <t>Denizyolu</t>
        </is>
      </c>
      <c r="L272" s="6" t="n">
        <v>46191</v>
      </c>
      <c r="M272" s="6" t="n">
        <v>46192</v>
      </c>
      <c r="N272" s="5" t="n">
        <v>1</v>
      </c>
      <c r="O272" s="2" t="inlineStr">
        <is>
          <t>Yuksek</t>
        </is>
      </c>
    </row>
    <row r="273">
      <c r="A273" s="2" t="inlineStr">
        <is>
          <t>SIP-0272</t>
        </is>
      </c>
      <c r="B273" s="6" t="n">
        <v>46124</v>
      </c>
      <c r="C273" s="2" t="inlineStr">
        <is>
          <t>MUS-078</t>
        </is>
      </c>
      <c r="D273" s="2" t="inlineStr">
        <is>
          <t>TKL-0544</t>
        </is>
      </c>
      <c r="E273" s="2" t="inlineStr">
        <is>
          <t>ST-001</t>
        </is>
      </c>
      <c r="F273" s="2" t="inlineStr">
        <is>
          <t>Tamamlandi</t>
        </is>
      </c>
      <c r="G273" s="2" t="inlineStr">
        <is>
          <t>EUR</t>
        </is>
      </c>
      <c r="H273" s="5" t="n">
        <v>1.0656</v>
      </c>
      <c r="I273" s="3" t="n">
        <v>19323.52</v>
      </c>
      <c r="J273" s="2" t="inlineStr">
        <is>
          <t>DAP</t>
        </is>
      </c>
      <c r="K273" s="2" t="inlineStr">
        <is>
          <t>Karayolu</t>
        </is>
      </c>
      <c r="L273" s="6" t="n">
        <v>46166</v>
      </c>
      <c r="M273" s="6" t="n">
        <v>46166</v>
      </c>
      <c r="N273" s="5" t="n">
        <v>0</v>
      </c>
      <c r="O273" s="2" t="inlineStr">
        <is>
          <t>Normal</t>
        </is>
      </c>
    </row>
    <row r="274">
      <c r="A274" s="2" t="inlineStr">
        <is>
          <t>SIP-0273</t>
        </is>
      </c>
      <c r="B274" s="6" t="n">
        <v>46114</v>
      </c>
      <c r="C274" s="2" t="inlineStr">
        <is>
          <t>MUS-078</t>
        </is>
      </c>
      <c r="D274" s="2" t="inlineStr">
        <is>
          <t>TKL-0547</t>
        </is>
      </c>
      <c r="E274" s="2" t="inlineStr">
        <is>
          <t>ST-002</t>
        </is>
      </c>
      <c r="F274" s="2" t="inlineStr">
        <is>
          <t>Tamamlandi</t>
        </is>
      </c>
      <c r="G274" s="2" t="inlineStr">
        <is>
          <t>EUR</t>
        </is>
      </c>
      <c r="H274" s="5" t="n">
        <v>1.0656</v>
      </c>
      <c r="I274" s="3" t="n">
        <v>4795.07</v>
      </c>
      <c r="J274" s="2" t="inlineStr">
        <is>
          <t>DAP</t>
        </is>
      </c>
      <c r="K274" s="2" t="inlineStr">
        <is>
          <t>Karayolu</t>
        </is>
      </c>
      <c r="L274" s="6" t="n">
        <v>46147</v>
      </c>
      <c r="M274" s="6" t="n">
        <v>46147</v>
      </c>
      <c r="N274" s="5" t="n">
        <v>0</v>
      </c>
      <c r="O274" s="2" t="inlineStr">
        <is>
          <t>Normal</t>
        </is>
      </c>
    </row>
    <row r="275">
      <c r="A275" s="2" t="inlineStr">
        <is>
          <t>SIP-0274</t>
        </is>
      </c>
      <c r="B275" s="6" t="n">
        <v>46112</v>
      </c>
      <c r="C275" s="2" t="inlineStr">
        <is>
          <t>MUS-019</t>
        </is>
      </c>
      <c r="D275" s="2" t="inlineStr">
        <is>
          <t>TKL-0548</t>
        </is>
      </c>
      <c r="E275" s="2" t="inlineStr">
        <is>
          <t>ST-004</t>
        </is>
      </c>
      <c r="F275" s="2" t="inlineStr">
        <is>
          <t>Sevk Edildi</t>
        </is>
      </c>
      <c r="G275" s="2" t="inlineStr">
        <is>
          <t>USD</t>
        </is>
      </c>
      <c r="H275" s="5" t="n">
        <v>1</v>
      </c>
      <c r="I275" s="3" t="n">
        <v>41658.72</v>
      </c>
      <c r="J275" s="2" t="inlineStr">
        <is>
          <t>CIF</t>
        </is>
      </c>
      <c r="K275" s="2" t="inlineStr">
        <is>
          <t>Karayolu</t>
        </is>
      </c>
      <c r="L275" s="6" t="n">
        <v>46150</v>
      </c>
      <c r="M275" s="6" t="n">
        <v>46150</v>
      </c>
      <c r="N275" s="5" t="n">
        <v>0</v>
      </c>
      <c r="O275" s="2" t="inlineStr">
        <is>
          <t>Normal</t>
        </is>
      </c>
    </row>
    <row r="276">
      <c r="A276" s="2" t="inlineStr">
        <is>
          <t>SIP-0275</t>
        </is>
      </c>
      <c r="B276" s="6" t="n">
        <v>46121</v>
      </c>
      <c r="C276" s="2" t="inlineStr">
        <is>
          <t>MUS-031</t>
        </is>
      </c>
      <c r="D276" s="2" t="inlineStr">
        <is>
          <t>TKL-0551</t>
        </is>
      </c>
      <c r="E276" s="2" t="inlineStr">
        <is>
          <t>ST-002</t>
        </is>
      </c>
      <c r="F276" s="2" t="inlineStr">
        <is>
          <t>Sevk Edildi</t>
        </is>
      </c>
      <c r="G276" s="2" t="inlineStr">
        <is>
          <t>EUR</t>
        </is>
      </c>
      <c r="H276" s="5" t="n">
        <v>1.0656</v>
      </c>
      <c r="I276" s="3" t="n">
        <v>15777.3</v>
      </c>
      <c r="J276" s="2" t="inlineStr">
        <is>
          <t>DAP</t>
        </is>
      </c>
      <c r="K276" s="2" t="inlineStr">
        <is>
          <t>Denizyolu</t>
        </is>
      </c>
      <c r="L276" s="6" t="n">
        <v>46145</v>
      </c>
      <c r="M276" s="6" t="n">
        <v>46145</v>
      </c>
      <c r="N276" s="5" t="n">
        <v>0</v>
      </c>
      <c r="O276" s="2" t="inlineStr">
        <is>
          <t>Normal</t>
        </is>
      </c>
    </row>
    <row r="277">
      <c r="A277" s="2" t="inlineStr">
        <is>
          <t>SIP-0276</t>
        </is>
      </c>
      <c r="B277" s="6" t="n">
        <v>46117</v>
      </c>
      <c r="C277" s="2" t="inlineStr">
        <is>
          <t>MUS-034</t>
        </is>
      </c>
      <c r="D277" s="2" t="inlineStr">
        <is>
          <t>TKL-0552</t>
        </is>
      </c>
      <c r="E277" s="2" t="inlineStr">
        <is>
          <t>ST-002</t>
        </is>
      </c>
      <c r="F277" s="2" t="inlineStr">
        <is>
          <t>Uretimde</t>
        </is>
      </c>
      <c r="G277" s="2" t="inlineStr">
        <is>
          <t>EUR</t>
        </is>
      </c>
      <c r="H277" s="5" t="n">
        <v>1.0656</v>
      </c>
      <c r="I277" s="3" t="n">
        <v>9397.540000000001</v>
      </c>
      <c r="J277" s="2" t="inlineStr">
        <is>
          <t>DAP</t>
        </is>
      </c>
      <c r="K277" s="2" t="inlineStr">
        <is>
          <t>Karayolu</t>
        </is>
      </c>
      <c r="L277" s="6" t="n">
        <v>46167</v>
      </c>
      <c r="M277" s="6" t="n">
        <v>46167</v>
      </c>
      <c r="N277" s="5" t="n">
        <v>0</v>
      </c>
      <c r="O277" s="2" t="inlineStr">
        <is>
          <t>Normal</t>
        </is>
      </c>
    </row>
    <row r="278">
      <c r="A278" s="2" t="inlineStr">
        <is>
          <t>SIP-0277</t>
        </is>
      </c>
      <c r="B278" s="6" t="n">
        <v>46148</v>
      </c>
      <c r="C278" s="2" t="inlineStr">
        <is>
          <t>MUS-008</t>
        </is>
      </c>
      <c r="D278" s="2" t="inlineStr">
        <is>
          <t>TKL-0554</t>
        </is>
      </c>
      <c r="E278" s="2" t="inlineStr">
        <is>
          <t>ST-007</t>
        </is>
      </c>
      <c r="F278" s="2" t="inlineStr">
        <is>
          <t>Tamamlandi</t>
        </is>
      </c>
      <c r="G278" s="2" t="inlineStr">
        <is>
          <t>USD</t>
        </is>
      </c>
      <c r="H278" s="5" t="n">
        <v>1</v>
      </c>
      <c r="I278" s="3" t="n">
        <v>30554.41</v>
      </c>
      <c r="J278" s="2" t="inlineStr">
        <is>
          <t>FCA</t>
        </is>
      </c>
      <c r="K278" s="2" t="inlineStr">
        <is>
          <t>Karayolu</t>
        </is>
      </c>
      <c r="L278" s="6" t="n">
        <v>46182</v>
      </c>
      <c r="M278" s="6" t="n">
        <v>46182</v>
      </c>
      <c r="N278" s="5" t="n">
        <v>0</v>
      </c>
      <c r="O278" s="2" t="inlineStr">
        <is>
          <t>Normal</t>
        </is>
      </c>
    </row>
    <row r="279">
      <c r="A279" s="2" t="inlineStr">
        <is>
          <t>SIP-0278</t>
        </is>
      </c>
      <c r="B279" s="6" t="n">
        <v>46094</v>
      </c>
      <c r="C279" s="2" t="inlineStr">
        <is>
          <t>MUS-033</t>
        </is>
      </c>
      <c r="D279" s="2" t="inlineStr">
        <is>
          <t>TKL-0555</t>
        </is>
      </c>
      <c r="E279" s="2" t="inlineStr">
        <is>
          <t>ST-005</t>
        </is>
      </c>
      <c r="F279" s="2" t="inlineStr">
        <is>
          <t>Tamamlandi</t>
        </is>
      </c>
      <c r="G279" s="2" t="inlineStr">
        <is>
          <t>USD</t>
        </is>
      </c>
      <c r="H279" s="5" t="n">
        <v>1</v>
      </c>
      <c r="I279" s="3" t="n">
        <v>31602.7</v>
      </c>
      <c r="J279" s="2" t="inlineStr">
        <is>
          <t>CFR</t>
        </is>
      </c>
      <c r="K279" s="2" t="inlineStr">
        <is>
          <t>Havayolu</t>
        </is>
      </c>
      <c r="L279" s="6" t="n">
        <v>46143</v>
      </c>
      <c r="M279" s="6" t="n">
        <v>46145</v>
      </c>
      <c r="N279" s="5" t="n">
        <v>2</v>
      </c>
      <c r="O279" s="2" t="inlineStr">
        <is>
          <t>Normal</t>
        </is>
      </c>
    </row>
    <row r="280">
      <c r="A280" s="2" t="inlineStr">
        <is>
          <t>SIP-0279</t>
        </is>
      </c>
      <c r="B280" s="6" t="n">
        <v>46128</v>
      </c>
      <c r="C280" s="2" t="inlineStr">
        <is>
          <t>MUS-024</t>
        </is>
      </c>
      <c r="D280" s="2" t="inlineStr">
        <is>
          <t>TKL-0557</t>
        </is>
      </c>
      <c r="E280" s="2" t="inlineStr">
        <is>
          <t>ST-003</t>
        </is>
      </c>
      <c r="F280" s="2" t="inlineStr">
        <is>
          <t>Tamamlandi</t>
        </is>
      </c>
      <c r="G280" s="2" t="inlineStr">
        <is>
          <t>USD</t>
        </is>
      </c>
      <c r="H280" s="5" t="n">
        <v>1</v>
      </c>
      <c r="I280" s="3" t="n">
        <v>18360.64</v>
      </c>
      <c r="J280" s="2" t="inlineStr">
        <is>
          <t>CIF</t>
        </is>
      </c>
      <c r="K280" s="2" t="inlineStr">
        <is>
          <t>Denizyolu</t>
        </is>
      </c>
      <c r="L280" s="6" t="n">
        <v>46161</v>
      </c>
      <c r="M280" s="6" t="n">
        <v>46166</v>
      </c>
      <c r="N280" s="5" t="n">
        <v>5</v>
      </c>
      <c r="O280" s="2" t="inlineStr">
        <is>
          <t>Normal</t>
        </is>
      </c>
    </row>
    <row r="281">
      <c r="A281" s="2" t="inlineStr">
        <is>
          <t>SIP-0280</t>
        </is>
      </c>
      <c r="B281" s="6" t="n">
        <v>46120</v>
      </c>
      <c r="C281" s="2" t="inlineStr">
        <is>
          <t>MUS-058</t>
        </is>
      </c>
      <c r="D281" s="2" t="inlineStr">
        <is>
          <t>TKL-0559</t>
        </is>
      </c>
      <c r="E281" s="2" t="inlineStr">
        <is>
          <t>ST-001</t>
        </is>
      </c>
      <c r="F281" s="2" t="inlineStr">
        <is>
          <t>Uretimde</t>
        </is>
      </c>
      <c r="G281" s="2" t="inlineStr">
        <is>
          <t>EUR</t>
        </is>
      </c>
      <c r="H281" s="5" t="n">
        <v>1.0656</v>
      </c>
      <c r="I281" s="3" t="n">
        <v>27761.62</v>
      </c>
      <c r="J281" s="2" t="inlineStr">
        <is>
          <t>DAP</t>
        </is>
      </c>
      <c r="K281" s="2" t="inlineStr">
        <is>
          <t>Karayolu</t>
        </is>
      </c>
      <c r="L281" s="6" t="n">
        <v>46157</v>
      </c>
      <c r="M281" s="6" t="n">
        <v>46157</v>
      </c>
      <c r="N281" s="5" t="n">
        <v>0</v>
      </c>
      <c r="O281" s="2" t="inlineStr">
        <is>
          <t>Yuksek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  <col width="15" customWidth="1" min="7" max="7"/>
    <col width="21" customWidth="1" min="8" max="8"/>
    <col width="18" customWidth="1" min="9" max="9"/>
    <col width="22" customWidth="1" min="10" max="10"/>
    <col width="20" customWidth="1" min="11" max="11"/>
    <col width="14" customWidth="1" min="12" max="12"/>
    <col width="22" customWidth="1" min="13" max="13"/>
  </cols>
  <sheetData>
    <row r="1">
      <c r="A1" s="1" t="inlineStr">
        <is>
          <t>Siparis_Kalem_ID</t>
        </is>
      </c>
      <c r="B1" s="1" t="inlineStr">
        <is>
          <t>Siparis_No</t>
        </is>
      </c>
      <c r="C1" s="1" t="inlineStr">
        <is>
          <t>Urun_Kodu</t>
        </is>
      </c>
      <c r="D1" s="1" t="inlineStr">
        <is>
          <t>Miktar</t>
        </is>
      </c>
      <c r="E1" s="1" t="inlineStr">
        <is>
          <t>Birim</t>
        </is>
      </c>
      <c r="F1" s="1" t="inlineStr">
        <is>
          <t>Birim_Fiyat_USD</t>
        </is>
      </c>
      <c r="G1" s="1" t="inlineStr">
        <is>
          <t>Indirim_Yuzde</t>
        </is>
      </c>
      <c r="H1" s="1" t="inlineStr">
        <is>
          <t>Net_Birim_Fiyat_USD</t>
        </is>
      </c>
      <c r="I1" s="1" t="inlineStr">
        <is>
          <t>Toplam_Tutar_USD</t>
        </is>
      </c>
      <c r="J1" s="1" t="inlineStr">
        <is>
          <t>Standart_Maliyet_USD</t>
        </is>
      </c>
      <c r="K1" s="1" t="inlineStr">
        <is>
          <t>Toplam_Maliyet_USD</t>
        </is>
      </c>
      <c r="L1" s="1" t="inlineStr">
        <is>
          <t>Brut_Kar_USD</t>
        </is>
      </c>
      <c r="M1" s="1" t="inlineStr">
        <is>
          <t>Brut_Kar_Marji_Yuzde</t>
        </is>
      </c>
    </row>
    <row r="2">
      <c r="A2" s="2" t="inlineStr">
        <is>
          <t>SKL-00001</t>
        </is>
      </c>
      <c r="B2" s="2" t="inlineStr">
        <is>
          <t>SIP-0001</t>
        </is>
      </c>
      <c r="C2" s="2" t="inlineStr">
        <is>
          <t>FLAIZO-008</t>
        </is>
      </c>
      <c r="D2" s="5" t="n">
        <v>52</v>
      </c>
      <c r="E2" s="2" t="inlineStr">
        <is>
          <t>Set</t>
        </is>
      </c>
      <c r="F2" s="3" t="n">
        <v>138.23</v>
      </c>
      <c r="G2" s="4" t="n">
        <v>0.1064</v>
      </c>
      <c r="H2" s="3" t="n">
        <v>123.52</v>
      </c>
      <c r="I2" s="3" t="n">
        <v>6423.04</v>
      </c>
      <c r="J2" s="3" t="n">
        <v>78.08</v>
      </c>
      <c r="K2" s="3" t="n">
        <v>4060.16</v>
      </c>
      <c r="L2" s="3" t="n">
        <v>2362.88</v>
      </c>
      <c r="M2" s="4" t="n">
        <v>0.3679</v>
      </c>
    </row>
    <row r="3">
      <c r="A3" s="2" t="inlineStr">
        <is>
          <t>SKL-00002</t>
        </is>
      </c>
      <c r="B3" s="2" t="inlineStr">
        <is>
          <t>SIP-0001</t>
        </is>
      </c>
      <c r="C3" s="2" t="inlineStr">
        <is>
          <t>ENDVAN-021</t>
        </is>
      </c>
      <c r="D3" s="5" t="n">
        <v>10</v>
      </c>
      <c r="E3" s="2" t="inlineStr">
        <is>
          <t>Adet</t>
        </is>
      </c>
      <c r="F3" s="3" t="n">
        <v>984.2</v>
      </c>
      <c r="G3" s="4" t="n">
        <v>0.0192</v>
      </c>
      <c r="H3" s="3" t="n">
        <v>965.3</v>
      </c>
      <c r="I3" s="3" t="n">
        <v>9653</v>
      </c>
      <c r="J3" s="3" t="n">
        <v>736.7</v>
      </c>
      <c r="K3" s="3" t="n">
        <v>7367</v>
      </c>
      <c r="L3" s="3" t="n">
        <v>2286</v>
      </c>
      <c r="M3" s="4" t="n">
        <v>0.2368</v>
      </c>
    </row>
    <row r="4">
      <c r="A4" s="2" t="inlineStr">
        <is>
          <t>SKL-00003</t>
        </is>
      </c>
      <c r="B4" s="2" t="inlineStr">
        <is>
          <t>SIP-0001</t>
        </is>
      </c>
      <c r="C4" s="2" t="inlineStr">
        <is>
          <t>ENDVAN-017</t>
        </is>
      </c>
      <c r="D4" s="5" t="n">
        <v>8</v>
      </c>
      <c r="E4" s="2" t="inlineStr">
        <is>
          <t>Adet</t>
        </is>
      </c>
      <c r="F4" s="3" t="n">
        <v>737.8</v>
      </c>
      <c r="G4" s="4" t="n">
        <v>0.0136</v>
      </c>
      <c r="H4" s="3" t="n">
        <v>727.77</v>
      </c>
      <c r="I4" s="3" t="n">
        <v>5822.16</v>
      </c>
      <c r="J4" s="3" t="n">
        <v>518.3099999999999</v>
      </c>
      <c r="K4" s="3" t="n">
        <v>4146.48</v>
      </c>
      <c r="L4" s="3" t="n">
        <v>1675.68</v>
      </c>
      <c r="M4" s="4" t="n">
        <v>0.2878</v>
      </c>
    </row>
    <row r="5">
      <c r="A5" s="2" t="inlineStr">
        <is>
          <t>SKL-00004</t>
        </is>
      </c>
      <c r="B5" s="2" t="inlineStr">
        <is>
          <t>SIP-0001</t>
        </is>
      </c>
      <c r="C5" s="2" t="inlineStr">
        <is>
          <t>KAR/-007</t>
        </is>
      </c>
      <c r="D5" s="5" t="n">
        <v>3</v>
      </c>
      <c r="E5" s="2" t="inlineStr">
        <is>
          <t>Adet</t>
        </is>
      </c>
      <c r="F5" s="3" t="n">
        <v>12949.46</v>
      </c>
      <c r="G5" s="4" t="n">
        <v>0.035</v>
      </c>
      <c r="H5" s="3" t="n">
        <v>12496.23</v>
      </c>
      <c r="I5" s="3" t="n">
        <v>37488.69</v>
      </c>
      <c r="J5" s="3" t="n">
        <v>9087.459999999999</v>
      </c>
      <c r="K5" s="3" t="n">
        <v>27262.38</v>
      </c>
      <c r="L5" s="3" t="n">
        <v>10226.31</v>
      </c>
      <c r="M5" s="4" t="n">
        <v>0.2728</v>
      </c>
    </row>
    <row r="6">
      <c r="A6" s="2" t="inlineStr">
        <is>
          <t>SKL-00005</t>
        </is>
      </c>
      <c r="B6" s="2" t="inlineStr">
        <is>
          <t>SIP-0002</t>
        </is>
      </c>
      <c r="C6" s="2" t="inlineStr">
        <is>
          <t>ENDVAN-004</t>
        </is>
      </c>
      <c r="D6" s="5" t="n">
        <v>20</v>
      </c>
      <c r="E6" s="2" t="inlineStr">
        <is>
          <t>Adet</t>
        </is>
      </c>
      <c r="F6" s="3" t="n">
        <v>292.22</v>
      </c>
      <c r="G6" s="4" t="n">
        <v>0.06279999999999999</v>
      </c>
      <c r="H6" s="3" t="n">
        <v>273.87</v>
      </c>
      <c r="I6" s="3" t="n">
        <v>5477.4</v>
      </c>
      <c r="J6" s="3" t="n">
        <v>212.53</v>
      </c>
      <c r="K6" s="3" t="n">
        <v>4250.6</v>
      </c>
      <c r="L6" s="3" t="n">
        <v>1226.8</v>
      </c>
      <c r="M6" s="4" t="n">
        <v>0.224</v>
      </c>
    </row>
    <row r="7">
      <c r="A7" s="2" t="inlineStr">
        <is>
          <t>SKL-00006</t>
        </is>
      </c>
      <c r="B7" s="2" t="inlineStr">
        <is>
          <t>SIP-0002</t>
        </is>
      </c>
      <c r="C7" s="2" t="inlineStr">
        <is>
          <t>KAR/-011</t>
        </is>
      </c>
      <c r="D7" s="5" t="n">
        <v>2</v>
      </c>
      <c r="E7" s="2" t="inlineStr">
        <is>
          <t>Adet</t>
        </is>
      </c>
      <c r="F7" s="3" t="n">
        <v>8896.469999999999</v>
      </c>
      <c r="G7" s="4" t="n">
        <v>0.08</v>
      </c>
      <c r="H7" s="3" t="n">
        <v>8184.75</v>
      </c>
      <c r="I7" s="3" t="n">
        <v>16369.5</v>
      </c>
      <c r="J7" s="3" t="n">
        <v>6335.26</v>
      </c>
      <c r="K7" s="3" t="n">
        <v>12670.52</v>
      </c>
      <c r="L7" s="3" t="n">
        <v>3698.98</v>
      </c>
      <c r="M7" s="4" t="n">
        <v>0.226</v>
      </c>
    </row>
    <row r="8">
      <c r="A8" s="2" t="inlineStr">
        <is>
          <t>SKL-00007</t>
        </is>
      </c>
      <c r="B8" s="2" t="inlineStr">
        <is>
          <t>SIP-0002</t>
        </is>
      </c>
      <c r="C8" s="2" t="inlineStr">
        <is>
          <t>YAREND-007</t>
        </is>
      </c>
      <c r="D8" s="5" t="n">
        <v>18</v>
      </c>
      <c r="E8" s="2" t="inlineStr">
        <is>
          <t>Adet</t>
        </is>
      </c>
      <c r="F8" s="3" t="n">
        <v>683.5</v>
      </c>
      <c r="G8" s="4" t="n">
        <v>0.0514</v>
      </c>
      <c r="H8" s="3" t="n">
        <v>648.37</v>
      </c>
      <c r="I8" s="3" t="n">
        <v>11670.66</v>
      </c>
      <c r="J8" s="3" t="n">
        <v>459.17</v>
      </c>
      <c r="K8" s="3" t="n">
        <v>8265.059999999999</v>
      </c>
      <c r="L8" s="3" t="n">
        <v>3405.6</v>
      </c>
      <c r="M8" s="4" t="n">
        <v>0.2918</v>
      </c>
    </row>
    <row r="9">
      <c r="A9" s="2" t="inlineStr">
        <is>
          <t>SKL-00008</t>
        </is>
      </c>
      <c r="B9" s="2" t="inlineStr">
        <is>
          <t>SIP-0002</t>
        </is>
      </c>
      <c r="C9" s="2" t="inlineStr">
        <is>
          <t>ENDVAN-020</t>
        </is>
      </c>
      <c r="D9" s="5" t="n">
        <v>18</v>
      </c>
      <c r="E9" s="2" t="inlineStr">
        <is>
          <t>Adet</t>
        </is>
      </c>
      <c r="F9" s="3" t="n">
        <v>623.2</v>
      </c>
      <c r="G9" s="4" t="n">
        <v>0.07340000000000001</v>
      </c>
      <c r="H9" s="3" t="n">
        <v>577.46</v>
      </c>
      <c r="I9" s="3" t="n">
        <v>10394.28</v>
      </c>
      <c r="J9" s="3" t="n">
        <v>433.62</v>
      </c>
      <c r="K9" s="3" t="n">
        <v>7805.16</v>
      </c>
      <c r="L9" s="3" t="n">
        <v>2589.12</v>
      </c>
      <c r="M9" s="4" t="n">
        <v>0.2491</v>
      </c>
    </row>
    <row r="10">
      <c r="A10" s="2" t="inlineStr">
        <is>
          <t>SKL-00009</t>
        </is>
      </c>
      <c r="B10" s="2" t="inlineStr">
        <is>
          <t>SIP-0003</t>
        </is>
      </c>
      <c r="C10" s="2" t="inlineStr">
        <is>
          <t>ENDVAN-021</t>
        </is>
      </c>
      <c r="D10" s="5" t="n">
        <v>15</v>
      </c>
      <c r="E10" s="2" t="inlineStr">
        <is>
          <t>Adet</t>
        </is>
      </c>
      <c r="F10" s="3" t="n">
        <v>996.88</v>
      </c>
      <c r="G10" s="4" t="n">
        <v>0.0151</v>
      </c>
      <c r="H10" s="3" t="n">
        <v>981.83</v>
      </c>
      <c r="I10" s="3" t="n">
        <v>14727.45</v>
      </c>
      <c r="J10" s="3" t="n">
        <v>736.7</v>
      </c>
      <c r="K10" s="3" t="n">
        <v>11050.5</v>
      </c>
      <c r="L10" s="3" t="n">
        <v>3676.95</v>
      </c>
      <c r="M10" s="4" t="n">
        <v>0.2497</v>
      </c>
    </row>
    <row r="11">
      <c r="A11" s="2" t="inlineStr">
        <is>
          <t>SKL-00010</t>
        </is>
      </c>
      <c r="B11" s="2" t="inlineStr">
        <is>
          <t>SIP-0003</t>
        </is>
      </c>
      <c r="C11" s="2" t="inlineStr">
        <is>
          <t>FLAIZO-002</t>
        </is>
      </c>
      <c r="D11" s="5" t="n">
        <v>31</v>
      </c>
      <c r="E11" s="2" t="inlineStr">
        <is>
          <t>Set</t>
        </is>
      </c>
      <c r="F11" s="3" t="n">
        <v>97.67</v>
      </c>
      <c r="G11" s="4" t="n">
        <v>0.021</v>
      </c>
      <c r="H11" s="3" t="n">
        <v>95.62</v>
      </c>
      <c r="I11" s="3" t="n">
        <v>2964.22</v>
      </c>
      <c r="J11" s="3" t="n">
        <v>54.73</v>
      </c>
      <c r="K11" s="3" t="n">
        <v>1696.63</v>
      </c>
      <c r="L11" s="3" t="n">
        <v>1267.59</v>
      </c>
      <c r="M11" s="4" t="n">
        <v>0.4276</v>
      </c>
    </row>
    <row r="12">
      <c r="A12" s="2" t="inlineStr">
        <is>
          <t>SKL-00011</t>
        </is>
      </c>
      <c r="B12" s="2" t="inlineStr">
        <is>
          <t>SIP-0003</t>
        </is>
      </c>
      <c r="C12" s="2" t="inlineStr">
        <is>
          <t>PROTAN-009</t>
        </is>
      </c>
      <c r="D12" s="5" t="n">
        <v>2</v>
      </c>
      <c r="E12" s="2" t="inlineStr">
        <is>
          <t>Adet</t>
        </is>
      </c>
      <c r="F12" s="3" t="n">
        <v>15812.43</v>
      </c>
      <c r="G12" s="4" t="n">
        <v>0.1068</v>
      </c>
      <c r="H12" s="3" t="n">
        <v>14123.66</v>
      </c>
      <c r="I12" s="3" t="n">
        <v>28247.32</v>
      </c>
      <c r="J12" s="3" t="n">
        <v>12443.59</v>
      </c>
      <c r="K12" s="3" t="n">
        <v>24887.18</v>
      </c>
      <c r="L12" s="3" t="n">
        <v>3360.14</v>
      </c>
      <c r="M12" s="4" t="n">
        <v>0.119</v>
      </c>
    </row>
    <row r="13">
      <c r="A13" s="2" t="inlineStr">
        <is>
          <t>SKL-00012</t>
        </is>
      </c>
      <c r="B13" s="2" t="inlineStr">
        <is>
          <t>SIP-0003</t>
        </is>
      </c>
      <c r="C13" s="2" t="inlineStr">
        <is>
          <t>PROTAN-006</t>
        </is>
      </c>
      <c r="D13" s="5" t="n">
        <v>2</v>
      </c>
      <c r="E13" s="2" t="inlineStr">
        <is>
          <t>Adet</t>
        </is>
      </c>
      <c r="F13" s="3" t="n">
        <v>12876.6</v>
      </c>
      <c r="G13" s="4" t="n">
        <v>0.0051</v>
      </c>
      <c r="H13" s="3" t="n">
        <v>12810.93</v>
      </c>
      <c r="I13" s="3" t="n">
        <v>25621.86</v>
      </c>
      <c r="J13" s="3" t="n">
        <v>9915.59</v>
      </c>
      <c r="K13" s="3" t="n">
        <v>19831.18</v>
      </c>
      <c r="L13" s="3" t="n">
        <v>5790.68</v>
      </c>
      <c r="M13" s="4" t="n">
        <v>0.226</v>
      </c>
    </row>
    <row r="14">
      <c r="A14" s="2" t="inlineStr">
        <is>
          <t>SKL-00013</t>
        </is>
      </c>
      <c r="B14" s="2" t="inlineStr">
        <is>
          <t>SIP-0003</t>
        </is>
      </c>
      <c r="C14" s="2" t="inlineStr">
        <is>
          <t>YAREND-013</t>
        </is>
      </c>
      <c r="D14" s="5" t="n">
        <v>2</v>
      </c>
      <c r="E14" s="2" t="inlineStr">
        <is>
          <t>Adet</t>
        </is>
      </c>
      <c r="F14" s="3" t="n">
        <v>565.89</v>
      </c>
      <c r="G14" s="4" t="n">
        <v>0.0331</v>
      </c>
      <c r="H14" s="3" t="n">
        <v>547.16</v>
      </c>
      <c r="I14" s="3" t="n">
        <v>1094.32</v>
      </c>
      <c r="J14" s="3" t="n">
        <v>387.77</v>
      </c>
      <c r="K14" s="3" t="n">
        <v>775.54</v>
      </c>
      <c r="L14" s="3" t="n">
        <v>318.78</v>
      </c>
      <c r="M14" s="4" t="n">
        <v>0.2913</v>
      </c>
    </row>
    <row r="15">
      <c r="A15" s="2" t="inlineStr">
        <is>
          <t>SKL-00014</t>
        </is>
      </c>
      <c r="B15" s="2" t="inlineStr">
        <is>
          <t>SIP-0004</t>
        </is>
      </c>
      <c r="C15" s="2" t="inlineStr">
        <is>
          <t>PROTAN-001</t>
        </is>
      </c>
      <c r="D15" s="5" t="n">
        <v>1</v>
      </c>
      <c r="E15" s="2" t="inlineStr">
        <is>
          <t>Adet</t>
        </is>
      </c>
      <c r="F15" s="3" t="n">
        <v>22310.37</v>
      </c>
      <c r="G15" s="4" t="n">
        <v>0.0883</v>
      </c>
      <c r="H15" s="3" t="n">
        <v>20340.36</v>
      </c>
      <c r="I15" s="3" t="n">
        <v>20340.36</v>
      </c>
      <c r="J15" s="3" t="n">
        <v>16498.05</v>
      </c>
      <c r="K15" s="3" t="n">
        <v>16498.05</v>
      </c>
      <c r="L15" s="3" t="n">
        <v>3842.31</v>
      </c>
      <c r="M15" s="4" t="n">
        <v>0.1889</v>
      </c>
    </row>
    <row r="16">
      <c r="A16" s="2" t="inlineStr">
        <is>
          <t>SKL-00015</t>
        </is>
      </c>
      <c r="B16" s="2" t="inlineStr">
        <is>
          <t>SIP-0004</t>
        </is>
      </c>
      <c r="C16" s="2" t="inlineStr">
        <is>
          <t>FLAIZO-013</t>
        </is>
      </c>
      <c r="D16" s="5" t="n">
        <v>41</v>
      </c>
      <c r="E16" s="2" t="inlineStr">
        <is>
          <t>Set</t>
        </is>
      </c>
      <c r="F16" s="3" t="n">
        <v>38.16</v>
      </c>
      <c r="G16" s="4" t="n">
        <v>0.0091</v>
      </c>
      <c r="H16" s="3" t="n">
        <v>37.81</v>
      </c>
      <c r="I16" s="3" t="n">
        <v>1550.21</v>
      </c>
      <c r="J16" s="3" t="n">
        <v>19.05</v>
      </c>
      <c r="K16" s="3" t="n">
        <v>781.05</v>
      </c>
      <c r="L16" s="3" t="n">
        <v>769.16</v>
      </c>
      <c r="M16" s="4" t="n">
        <v>0.4962</v>
      </c>
    </row>
    <row r="17">
      <c r="A17" s="2" t="inlineStr">
        <is>
          <t>SKL-00016</t>
        </is>
      </c>
      <c r="B17" s="2" t="inlineStr">
        <is>
          <t>SIP-0005</t>
        </is>
      </c>
      <c r="C17" s="2" t="inlineStr">
        <is>
          <t>ENDVAN-022</t>
        </is>
      </c>
      <c r="D17" s="5" t="n">
        <v>5</v>
      </c>
      <c r="E17" s="2" t="inlineStr">
        <is>
          <t>Adet</t>
        </is>
      </c>
      <c r="F17" s="3" t="n">
        <v>220.11</v>
      </c>
      <c r="G17" s="4" t="n">
        <v>0.0237</v>
      </c>
      <c r="H17" s="3" t="n">
        <v>214.89</v>
      </c>
      <c r="I17" s="3" t="n">
        <v>1074.45</v>
      </c>
      <c r="J17" s="3" t="n">
        <v>163.9</v>
      </c>
      <c r="K17" s="3" t="n">
        <v>819.5</v>
      </c>
      <c r="L17" s="3" t="n">
        <v>254.95</v>
      </c>
      <c r="M17" s="4" t="n">
        <v>0.2373</v>
      </c>
    </row>
    <row r="18">
      <c r="A18" s="2" t="inlineStr">
        <is>
          <t>SKL-00017</t>
        </is>
      </c>
      <c r="B18" s="2" t="inlineStr">
        <is>
          <t>SIP-0005</t>
        </is>
      </c>
      <c r="C18" s="2" t="inlineStr">
        <is>
          <t>FLAIZO-014</t>
        </is>
      </c>
      <c r="D18" s="5" t="n">
        <v>74</v>
      </c>
      <c r="E18" s="2" t="inlineStr">
        <is>
          <t>Set</t>
        </is>
      </c>
      <c r="F18" s="3" t="n">
        <v>57.29</v>
      </c>
      <c r="G18" s="4" t="n">
        <v>0.019</v>
      </c>
      <c r="H18" s="3" t="n">
        <v>56.2</v>
      </c>
      <c r="I18" s="3" t="n">
        <v>4158.8</v>
      </c>
      <c r="J18" s="3" t="n">
        <v>32.61</v>
      </c>
      <c r="K18" s="3" t="n">
        <v>2413.14</v>
      </c>
      <c r="L18" s="3" t="n">
        <v>1745.66</v>
      </c>
      <c r="M18" s="4" t="n">
        <v>0.4198</v>
      </c>
    </row>
    <row r="19">
      <c r="A19" s="2" t="inlineStr">
        <is>
          <t>SKL-00018</t>
        </is>
      </c>
      <c r="B19" s="2" t="inlineStr">
        <is>
          <t>SIP-0005</t>
        </is>
      </c>
      <c r="C19" s="2" t="inlineStr">
        <is>
          <t>FLAIZO-011</t>
        </is>
      </c>
      <c r="D19" s="5" t="n">
        <v>43</v>
      </c>
      <c r="E19" s="2" t="inlineStr">
        <is>
          <t>Set</t>
        </is>
      </c>
      <c r="F19" s="3" t="n">
        <v>157.77</v>
      </c>
      <c r="G19" s="4" t="n">
        <v>0.0907</v>
      </c>
      <c r="H19" s="3" t="n">
        <v>143.46</v>
      </c>
      <c r="I19" s="3" t="n">
        <v>6168.78</v>
      </c>
      <c r="J19" s="3" t="n">
        <v>86.27</v>
      </c>
      <c r="K19" s="3" t="n">
        <v>3709.61</v>
      </c>
      <c r="L19" s="3" t="n">
        <v>2459.17</v>
      </c>
      <c r="M19" s="4" t="n">
        <v>0.3986</v>
      </c>
    </row>
    <row r="20">
      <c r="A20" s="2" t="inlineStr">
        <is>
          <t>SKL-00019</t>
        </is>
      </c>
      <c r="B20" s="2" t="inlineStr">
        <is>
          <t>SIP-0005</t>
        </is>
      </c>
      <c r="C20" s="2" t="inlineStr">
        <is>
          <t>ENDVAN-012</t>
        </is>
      </c>
      <c r="D20" s="5" t="n">
        <v>7</v>
      </c>
      <c r="E20" s="2" t="inlineStr">
        <is>
          <t>Adet</t>
        </is>
      </c>
      <c r="F20" s="3" t="n">
        <v>357.88</v>
      </c>
      <c r="G20" s="4" t="n">
        <v>0.1029</v>
      </c>
      <c r="H20" s="3" t="n">
        <v>321.05</v>
      </c>
      <c r="I20" s="3" t="n">
        <v>2247.35</v>
      </c>
      <c r="J20" s="3" t="n">
        <v>281.71</v>
      </c>
      <c r="K20" s="3" t="n">
        <v>1971.97</v>
      </c>
      <c r="L20" s="3" t="n">
        <v>275.38</v>
      </c>
      <c r="M20" s="4" t="n">
        <v>0.1225</v>
      </c>
    </row>
    <row r="21">
      <c r="A21" s="2" t="inlineStr">
        <is>
          <t>SKL-00020</t>
        </is>
      </c>
      <c r="B21" s="2" t="inlineStr">
        <is>
          <t>SIP-0006</t>
        </is>
      </c>
      <c r="C21" s="2" t="inlineStr">
        <is>
          <t>FLAIZO-003</t>
        </is>
      </c>
      <c r="D21" s="5" t="n">
        <v>82</v>
      </c>
      <c r="E21" s="2" t="inlineStr">
        <is>
          <t>Set</t>
        </is>
      </c>
      <c r="F21" s="3" t="n">
        <v>146.6</v>
      </c>
      <c r="G21" s="4" t="n">
        <v>0.0513</v>
      </c>
      <c r="H21" s="3" t="n">
        <v>139.08</v>
      </c>
      <c r="I21" s="3" t="n">
        <v>11404.56</v>
      </c>
      <c r="J21" s="3" t="n">
        <v>90.26000000000001</v>
      </c>
      <c r="K21" s="3" t="n">
        <v>7401.32</v>
      </c>
      <c r="L21" s="3" t="n">
        <v>4003.24</v>
      </c>
      <c r="M21" s="4" t="n">
        <v>0.351</v>
      </c>
    </row>
    <row r="22">
      <c r="A22" s="2" t="inlineStr">
        <is>
          <t>SKL-00021</t>
        </is>
      </c>
      <c r="B22" s="2" t="inlineStr">
        <is>
          <t>SIP-0006</t>
        </is>
      </c>
      <c r="C22" s="2" t="inlineStr">
        <is>
          <t>ENDVAN-013</t>
        </is>
      </c>
      <c r="D22" s="5" t="n">
        <v>14</v>
      </c>
      <c r="E22" s="2" t="inlineStr">
        <is>
          <t>Adet</t>
        </is>
      </c>
      <c r="F22" s="3" t="n">
        <v>1665.94</v>
      </c>
      <c r="G22" s="4" t="n">
        <v>0.014</v>
      </c>
      <c r="H22" s="3" t="n">
        <v>1642.62</v>
      </c>
      <c r="I22" s="3" t="n">
        <v>22996.68</v>
      </c>
      <c r="J22" s="3" t="n">
        <v>1133.86</v>
      </c>
      <c r="K22" s="3" t="n">
        <v>15874.04</v>
      </c>
      <c r="L22" s="3" t="n">
        <v>7122.64</v>
      </c>
      <c r="M22" s="4" t="n">
        <v>0.3097</v>
      </c>
    </row>
    <row r="23">
      <c r="A23" s="2" t="inlineStr">
        <is>
          <t>SKL-00022</t>
        </is>
      </c>
      <c r="B23" s="2" t="inlineStr">
        <is>
          <t>SIP-0006</t>
        </is>
      </c>
      <c r="C23" s="2" t="inlineStr">
        <is>
          <t>ENDVAN-020</t>
        </is>
      </c>
      <c r="D23" s="5" t="n">
        <v>2</v>
      </c>
      <c r="E23" s="2" t="inlineStr">
        <is>
          <t>Adet</t>
        </is>
      </c>
      <c r="F23" s="3" t="n">
        <v>590.67</v>
      </c>
      <c r="G23" s="4" t="n">
        <v>0.0463</v>
      </c>
      <c r="H23" s="3" t="n">
        <v>563.3200000000001</v>
      </c>
      <c r="I23" s="3" t="n">
        <v>1126.64</v>
      </c>
      <c r="J23" s="3" t="n">
        <v>433.62</v>
      </c>
      <c r="K23" s="3" t="n">
        <v>867.24</v>
      </c>
      <c r="L23" s="3" t="n">
        <v>259.4</v>
      </c>
      <c r="M23" s="4" t="n">
        <v>0.2302</v>
      </c>
    </row>
    <row r="24">
      <c r="A24" s="2" t="inlineStr">
        <is>
          <t>SKL-00023</t>
        </is>
      </c>
      <c r="B24" s="2" t="inlineStr">
        <is>
          <t>SIP-0006</t>
        </is>
      </c>
      <c r="C24" s="2" t="inlineStr">
        <is>
          <t>ENDVAN-023</t>
        </is>
      </c>
      <c r="D24" s="5" t="n">
        <v>24</v>
      </c>
      <c r="E24" s="2" t="inlineStr">
        <is>
          <t>Adet</t>
        </is>
      </c>
      <c r="F24" s="3" t="n">
        <v>1091.09</v>
      </c>
      <c r="G24" s="4" t="n">
        <v>0.0068</v>
      </c>
      <c r="H24" s="3" t="n">
        <v>1083.67</v>
      </c>
      <c r="I24" s="3" t="n">
        <v>26008.08</v>
      </c>
      <c r="J24" s="3" t="n">
        <v>763.0599999999999</v>
      </c>
      <c r="K24" s="3" t="n">
        <v>18313.44</v>
      </c>
      <c r="L24" s="3" t="n">
        <v>7694.64</v>
      </c>
      <c r="M24" s="4" t="n">
        <v>0.2959</v>
      </c>
    </row>
    <row r="25">
      <c r="A25" s="2" t="inlineStr">
        <is>
          <t>SKL-00024</t>
        </is>
      </c>
      <c r="B25" s="2" t="inlineStr">
        <is>
          <t>SIP-0006</t>
        </is>
      </c>
      <c r="C25" s="2" t="inlineStr">
        <is>
          <t>MEKSIZ-002</t>
        </is>
      </c>
      <c r="D25" s="5" t="n">
        <v>23</v>
      </c>
      <c r="E25" s="2" t="inlineStr">
        <is>
          <t>Adet</t>
        </is>
      </c>
      <c r="F25" s="3" t="n">
        <v>496.78</v>
      </c>
      <c r="G25" s="4" t="n">
        <v>0.1037</v>
      </c>
      <c r="H25" s="3" t="n">
        <v>445.26</v>
      </c>
      <c r="I25" s="3" t="n">
        <v>10240.98</v>
      </c>
      <c r="J25" s="3" t="n">
        <v>343.25</v>
      </c>
      <c r="K25" s="3" t="n">
        <v>7894.75</v>
      </c>
      <c r="L25" s="3" t="n">
        <v>2346.23</v>
      </c>
      <c r="M25" s="4" t="n">
        <v>0.2291</v>
      </c>
    </row>
    <row r="26">
      <c r="A26" s="2" t="inlineStr">
        <is>
          <t>SKL-00025</t>
        </is>
      </c>
      <c r="B26" s="2" t="inlineStr">
        <is>
          <t>SIP-0007</t>
        </is>
      </c>
      <c r="C26" s="2" t="inlineStr">
        <is>
          <t>YAREND-010</t>
        </is>
      </c>
      <c r="D26" s="5" t="n">
        <v>12</v>
      </c>
      <c r="E26" s="2" t="inlineStr">
        <is>
          <t>Adet</t>
        </is>
      </c>
      <c r="F26" s="3" t="n">
        <v>919.33</v>
      </c>
      <c r="G26" s="4" t="n">
        <v>0.019</v>
      </c>
      <c r="H26" s="3" t="n">
        <v>901.86</v>
      </c>
      <c r="I26" s="3" t="n">
        <v>10822.32</v>
      </c>
      <c r="J26" s="3" t="n">
        <v>593.24</v>
      </c>
      <c r="K26" s="3" t="n">
        <v>7118.88</v>
      </c>
      <c r="L26" s="3" t="n">
        <v>3703.44</v>
      </c>
      <c r="M26" s="4" t="n">
        <v>0.3422</v>
      </c>
    </row>
    <row r="27">
      <c r="A27" s="2" t="inlineStr">
        <is>
          <t>SKL-00026</t>
        </is>
      </c>
      <c r="B27" s="2" t="inlineStr">
        <is>
          <t>SIP-0007</t>
        </is>
      </c>
      <c r="C27" s="2" t="inlineStr">
        <is>
          <t>YAREND-013</t>
        </is>
      </c>
      <c r="D27" s="5" t="n">
        <v>6</v>
      </c>
      <c r="E27" s="2" t="inlineStr">
        <is>
          <t>Adet</t>
        </is>
      </c>
      <c r="F27" s="3" t="n">
        <v>541.84</v>
      </c>
      <c r="G27" s="4" t="n">
        <v>0.0757</v>
      </c>
      <c r="H27" s="3" t="n">
        <v>500.82</v>
      </c>
      <c r="I27" s="3" t="n">
        <v>3004.92</v>
      </c>
      <c r="J27" s="3" t="n">
        <v>387.77</v>
      </c>
      <c r="K27" s="3" t="n">
        <v>2326.62</v>
      </c>
      <c r="L27" s="3" t="n">
        <v>678.3</v>
      </c>
      <c r="M27" s="4" t="n">
        <v>0.2257</v>
      </c>
    </row>
    <row r="28">
      <c r="A28" s="2" t="inlineStr">
        <is>
          <t>SKL-00027</t>
        </is>
      </c>
      <c r="B28" s="2" t="inlineStr">
        <is>
          <t>SIP-0007</t>
        </is>
      </c>
      <c r="C28" s="2" t="inlineStr">
        <is>
          <t>ENDVAN-012</t>
        </is>
      </c>
      <c r="D28" s="5" t="n">
        <v>2</v>
      </c>
      <c r="E28" s="2" t="inlineStr">
        <is>
          <t>Adet</t>
        </is>
      </c>
      <c r="F28" s="3" t="n">
        <v>345.62</v>
      </c>
      <c r="G28" s="4" t="n">
        <v>0.0566</v>
      </c>
      <c r="H28" s="3" t="n">
        <v>326.06</v>
      </c>
      <c r="I28" s="3" t="n">
        <v>652.12</v>
      </c>
      <c r="J28" s="3" t="n">
        <v>281.71</v>
      </c>
      <c r="K28" s="3" t="n">
        <v>563.42</v>
      </c>
      <c r="L28" s="3" t="n">
        <v>88.7</v>
      </c>
      <c r="M28" s="4" t="n">
        <v>0.136</v>
      </c>
    </row>
    <row r="29">
      <c r="A29" s="2" t="inlineStr">
        <is>
          <t>SKL-00028</t>
        </is>
      </c>
      <c r="B29" s="2" t="inlineStr">
        <is>
          <t>SIP-0007</t>
        </is>
      </c>
      <c r="C29" s="2" t="inlineStr">
        <is>
          <t>FLAIZO-007</t>
        </is>
      </c>
      <c r="D29" s="5" t="n">
        <v>83</v>
      </c>
      <c r="E29" s="2" t="inlineStr">
        <is>
          <t>Set</t>
        </is>
      </c>
      <c r="F29" s="3" t="n">
        <v>116.75</v>
      </c>
      <c r="G29" s="4" t="n">
        <v>0.0983</v>
      </c>
      <c r="H29" s="3" t="n">
        <v>105.27</v>
      </c>
      <c r="I29" s="3" t="n">
        <v>8737.41</v>
      </c>
      <c r="J29" s="3" t="n">
        <v>70.09</v>
      </c>
      <c r="K29" s="3" t="n">
        <v>5817.47</v>
      </c>
      <c r="L29" s="3" t="n">
        <v>2919.94</v>
      </c>
      <c r="M29" s="4" t="n">
        <v>0.3342</v>
      </c>
    </row>
    <row r="30">
      <c r="A30" s="2" t="inlineStr">
        <is>
          <t>SKL-00029</t>
        </is>
      </c>
      <c r="B30" s="2" t="inlineStr">
        <is>
          <t>SIP-0007</t>
        </is>
      </c>
      <c r="C30" s="2" t="inlineStr">
        <is>
          <t>ENDVAN-011</t>
        </is>
      </c>
      <c r="D30" s="5" t="n">
        <v>3</v>
      </c>
      <c r="E30" s="2" t="inlineStr">
        <is>
          <t>Adet</t>
        </is>
      </c>
      <c r="F30" s="3" t="n">
        <v>889.77</v>
      </c>
      <c r="G30" s="4" t="n">
        <v>0.1076</v>
      </c>
      <c r="H30" s="3" t="n">
        <v>794.03</v>
      </c>
      <c r="I30" s="3" t="n">
        <v>2382.09</v>
      </c>
      <c r="J30" s="3" t="n">
        <v>615.55</v>
      </c>
      <c r="K30" s="3" t="n">
        <v>1846.65</v>
      </c>
      <c r="L30" s="3" t="n">
        <v>535.4400000000001</v>
      </c>
      <c r="M30" s="4" t="n">
        <v>0.2248</v>
      </c>
    </row>
    <row r="31">
      <c r="A31" s="2" t="inlineStr">
        <is>
          <t>SKL-00030</t>
        </is>
      </c>
      <c r="B31" s="2" t="inlineStr">
        <is>
          <t>SIP-0008</t>
        </is>
      </c>
      <c r="C31" s="2" t="inlineStr">
        <is>
          <t>ENDVAN-033</t>
        </is>
      </c>
      <c r="D31" s="5" t="n">
        <v>13</v>
      </c>
      <c r="E31" s="2" t="inlineStr">
        <is>
          <t>Adet</t>
        </is>
      </c>
      <c r="F31" s="3" t="n">
        <v>1786.7</v>
      </c>
      <c r="G31" s="4" t="n">
        <v>0.065</v>
      </c>
      <c r="H31" s="3" t="n">
        <v>1670.56</v>
      </c>
      <c r="I31" s="3" t="n">
        <v>21717.28</v>
      </c>
      <c r="J31" s="3" t="n">
        <v>1125.6</v>
      </c>
      <c r="K31" s="3" t="n">
        <v>14632.8</v>
      </c>
      <c r="L31" s="3" t="n">
        <v>7084.48</v>
      </c>
      <c r="M31" s="4" t="n">
        <v>0.3262</v>
      </c>
    </row>
    <row r="32">
      <c r="A32" s="2" t="inlineStr">
        <is>
          <t>SKL-00031</t>
        </is>
      </c>
      <c r="B32" s="2" t="inlineStr">
        <is>
          <t>SIP-0008</t>
        </is>
      </c>
      <c r="C32" s="2" t="inlineStr">
        <is>
          <t>ENDVAN-001</t>
        </is>
      </c>
      <c r="D32" s="5" t="n">
        <v>9</v>
      </c>
      <c r="E32" s="2" t="inlineStr">
        <is>
          <t>Adet</t>
        </is>
      </c>
      <c r="F32" s="3" t="n">
        <v>282.13</v>
      </c>
      <c r="G32" s="4" t="n">
        <v>0.0314</v>
      </c>
      <c r="H32" s="3" t="n">
        <v>273.27</v>
      </c>
      <c r="I32" s="3" t="n">
        <v>2459.43</v>
      </c>
      <c r="J32" s="3" t="n">
        <v>192.02</v>
      </c>
      <c r="K32" s="3" t="n">
        <v>1728.18</v>
      </c>
      <c r="L32" s="3" t="n">
        <v>731.25</v>
      </c>
      <c r="M32" s="4" t="n">
        <v>0.2973</v>
      </c>
    </row>
    <row r="33">
      <c r="A33" s="2" t="inlineStr">
        <is>
          <t>SKL-00032</t>
        </is>
      </c>
      <c r="B33" s="2" t="inlineStr">
        <is>
          <t>SIP-0008</t>
        </is>
      </c>
      <c r="C33" s="2" t="inlineStr">
        <is>
          <t>ENDVAN-022</t>
        </is>
      </c>
      <c r="D33" s="5" t="n">
        <v>18</v>
      </c>
      <c r="E33" s="2" t="inlineStr">
        <is>
          <t>Adet</t>
        </is>
      </c>
      <c r="F33" s="3" t="n">
        <v>202.37</v>
      </c>
      <c r="G33" s="4" t="n">
        <v>0.0369</v>
      </c>
      <c r="H33" s="3" t="n">
        <v>194.9</v>
      </c>
      <c r="I33" s="3" t="n">
        <v>3508.2</v>
      </c>
      <c r="J33" s="3" t="n">
        <v>163.9</v>
      </c>
      <c r="K33" s="3" t="n">
        <v>2950.2</v>
      </c>
      <c r="L33" s="3" t="n">
        <v>558</v>
      </c>
      <c r="M33" s="4" t="n">
        <v>0.1591</v>
      </c>
    </row>
    <row r="34">
      <c r="A34" s="2" t="inlineStr">
        <is>
          <t>SKL-00033</t>
        </is>
      </c>
      <c r="B34" s="2" t="inlineStr">
        <is>
          <t>SIP-0008</t>
        </is>
      </c>
      <c r="C34" s="2" t="inlineStr">
        <is>
          <t>MEKSIZ-004</t>
        </is>
      </c>
      <c r="D34" s="5" t="n">
        <v>7</v>
      </c>
      <c r="E34" s="2" t="inlineStr">
        <is>
          <t>Adet</t>
        </is>
      </c>
      <c r="F34" s="3" t="n">
        <v>254.76</v>
      </c>
      <c r="G34" s="4" t="n">
        <v>0.0544</v>
      </c>
      <c r="H34" s="3" t="n">
        <v>240.9</v>
      </c>
      <c r="I34" s="3" t="n">
        <v>1686.3</v>
      </c>
      <c r="J34" s="3" t="n">
        <v>164.52</v>
      </c>
      <c r="K34" s="3" t="n">
        <v>1151.64</v>
      </c>
      <c r="L34" s="3" t="n">
        <v>534.66</v>
      </c>
      <c r="M34" s="4" t="n">
        <v>0.3171</v>
      </c>
    </row>
    <row r="35">
      <c r="A35" s="2" t="inlineStr">
        <is>
          <t>SKL-00034</t>
        </is>
      </c>
      <c r="B35" s="2" t="inlineStr">
        <is>
          <t>SIP-0008</t>
        </is>
      </c>
      <c r="C35" s="2" t="inlineStr">
        <is>
          <t>MEKSIZ-012</t>
        </is>
      </c>
      <c r="D35" s="5" t="n">
        <v>11</v>
      </c>
      <c r="E35" s="2" t="inlineStr">
        <is>
          <t>Adet</t>
        </is>
      </c>
      <c r="F35" s="3" t="n">
        <v>440.06</v>
      </c>
      <c r="G35" s="4" t="n">
        <v>0.0608</v>
      </c>
      <c r="H35" s="3" t="n">
        <v>413.3</v>
      </c>
      <c r="I35" s="3" t="n">
        <v>4546.3</v>
      </c>
      <c r="J35" s="3" t="n">
        <v>282.12</v>
      </c>
      <c r="K35" s="3" t="n">
        <v>3103.32</v>
      </c>
      <c r="L35" s="3" t="n">
        <v>1442.98</v>
      </c>
      <c r="M35" s="4" t="n">
        <v>0.3174</v>
      </c>
    </row>
    <row r="36">
      <c r="A36" s="2" t="inlineStr">
        <is>
          <t>SKL-00035</t>
        </is>
      </c>
      <c r="B36" s="2" t="inlineStr">
        <is>
          <t>SIP-0009</t>
        </is>
      </c>
      <c r="C36" s="2" t="inlineStr">
        <is>
          <t>ENDVAN-015</t>
        </is>
      </c>
      <c r="D36" s="5" t="n">
        <v>13</v>
      </c>
      <c r="E36" s="2" t="inlineStr">
        <is>
          <t>Adet</t>
        </is>
      </c>
      <c r="F36" s="3" t="n">
        <v>1511.94</v>
      </c>
      <c r="G36" s="4" t="n">
        <v>0.0643</v>
      </c>
      <c r="H36" s="3" t="n">
        <v>1414.72</v>
      </c>
      <c r="I36" s="3" t="n">
        <v>18391.36</v>
      </c>
      <c r="J36" s="3" t="n">
        <v>1019.05</v>
      </c>
      <c r="K36" s="3" t="n">
        <v>13247.65</v>
      </c>
      <c r="L36" s="3" t="n">
        <v>5143.71</v>
      </c>
      <c r="M36" s="4" t="n">
        <v>0.2797</v>
      </c>
    </row>
    <row r="37">
      <c r="A37" s="2" t="inlineStr">
        <is>
          <t>SKL-00036</t>
        </is>
      </c>
      <c r="B37" s="2" t="inlineStr">
        <is>
          <t>SIP-0009</t>
        </is>
      </c>
      <c r="C37" s="2" t="inlineStr">
        <is>
          <t>YAREND-013</t>
        </is>
      </c>
      <c r="D37" s="5" t="n">
        <v>4</v>
      </c>
      <c r="E37" s="2" t="inlineStr">
        <is>
          <t>Adet</t>
        </is>
      </c>
      <c r="F37" s="3" t="n">
        <v>580.3</v>
      </c>
      <c r="G37" s="4" t="n">
        <v>0.096</v>
      </c>
      <c r="H37" s="3" t="n">
        <v>524.59</v>
      </c>
      <c r="I37" s="3" t="n">
        <v>2098.36</v>
      </c>
      <c r="J37" s="3" t="n">
        <v>387.77</v>
      </c>
      <c r="K37" s="3" t="n">
        <v>1551.08</v>
      </c>
      <c r="L37" s="3" t="n">
        <v>547.28</v>
      </c>
      <c r="M37" s="4" t="n">
        <v>0.2608</v>
      </c>
    </row>
    <row r="38">
      <c r="A38" s="2" t="inlineStr">
        <is>
          <t>SKL-00037</t>
        </is>
      </c>
      <c r="B38" s="2" t="inlineStr">
        <is>
          <t>SIP-0009</t>
        </is>
      </c>
      <c r="C38" s="2" t="inlineStr">
        <is>
          <t>FLAIZO-012</t>
        </is>
      </c>
      <c r="D38" s="5" t="n">
        <v>32</v>
      </c>
      <c r="E38" s="2" t="inlineStr">
        <is>
          <t>Set</t>
        </is>
      </c>
      <c r="F38" s="3" t="n">
        <v>46.2</v>
      </c>
      <c r="G38" s="4" t="n">
        <v>0.008999999999999999</v>
      </c>
      <c r="H38" s="3" t="n">
        <v>45.78</v>
      </c>
      <c r="I38" s="3" t="n">
        <v>1464.96</v>
      </c>
      <c r="J38" s="3" t="n">
        <v>30.33</v>
      </c>
      <c r="K38" s="3" t="n">
        <v>970.5599999999999</v>
      </c>
      <c r="L38" s="3" t="n">
        <v>494.4</v>
      </c>
      <c r="M38" s="4" t="n">
        <v>0.3375</v>
      </c>
    </row>
    <row r="39">
      <c r="A39" s="2" t="inlineStr">
        <is>
          <t>SKL-00038</t>
        </is>
      </c>
      <c r="B39" s="2" t="inlineStr">
        <is>
          <t>SIP-0009</t>
        </is>
      </c>
      <c r="C39" s="2" t="inlineStr">
        <is>
          <t>FLAIZO-006</t>
        </is>
      </c>
      <c r="D39" s="5" t="n">
        <v>78</v>
      </c>
      <c r="E39" s="2" t="inlineStr">
        <is>
          <t>Set</t>
        </is>
      </c>
      <c r="F39" s="3" t="n">
        <v>60.25</v>
      </c>
      <c r="G39" s="4" t="n">
        <v>0.0355</v>
      </c>
      <c r="H39" s="3" t="n">
        <v>58.11</v>
      </c>
      <c r="I39" s="3" t="n">
        <v>4532.58</v>
      </c>
      <c r="J39" s="3" t="n">
        <v>41.17</v>
      </c>
      <c r="K39" s="3" t="n">
        <v>3211.26</v>
      </c>
      <c r="L39" s="3" t="n">
        <v>1321.32</v>
      </c>
      <c r="M39" s="4" t="n">
        <v>0.2915</v>
      </c>
    </row>
    <row r="40">
      <c r="A40" s="2" t="inlineStr">
        <is>
          <t>SKL-00039</t>
        </is>
      </c>
      <c r="B40" s="2" t="inlineStr">
        <is>
          <t>SIP-0009</t>
        </is>
      </c>
      <c r="C40" s="2" t="inlineStr">
        <is>
          <t>ENDVAN-024</t>
        </is>
      </c>
      <c r="D40" s="5" t="n">
        <v>18</v>
      </c>
      <c r="E40" s="2" t="inlineStr">
        <is>
          <t>Adet</t>
        </is>
      </c>
      <c r="F40" s="3" t="n">
        <v>1733.97</v>
      </c>
      <c r="G40" s="4" t="n">
        <v>0.0484</v>
      </c>
      <c r="H40" s="3" t="n">
        <v>1650.05</v>
      </c>
      <c r="I40" s="3" t="n">
        <v>29700.9</v>
      </c>
      <c r="J40" s="3" t="n">
        <v>1156.64</v>
      </c>
      <c r="K40" s="3" t="n">
        <v>20819.52</v>
      </c>
      <c r="L40" s="3" t="n">
        <v>8881.379999999999</v>
      </c>
      <c r="M40" s="4" t="n">
        <v>0.299</v>
      </c>
    </row>
    <row r="41">
      <c r="A41" s="2" t="inlineStr">
        <is>
          <t>SKL-00040</t>
        </is>
      </c>
      <c r="B41" s="2" t="inlineStr">
        <is>
          <t>SIP-0009</t>
        </is>
      </c>
      <c r="C41" s="2" t="inlineStr">
        <is>
          <t>ENDVAN-034</t>
        </is>
      </c>
      <c r="D41" s="5" t="n">
        <v>6</v>
      </c>
      <c r="E41" s="2" t="inlineStr">
        <is>
          <t>Adet</t>
        </is>
      </c>
      <c r="F41" s="3" t="n">
        <v>779.41</v>
      </c>
      <c r="G41" s="4" t="n">
        <v>0.0286</v>
      </c>
      <c r="H41" s="3" t="n">
        <v>757.12</v>
      </c>
      <c r="I41" s="3" t="n">
        <v>4542.72</v>
      </c>
      <c r="J41" s="3" t="n">
        <v>595.41</v>
      </c>
      <c r="K41" s="3" t="n">
        <v>3572.46</v>
      </c>
      <c r="L41" s="3" t="n">
        <v>970.26</v>
      </c>
      <c r="M41" s="4" t="n">
        <v>0.2136</v>
      </c>
    </row>
    <row r="42">
      <c r="A42" s="2" t="inlineStr">
        <is>
          <t>SKL-00041</t>
        </is>
      </c>
      <c r="B42" s="2" t="inlineStr">
        <is>
          <t>SIP-0010</t>
        </is>
      </c>
      <c r="C42" s="2" t="inlineStr">
        <is>
          <t>MEKSIZ-001</t>
        </is>
      </c>
      <c r="D42" s="5" t="n">
        <v>14</v>
      </c>
      <c r="E42" s="2" t="inlineStr">
        <is>
          <t>Adet</t>
        </is>
      </c>
      <c r="F42" s="3" t="n">
        <v>616.39</v>
      </c>
      <c r="G42" s="4" t="n">
        <v>0.08749999999999999</v>
      </c>
      <c r="H42" s="3" t="n">
        <v>562.46</v>
      </c>
      <c r="I42" s="3" t="n">
        <v>7874.44</v>
      </c>
      <c r="J42" s="3" t="n">
        <v>372.57</v>
      </c>
      <c r="K42" s="3" t="n">
        <v>5215.98</v>
      </c>
      <c r="L42" s="3" t="n">
        <v>2658.46</v>
      </c>
      <c r="M42" s="4" t="n">
        <v>0.3376</v>
      </c>
    </row>
    <row r="43">
      <c r="A43" s="2" t="inlineStr">
        <is>
          <t>SKL-00042</t>
        </is>
      </c>
      <c r="B43" s="2" t="inlineStr">
        <is>
          <t>SIP-0010</t>
        </is>
      </c>
      <c r="C43" s="2" t="inlineStr">
        <is>
          <t>ENDVAN-032</t>
        </is>
      </c>
      <c r="D43" s="5" t="n">
        <v>15</v>
      </c>
      <c r="E43" s="2" t="inlineStr">
        <is>
          <t>Adet</t>
        </is>
      </c>
      <c r="F43" s="3" t="n">
        <v>982.63</v>
      </c>
      <c r="G43" s="4" t="n">
        <v>0.0296</v>
      </c>
      <c r="H43" s="3" t="n">
        <v>953.54</v>
      </c>
      <c r="I43" s="3" t="n">
        <v>14303.1</v>
      </c>
      <c r="J43" s="3" t="n">
        <v>641.8099999999999</v>
      </c>
      <c r="K43" s="3" t="n">
        <v>9627.15</v>
      </c>
      <c r="L43" s="3" t="n">
        <v>4675.95</v>
      </c>
      <c r="M43" s="4" t="n">
        <v>0.3269</v>
      </c>
    </row>
    <row r="44">
      <c r="A44" s="2" t="inlineStr">
        <is>
          <t>SKL-00043</t>
        </is>
      </c>
      <c r="B44" s="2" t="inlineStr">
        <is>
          <t>SIP-0010</t>
        </is>
      </c>
      <c r="C44" s="2" t="inlineStr">
        <is>
          <t>MEKSIZ-014</t>
        </is>
      </c>
      <c r="D44" s="5" t="n">
        <v>28</v>
      </c>
      <c r="E44" s="2" t="inlineStr">
        <is>
          <t>Adet</t>
        </is>
      </c>
      <c r="F44" s="3" t="n">
        <v>388.36</v>
      </c>
      <c r="G44" s="4" t="n">
        <v>0.0384</v>
      </c>
      <c r="H44" s="3" t="n">
        <v>373.45</v>
      </c>
      <c r="I44" s="3" t="n">
        <v>10456.6</v>
      </c>
      <c r="J44" s="3" t="n">
        <v>242.32</v>
      </c>
      <c r="K44" s="3" t="n">
        <v>6784.96</v>
      </c>
      <c r="L44" s="3" t="n">
        <v>3671.64</v>
      </c>
      <c r="M44" s="4" t="n">
        <v>0.3511</v>
      </c>
    </row>
    <row r="45">
      <c r="A45" s="2" t="inlineStr">
        <is>
          <t>SKL-00044</t>
        </is>
      </c>
      <c r="B45" s="2" t="inlineStr">
        <is>
          <t>SIP-0010</t>
        </is>
      </c>
      <c r="C45" s="2" t="inlineStr">
        <is>
          <t>ENDVAN-025</t>
        </is>
      </c>
      <c r="D45" s="5" t="n">
        <v>6</v>
      </c>
      <c r="E45" s="2" t="inlineStr">
        <is>
          <t>Adet</t>
        </is>
      </c>
      <c r="F45" s="3" t="n">
        <v>315.51</v>
      </c>
      <c r="G45" s="4" t="n">
        <v>0.0038</v>
      </c>
      <c r="H45" s="3" t="n">
        <v>314.31</v>
      </c>
      <c r="I45" s="3" t="n">
        <v>1885.86</v>
      </c>
      <c r="J45" s="3" t="n">
        <v>205.87</v>
      </c>
      <c r="K45" s="3" t="n">
        <v>1235.22</v>
      </c>
      <c r="L45" s="3" t="n">
        <v>650.64</v>
      </c>
      <c r="M45" s="4" t="n">
        <v>0.345</v>
      </c>
    </row>
    <row r="46">
      <c r="A46" s="2" t="inlineStr">
        <is>
          <t>SKL-00045</t>
        </is>
      </c>
      <c r="B46" s="2" t="inlineStr">
        <is>
          <t>SIP-0010</t>
        </is>
      </c>
      <c r="C46" s="2" t="inlineStr">
        <is>
          <t>MEKSIZ-001</t>
        </is>
      </c>
      <c r="D46" s="5" t="n">
        <v>14</v>
      </c>
      <c r="E46" s="2" t="inlineStr">
        <is>
          <t>Adet</t>
        </is>
      </c>
      <c r="F46" s="3" t="n">
        <v>619.41</v>
      </c>
      <c r="G46" s="4" t="n">
        <v>0.0498</v>
      </c>
      <c r="H46" s="3" t="n">
        <v>588.5599999999999</v>
      </c>
      <c r="I46" s="3" t="n">
        <v>8239.84</v>
      </c>
      <c r="J46" s="3" t="n">
        <v>372.57</v>
      </c>
      <c r="K46" s="3" t="n">
        <v>5215.98</v>
      </c>
      <c r="L46" s="3" t="n">
        <v>3023.86</v>
      </c>
      <c r="M46" s="4" t="n">
        <v>0.367</v>
      </c>
    </row>
    <row r="47">
      <c r="A47" s="2" t="inlineStr">
        <is>
          <t>SKL-00046</t>
        </is>
      </c>
      <c r="B47" s="2" t="inlineStr">
        <is>
          <t>SIP-0011</t>
        </is>
      </c>
      <c r="C47" s="2" t="inlineStr">
        <is>
          <t>KAR/-008</t>
        </is>
      </c>
      <c r="D47" s="5" t="n">
        <v>4</v>
      </c>
      <c r="E47" s="2" t="inlineStr">
        <is>
          <t>Adet</t>
        </is>
      </c>
      <c r="F47" s="3" t="n">
        <v>4673.37</v>
      </c>
      <c r="G47" s="4" t="n">
        <v>0.095</v>
      </c>
      <c r="H47" s="3" t="n">
        <v>4229.4</v>
      </c>
      <c r="I47" s="3" t="n">
        <v>16917.6</v>
      </c>
      <c r="J47" s="3" t="n">
        <v>3361.51</v>
      </c>
      <c r="K47" s="3" t="n">
        <v>13446.04</v>
      </c>
      <c r="L47" s="3" t="n">
        <v>3471.56</v>
      </c>
      <c r="M47" s="4" t="n">
        <v>0.2052</v>
      </c>
    </row>
    <row r="48">
      <c r="A48" s="2" t="inlineStr">
        <is>
          <t>SKL-00047</t>
        </is>
      </c>
      <c r="B48" s="2" t="inlineStr">
        <is>
          <t>SIP-0011</t>
        </is>
      </c>
      <c r="C48" s="2" t="inlineStr">
        <is>
          <t>YAREND-002</t>
        </is>
      </c>
      <c r="D48" s="5" t="n">
        <v>16</v>
      </c>
      <c r="E48" s="2" t="inlineStr">
        <is>
          <t>Adet</t>
        </is>
      </c>
      <c r="F48" s="3" t="n">
        <v>1351.79</v>
      </c>
      <c r="G48" s="4" t="n">
        <v>0.0492</v>
      </c>
      <c r="H48" s="3" t="n">
        <v>1285.28</v>
      </c>
      <c r="I48" s="3" t="n">
        <v>20564.48</v>
      </c>
      <c r="J48" s="3" t="n">
        <v>839.65</v>
      </c>
      <c r="K48" s="3" t="n">
        <v>13434.4</v>
      </c>
      <c r="L48" s="3" t="n">
        <v>7130.08</v>
      </c>
      <c r="M48" s="4" t="n">
        <v>0.3467</v>
      </c>
    </row>
    <row r="49">
      <c r="A49" s="2" t="inlineStr">
        <is>
          <t>SKL-00048</t>
        </is>
      </c>
      <c r="B49" s="2" t="inlineStr">
        <is>
          <t>SIP-0011</t>
        </is>
      </c>
      <c r="C49" s="2" t="inlineStr">
        <is>
          <t>FLAIZO-013</t>
        </is>
      </c>
      <c r="D49" s="5" t="n">
        <v>86</v>
      </c>
      <c r="E49" s="2" t="inlineStr">
        <is>
          <t>Set</t>
        </is>
      </c>
      <c r="F49" s="3" t="n">
        <v>35.65</v>
      </c>
      <c r="G49" s="4" t="n">
        <v>0.0543</v>
      </c>
      <c r="H49" s="3" t="n">
        <v>33.71</v>
      </c>
      <c r="I49" s="3" t="n">
        <v>2899.06</v>
      </c>
      <c r="J49" s="3" t="n">
        <v>19.05</v>
      </c>
      <c r="K49" s="3" t="n">
        <v>1638.3</v>
      </c>
      <c r="L49" s="3" t="n">
        <v>1260.76</v>
      </c>
      <c r="M49" s="4" t="n">
        <v>0.4349</v>
      </c>
    </row>
    <row r="50">
      <c r="A50" s="2" t="inlineStr">
        <is>
          <t>SKL-00049</t>
        </is>
      </c>
      <c r="B50" s="2" t="inlineStr">
        <is>
          <t>SIP-0011</t>
        </is>
      </c>
      <c r="C50" s="2" t="inlineStr">
        <is>
          <t>YAREND-005</t>
        </is>
      </c>
      <c r="D50" s="5" t="n">
        <v>11</v>
      </c>
      <c r="E50" s="2" t="inlineStr">
        <is>
          <t>Adet</t>
        </is>
      </c>
      <c r="F50" s="3" t="n">
        <v>932.55</v>
      </c>
      <c r="G50" s="4" t="n">
        <v>0.0712</v>
      </c>
      <c r="H50" s="3" t="n">
        <v>866.15</v>
      </c>
      <c r="I50" s="3" t="n">
        <v>9527.65</v>
      </c>
      <c r="J50" s="3" t="n">
        <v>729.01</v>
      </c>
      <c r="K50" s="3" t="n">
        <v>8019.11</v>
      </c>
      <c r="L50" s="3" t="n">
        <v>1508.54</v>
      </c>
      <c r="M50" s="4" t="n">
        <v>0.1583</v>
      </c>
    </row>
    <row r="51">
      <c r="A51" s="2" t="inlineStr">
        <is>
          <t>SKL-00050</t>
        </is>
      </c>
      <c r="B51" s="2" t="inlineStr">
        <is>
          <t>SIP-0011</t>
        </is>
      </c>
      <c r="C51" s="2" t="inlineStr">
        <is>
          <t>FLAIZO-002</t>
        </is>
      </c>
      <c r="D51" s="5" t="n">
        <v>90</v>
      </c>
      <c r="E51" s="2" t="inlineStr">
        <is>
          <t>Set</t>
        </is>
      </c>
      <c r="F51" s="3" t="n">
        <v>104.47</v>
      </c>
      <c r="G51" s="4" t="n">
        <v>0.0669</v>
      </c>
      <c r="H51" s="3" t="n">
        <v>97.48</v>
      </c>
      <c r="I51" s="3" t="n">
        <v>8773.200000000001</v>
      </c>
      <c r="J51" s="3" t="n">
        <v>54.73</v>
      </c>
      <c r="K51" s="3" t="n">
        <v>4925.7</v>
      </c>
      <c r="L51" s="3" t="n">
        <v>3847.5</v>
      </c>
      <c r="M51" s="4" t="n">
        <v>0.4386</v>
      </c>
    </row>
    <row r="52">
      <c r="A52" s="2" t="inlineStr">
        <is>
          <t>SKL-00051</t>
        </is>
      </c>
      <c r="B52" s="2" t="inlineStr">
        <is>
          <t>SIP-0011</t>
        </is>
      </c>
      <c r="C52" s="2" t="inlineStr">
        <is>
          <t>ENDVAN-010</t>
        </is>
      </c>
      <c r="D52" s="5" t="n">
        <v>18</v>
      </c>
      <c r="E52" s="2" t="inlineStr">
        <is>
          <t>Adet</t>
        </is>
      </c>
      <c r="F52" s="3" t="n">
        <v>1156.59</v>
      </c>
      <c r="G52" s="4" t="n">
        <v>0.0648</v>
      </c>
      <c r="H52" s="3" t="n">
        <v>1081.64</v>
      </c>
      <c r="I52" s="3" t="n">
        <v>19469.52</v>
      </c>
      <c r="J52" s="3" t="n">
        <v>891.17</v>
      </c>
      <c r="K52" s="3" t="n">
        <v>16041.06</v>
      </c>
      <c r="L52" s="3" t="n">
        <v>3428.46</v>
      </c>
      <c r="M52" s="4" t="n">
        <v>0.1761</v>
      </c>
    </row>
    <row r="53">
      <c r="A53" s="2" t="inlineStr">
        <is>
          <t>SKL-00052</t>
        </is>
      </c>
      <c r="B53" s="2" t="inlineStr">
        <is>
          <t>SIP-0011</t>
        </is>
      </c>
      <c r="C53" s="2" t="inlineStr">
        <is>
          <t>ENDVAN-018</t>
        </is>
      </c>
      <c r="D53" s="5" t="n">
        <v>9</v>
      </c>
      <c r="E53" s="2" t="inlineStr">
        <is>
          <t>Adet</t>
        </is>
      </c>
      <c r="F53" s="3" t="n">
        <v>1104</v>
      </c>
      <c r="G53" s="4" t="n">
        <v>0.0131</v>
      </c>
      <c r="H53" s="3" t="n">
        <v>1089.54</v>
      </c>
      <c r="I53" s="3" t="n">
        <v>9805.860000000001</v>
      </c>
      <c r="J53" s="3" t="n">
        <v>781.12</v>
      </c>
      <c r="K53" s="3" t="n">
        <v>7030.08</v>
      </c>
      <c r="L53" s="3" t="n">
        <v>2775.78</v>
      </c>
      <c r="M53" s="4" t="n">
        <v>0.2831</v>
      </c>
    </row>
    <row r="54">
      <c r="A54" s="2" t="inlineStr">
        <is>
          <t>SKL-00053</t>
        </is>
      </c>
      <c r="B54" s="2" t="inlineStr">
        <is>
          <t>SIP-0012</t>
        </is>
      </c>
      <c r="C54" s="2" t="inlineStr">
        <is>
          <t>ENDVAN-031</t>
        </is>
      </c>
      <c r="D54" s="5" t="n">
        <v>15</v>
      </c>
      <c r="E54" s="2" t="inlineStr">
        <is>
          <t>Adet</t>
        </is>
      </c>
      <c r="F54" s="3" t="n">
        <v>336.49</v>
      </c>
      <c r="G54" s="4" t="n">
        <v>0.0414</v>
      </c>
      <c r="H54" s="3" t="n">
        <v>322.56</v>
      </c>
      <c r="I54" s="3" t="n">
        <v>4838.4</v>
      </c>
      <c r="J54" s="3" t="n">
        <v>247.14</v>
      </c>
      <c r="K54" s="3" t="n">
        <v>3707.1</v>
      </c>
      <c r="L54" s="3" t="n">
        <v>1131.3</v>
      </c>
      <c r="M54" s="4" t="n">
        <v>0.2338</v>
      </c>
    </row>
    <row r="55">
      <c r="A55" s="2" t="inlineStr">
        <is>
          <t>SKL-00054</t>
        </is>
      </c>
      <c r="B55" s="2" t="inlineStr">
        <is>
          <t>SIP-0012</t>
        </is>
      </c>
      <c r="C55" s="2" t="inlineStr">
        <is>
          <t>ENDVAN-029</t>
        </is>
      </c>
      <c r="D55" s="5" t="n">
        <v>15</v>
      </c>
      <c r="E55" s="2" t="inlineStr">
        <is>
          <t>Adet</t>
        </is>
      </c>
      <c r="F55" s="3" t="n">
        <v>489.64</v>
      </c>
      <c r="G55" s="4" t="n">
        <v>0.0186</v>
      </c>
      <c r="H55" s="3" t="n">
        <v>480.53</v>
      </c>
      <c r="I55" s="3" t="n">
        <v>7207.95</v>
      </c>
      <c r="J55" s="3" t="n">
        <v>318.96</v>
      </c>
      <c r="K55" s="3" t="n">
        <v>4784.4</v>
      </c>
      <c r="L55" s="3" t="n">
        <v>2423.55</v>
      </c>
      <c r="M55" s="4" t="n">
        <v>0.3362</v>
      </c>
    </row>
    <row r="56">
      <c r="A56" s="2" t="inlineStr">
        <is>
          <t>SKL-00055</t>
        </is>
      </c>
      <c r="B56" s="2" t="inlineStr">
        <is>
          <t>SIP-0012</t>
        </is>
      </c>
      <c r="C56" s="2" t="inlineStr">
        <is>
          <t>YAREND-015</t>
        </is>
      </c>
      <c r="D56" s="5" t="n">
        <v>5</v>
      </c>
      <c r="E56" s="2" t="inlineStr">
        <is>
          <t>Adet</t>
        </is>
      </c>
      <c r="F56" s="3" t="n">
        <v>161.23</v>
      </c>
      <c r="G56" s="4" t="n">
        <v>0.0375</v>
      </c>
      <c r="H56" s="3" t="n">
        <v>155.18</v>
      </c>
      <c r="I56" s="3" t="n">
        <v>775.9</v>
      </c>
      <c r="J56" s="3" t="n">
        <v>114.22</v>
      </c>
      <c r="K56" s="3" t="n">
        <v>571.1</v>
      </c>
      <c r="L56" s="3" t="n">
        <v>204.8</v>
      </c>
      <c r="M56" s="4" t="n">
        <v>0.264</v>
      </c>
    </row>
    <row r="57">
      <c r="A57" s="2" t="inlineStr">
        <is>
          <t>SKL-00056</t>
        </is>
      </c>
      <c r="B57" s="2" t="inlineStr">
        <is>
          <t>SIP-0012</t>
        </is>
      </c>
      <c r="C57" s="2" t="inlineStr">
        <is>
          <t>MEKSIZ-012</t>
        </is>
      </c>
      <c r="D57" s="5" t="n">
        <v>9</v>
      </c>
      <c r="E57" s="2" t="inlineStr">
        <is>
          <t>Adet</t>
        </is>
      </c>
      <c r="F57" s="3" t="n">
        <v>456.41</v>
      </c>
      <c r="G57" s="4" t="n">
        <v>0.0914</v>
      </c>
      <c r="H57" s="3" t="n">
        <v>414.69</v>
      </c>
      <c r="I57" s="3" t="n">
        <v>3732.21</v>
      </c>
      <c r="J57" s="3" t="n">
        <v>282.12</v>
      </c>
      <c r="K57" s="3" t="n">
        <v>2539.08</v>
      </c>
      <c r="L57" s="3" t="n">
        <v>1193.13</v>
      </c>
      <c r="M57" s="4" t="n">
        <v>0.3197</v>
      </c>
    </row>
    <row r="58">
      <c r="A58" s="2" t="inlineStr">
        <is>
          <t>SKL-00057</t>
        </is>
      </c>
      <c r="B58" s="2" t="inlineStr">
        <is>
          <t>SIP-0013</t>
        </is>
      </c>
      <c r="C58" s="2" t="inlineStr">
        <is>
          <t>YAREND-004</t>
        </is>
      </c>
      <c r="D58" s="5" t="n">
        <v>7</v>
      </c>
      <c r="E58" s="2" t="inlineStr">
        <is>
          <t>Adet</t>
        </is>
      </c>
      <c r="F58" s="3" t="n">
        <v>1045.78</v>
      </c>
      <c r="G58" s="4" t="n">
        <v>0.0115</v>
      </c>
      <c r="H58" s="3" t="n">
        <v>1033.75</v>
      </c>
      <c r="I58" s="3" t="n">
        <v>7236.25</v>
      </c>
      <c r="J58" s="3" t="n">
        <v>774.26</v>
      </c>
      <c r="K58" s="3" t="n">
        <v>5419.82</v>
      </c>
      <c r="L58" s="3" t="n">
        <v>1816.43</v>
      </c>
      <c r="M58" s="4" t="n">
        <v>0.251</v>
      </c>
    </row>
    <row r="59">
      <c r="A59" s="2" t="inlineStr">
        <is>
          <t>SKL-00058</t>
        </is>
      </c>
      <c r="B59" s="2" t="inlineStr">
        <is>
          <t>SIP-0013</t>
        </is>
      </c>
      <c r="C59" s="2" t="inlineStr">
        <is>
          <t>FLAIZO-005</t>
        </is>
      </c>
      <c r="D59" s="5" t="n">
        <v>38</v>
      </c>
      <c r="E59" s="2" t="inlineStr">
        <is>
          <t>Set</t>
        </is>
      </c>
      <c r="F59" s="3" t="n">
        <v>217.81</v>
      </c>
      <c r="G59" s="4" t="n">
        <v>0.0543</v>
      </c>
      <c r="H59" s="3" t="n">
        <v>205.98</v>
      </c>
      <c r="I59" s="3" t="n">
        <v>7827.24</v>
      </c>
      <c r="J59" s="3" t="n">
        <v>120.26</v>
      </c>
      <c r="K59" s="3" t="n">
        <v>4569.88</v>
      </c>
      <c r="L59" s="3" t="n">
        <v>3257.36</v>
      </c>
      <c r="M59" s="4" t="n">
        <v>0.4162</v>
      </c>
    </row>
    <row r="60">
      <c r="A60" s="2" t="inlineStr">
        <is>
          <t>SKL-00059</t>
        </is>
      </c>
      <c r="B60" s="2" t="inlineStr">
        <is>
          <t>SIP-0014</t>
        </is>
      </c>
      <c r="C60" s="2" t="inlineStr">
        <is>
          <t>ENDVAN-029</t>
        </is>
      </c>
      <c r="D60" s="5" t="n">
        <v>11</v>
      </c>
      <c r="E60" s="2" t="inlineStr">
        <is>
          <t>Adet</t>
        </is>
      </c>
      <c r="F60" s="3" t="n">
        <v>508.14</v>
      </c>
      <c r="G60" s="4" t="n">
        <v>0.0414</v>
      </c>
      <c r="H60" s="3" t="n">
        <v>487.1</v>
      </c>
      <c r="I60" s="3" t="n">
        <v>5358.1</v>
      </c>
      <c r="J60" s="3" t="n">
        <v>318.96</v>
      </c>
      <c r="K60" s="3" t="n">
        <v>3508.56</v>
      </c>
      <c r="L60" s="3" t="n">
        <v>1849.54</v>
      </c>
      <c r="M60" s="4" t="n">
        <v>0.3452</v>
      </c>
    </row>
    <row r="61">
      <c r="A61" s="2" t="inlineStr">
        <is>
          <t>SKL-00060</t>
        </is>
      </c>
      <c r="B61" s="2" t="inlineStr">
        <is>
          <t>SIP-0014</t>
        </is>
      </c>
      <c r="C61" s="2" t="inlineStr">
        <is>
          <t>ENDVAN-007</t>
        </is>
      </c>
      <c r="D61" s="5" t="n">
        <v>7</v>
      </c>
      <c r="E61" s="2" t="inlineStr">
        <is>
          <t>Adet</t>
        </is>
      </c>
      <c r="F61" s="3" t="n">
        <v>207.97</v>
      </c>
      <c r="G61" s="4" t="n">
        <v>0.0528</v>
      </c>
      <c r="H61" s="3" t="n">
        <v>196.99</v>
      </c>
      <c r="I61" s="3" t="n">
        <v>1378.93</v>
      </c>
      <c r="J61" s="3" t="n">
        <v>126.94</v>
      </c>
      <c r="K61" s="3" t="n">
        <v>888.58</v>
      </c>
      <c r="L61" s="3" t="n">
        <v>490.35</v>
      </c>
      <c r="M61" s="4" t="n">
        <v>0.3556</v>
      </c>
    </row>
    <row r="62">
      <c r="A62" s="2" t="inlineStr">
        <is>
          <t>SKL-00061</t>
        </is>
      </c>
      <c r="B62" s="2" t="inlineStr">
        <is>
          <t>SIP-0014</t>
        </is>
      </c>
      <c r="C62" s="2" t="inlineStr">
        <is>
          <t>ENDVAN-003</t>
        </is>
      </c>
      <c r="D62" s="5" t="n">
        <v>14</v>
      </c>
      <c r="E62" s="2" t="inlineStr">
        <is>
          <t>Adet</t>
        </is>
      </c>
      <c r="F62" s="3" t="n">
        <v>1354.35</v>
      </c>
      <c r="G62" s="4" t="n">
        <v>0.0306</v>
      </c>
      <c r="H62" s="3" t="n">
        <v>1312.91</v>
      </c>
      <c r="I62" s="3" t="n">
        <v>18380.74</v>
      </c>
      <c r="J62" s="3" t="n">
        <v>1050.24</v>
      </c>
      <c r="K62" s="3" t="n">
        <v>14703.36</v>
      </c>
      <c r="L62" s="3" t="n">
        <v>3677.38</v>
      </c>
      <c r="M62" s="4" t="n">
        <v>0.2001</v>
      </c>
    </row>
    <row r="63">
      <c r="A63" s="2" t="inlineStr">
        <is>
          <t>SKL-00062</t>
        </is>
      </c>
      <c r="B63" s="2" t="inlineStr">
        <is>
          <t>SIP-0015</t>
        </is>
      </c>
      <c r="C63" s="2" t="inlineStr">
        <is>
          <t>ENDVAN-022</t>
        </is>
      </c>
      <c r="D63" s="5" t="n">
        <v>10</v>
      </c>
      <c r="E63" s="2" t="inlineStr">
        <is>
          <t>Adet</t>
        </is>
      </c>
      <c r="F63" s="3" t="n">
        <v>200.55</v>
      </c>
      <c r="G63" s="4" t="n">
        <v>0.0197</v>
      </c>
      <c r="H63" s="3" t="n">
        <v>196.6</v>
      </c>
      <c r="I63" s="3" t="n">
        <v>1966</v>
      </c>
      <c r="J63" s="3" t="n">
        <v>163.9</v>
      </c>
      <c r="K63" s="3" t="n">
        <v>1639</v>
      </c>
      <c r="L63" s="3" t="n">
        <v>327</v>
      </c>
      <c r="M63" s="4" t="n">
        <v>0.1663</v>
      </c>
    </row>
    <row r="64">
      <c r="A64" s="2" t="inlineStr">
        <is>
          <t>SKL-00063</t>
        </is>
      </c>
      <c r="B64" s="2" t="inlineStr">
        <is>
          <t>SIP-0015</t>
        </is>
      </c>
      <c r="C64" s="2" t="inlineStr">
        <is>
          <t>PROTAN-007</t>
        </is>
      </c>
      <c r="D64" s="5" t="n">
        <v>1</v>
      </c>
      <c r="E64" s="2" t="inlineStr">
        <is>
          <t>Adet</t>
        </is>
      </c>
      <c r="F64" s="3" t="n">
        <v>15214.07</v>
      </c>
      <c r="G64" s="4" t="n">
        <v>0.0713</v>
      </c>
      <c r="H64" s="3" t="n">
        <v>14129.31</v>
      </c>
      <c r="I64" s="3" t="n">
        <v>14129.31</v>
      </c>
      <c r="J64" s="3" t="n">
        <v>12517.98</v>
      </c>
      <c r="K64" s="3" t="n">
        <v>12517.98</v>
      </c>
      <c r="L64" s="3" t="n">
        <v>1611.33</v>
      </c>
      <c r="M64" s="4" t="n">
        <v>0.114</v>
      </c>
    </row>
    <row r="65">
      <c r="A65" s="2" t="inlineStr">
        <is>
          <t>SKL-00064</t>
        </is>
      </c>
      <c r="B65" s="2" t="inlineStr">
        <is>
          <t>SIP-0015</t>
        </is>
      </c>
      <c r="C65" s="2" t="inlineStr">
        <is>
          <t>ENDVAN-003</t>
        </is>
      </c>
      <c r="D65" s="5" t="n">
        <v>9</v>
      </c>
      <c r="E65" s="2" t="inlineStr">
        <is>
          <t>Adet</t>
        </is>
      </c>
      <c r="F65" s="3" t="n">
        <v>1332.37</v>
      </c>
      <c r="G65" s="4" t="n">
        <v>0.1075</v>
      </c>
      <c r="H65" s="3" t="n">
        <v>1189.14</v>
      </c>
      <c r="I65" s="3" t="n">
        <v>10702.26</v>
      </c>
      <c r="J65" s="3" t="n">
        <v>1050.24</v>
      </c>
      <c r="K65" s="3" t="n">
        <v>9452.16</v>
      </c>
      <c r="L65" s="3" t="n">
        <v>1250.1</v>
      </c>
      <c r="M65" s="4" t="n">
        <v>0.1168</v>
      </c>
    </row>
    <row r="66">
      <c r="A66" s="2" t="inlineStr">
        <is>
          <t>SKL-00065</t>
        </is>
      </c>
      <c r="B66" s="2" t="inlineStr">
        <is>
          <t>SIP-0016</t>
        </is>
      </c>
      <c r="C66" s="2" t="inlineStr">
        <is>
          <t>MEKSIZ-009</t>
        </is>
      </c>
      <c r="D66" s="5" t="n">
        <v>25</v>
      </c>
      <c r="E66" s="2" t="inlineStr">
        <is>
          <t>Adet</t>
        </is>
      </c>
      <c r="F66" s="3" t="n">
        <v>805.63</v>
      </c>
      <c r="G66" s="4" t="n">
        <v>0.0428</v>
      </c>
      <c r="H66" s="3" t="n">
        <v>771.15</v>
      </c>
      <c r="I66" s="3" t="n">
        <v>19278.75</v>
      </c>
      <c r="J66" s="3" t="n">
        <v>458.31</v>
      </c>
      <c r="K66" s="3" t="n">
        <v>11457.75</v>
      </c>
      <c r="L66" s="3" t="n">
        <v>7821</v>
      </c>
      <c r="M66" s="4" t="n">
        <v>0.4057</v>
      </c>
    </row>
    <row r="67">
      <c r="A67" s="2" t="inlineStr">
        <is>
          <t>SKL-00066</t>
        </is>
      </c>
      <c r="B67" s="2" t="inlineStr">
        <is>
          <t>SIP-0016</t>
        </is>
      </c>
      <c r="C67" s="2" t="inlineStr">
        <is>
          <t>KAR/-012</t>
        </is>
      </c>
      <c r="D67" s="5" t="n">
        <v>3</v>
      </c>
      <c r="E67" s="2" t="inlineStr">
        <is>
          <t>Adet</t>
        </is>
      </c>
      <c r="F67" s="3" t="n">
        <v>7068.41</v>
      </c>
      <c r="G67" s="4" t="n">
        <v>0.0645</v>
      </c>
      <c r="H67" s="3" t="n">
        <v>6612.5</v>
      </c>
      <c r="I67" s="3" t="n">
        <v>19837.5</v>
      </c>
      <c r="J67" s="3" t="n">
        <v>5176.41</v>
      </c>
      <c r="K67" s="3" t="n">
        <v>15529.23</v>
      </c>
      <c r="L67" s="3" t="n">
        <v>4308.27</v>
      </c>
      <c r="M67" s="4" t="n">
        <v>0.2172</v>
      </c>
    </row>
    <row r="68">
      <c r="A68" s="2" t="inlineStr">
        <is>
          <t>SKL-00067</t>
        </is>
      </c>
      <c r="B68" s="2" t="inlineStr">
        <is>
          <t>SIP-0016</t>
        </is>
      </c>
      <c r="C68" s="2" t="inlineStr">
        <is>
          <t>ENDVAN-023</t>
        </is>
      </c>
      <c r="D68" s="5" t="n">
        <v>17</v>
      </c>
      <c r="E68" s="2" t="inlineStr">
        <is>
          <t>Adet</t>
        </is>
      </c>
      <c r="F68" s="3" t="n">
        <v>1156.84</v>
      </c>
      <c r="G68" s="4" t="n">
        <v>0.002</v>
      </c>
      <c r="H68" s="3" t="n">
        <v>1154.53</v>
      </c>
      <c r="I68" s="3" t="n">
        <v>19627.01</v>
      </c>
      <c r="J68" s="3" t="n">
        <v>763.0599999999999</v>
      </c>
      <c r="K68" s="3" t="n">
        <v>12972.02</v>
      </c>
      <c r="L68" s="3" t="n">
        <v>6654.99</v>
      </c>
      <c r="M68" s="4" t="n">
        <v>0.3391</v>
      </c>
    </row>
    <row r="69">
      <c r="A69" s="2" t="inlineStr">
        <is>
          <t>SKL-00068</t>
        </is>
      </c>
      <c r="B69" s="2" t="inlineStr">
        <is>
          <t>SIP-0017</t>
        </is>
      </c>
      <c r="C69" s="2" t="inlineStr">
        <is>
          <t>ENDVAN-021</t>
        </is>
      </c>
      <c r="D69" s="5" t="n">
        <v>8</v>
      </c>
      <c r="E69" s="2" t="inlineStr">
        <is>
          <t>Adet</t>
        </is>
      </c>
      <c r="F69" s="3" t="n">
        <v>997.33</v>
      </c>
      <c r="G69" s="4" t="n">
        <v>0.055</v>
      </c>
      <c r="H69" s="3" t="n">
        <v>942.48</v>
      </c>
      <c r="I69" s="3" t="n">
        <v>7539.84</v>
      </c>
      <c r="J69" s="3" t="n">
        <v>736.7</v>
      </c>
      <c r="K69" s="3" t="n">
        <v>5893.6</v>
      </c>
      <c r="L69" s="3" t="n">
        <v>1646.24</v>
      </c>
      <c r="M69" s="4" t="n">
        <v>0.2183</v>
      </c>
    </row>
    <row r="70">
      <c r="A70" s="2" t="inlineStr">
        <is>
          <t>SKL-00069</t>
        </is>
      </c>
      <c r="B70" s="2" t="inlineStr">
        <is>
          <t>SIP-0017</t>
        </is>
      </c>
      <c r="C70" s="2" t="inlineStr">
        <is>
          <t>ENDVAN-032</t>
        </is>
      </c>
      <c r="D70" s="5" t="n">
        <v>16</v>
      </c>
      <c r="E70" s="2" t="inlineStr">
        <is>
          <t>Adet</t>
        </is>
      </c>
      <c r="F70" s="3" t="n">
        <v>1033.85</v>
      </c>
      <c r="G70" s="4" t="n">
        <v>0.0299</v>
      </c>
      <c r="H70" s="3" t="n">
        <v>1002.94</v>
      </c>
      <c r="I70" s="3" t="n">
        <v>16047.04</v>
      </c>
      <c r="J70" s="3" t="n">
        <v>641.8099999999999</v>
      </c>
      <c r="K70" s="3" t="n">
        <v>10268.96</v>
      </c>
      <c r="L70" s="3" t="n">
        <v>5778.08</v>
      </c>
      <c r="M70" s="4" t="n">
        <v>0.3601</v>
      </c>
    </row>
    <row r="71">
      <c r="A71" s="2" t="inlineStr">
        <is>
          <t>SKL-00070</t>
        </is>
      </c>
      <c r="B71" s="2" t="inlineStr">
        <is>
          <t>SIP-0017</t>
        </is>
      </c>
      <c r="C71" s="2" t="inlineStr">
        <is>
          <t>FLAIZO-009</t>
        </is>
      </c>
      <c r="D71" s="5" t="n">
        <v>74</v>
      </c>
      <c r="E71" s="2" t="inlineStr">
        <is>
          <t>Set</t>
        </is>
      </c>
      <c r="F71" s="3" t="n">
        <v>208.55</v>
      </c>
      <c r="G71" s="4" t="n">
        <v>0.0508</v>
      </c>
      <c r="H71" s="3" t="n">
        <v>197.96</v>
      </c>
      <c r="I71" s="3" t="n">
        <v>14649.04</v>
      </c>
      <c r="J71" s="3" t="n">
        <v>127.08</v>
      </c>
      <c r="K71" s="3" t="n">
        <v>9403.92</v>
      </c>
      <c r="L71" s="3" t="n">
        <v>5245.12</v>
      </c>
      <c r="M71" s="4" t="n">
        <v>0.3581</v>
      </c>
    </row>
    <row r="72">
      <c r="A72" s="2" t="inlineStr">
        <is>
          <t>SKL-00071</t>
        </is>
      </c>
      <c r="B72" s="2" t="inlineStr">
        <is>
          <t>SIP-0018</t>
        </is>
      </c>
      <c r="C72" s="2" t="inlineStr">
        <is>
          <t>ENDVAN-030</t>
        </is>
      </c>
      <c r="D72" s="5" t="n">
        <v>13</v>
      </c>
      <c r="E72" s="2" t="inlineStr">
        <is>
          <t>Adet</t>
        </is>
      </c>
      <c r="F72" s="3" t="n">
        <v>444.18</v>
      </c>
      <c r="G72" s="4" t="n">
        <v>0.0115</v>
      </c>
      <c r="H72" s="3" t="n">
        <v>439.07</v>
      </c>
      <c r="I72" s="3" t="n">
        <v>5707.91</v>
      </c>
      <c r="J72" s="3" t="n">
        <v>303.77</v>
      </c>
      <c r="K72" s="3" t="n">
        <v>3949.01</v>
      </c>
      <c r="L72" s="3" t="n">
        <v>1758.9</v>
      </c>
      <c r="M72" s="4" t="n">
        <v>0.3082</v>
      </c>
    </row>
    <row r="73">
      <c r="A73" s="2" t="inlineStr">
        <is>
          <t>SKL-00072</t>
        </is>
      </c>
      <c r="B73" s="2" t="inlineStr">
        <is>
          <t>SIP-0018</t>
        </is>
      </c>
      <c r="C73" s="2" t="inlineStr">
        <is>
          <t>FLAIZO-004</t>
        </is>
      </c>
      <c r="D73" s="5" t="n">
        <v>61</v>
      </c>
      <c r="E73" s="2" t="inlineStr">
        <is>
          <t>Set</t>
        </is>
      </c>
      <c r="F73" s="3" t="n">
        <v>46.5</v>
      </c>
      <c r="G73" s="4" t="n">
        <v>0.103</v>
      </c>
      <c r="H73" s="3" t="n">
        <v>41.71</v>
      </c>
      <c r="I73" s="3" t="n">
        <v>2544.31</v>
      </c>
      <c r="J73" s="3" t="n">
        <v>25.08</v>
      </c>
      <c r="K73" s="3" t="n">
        <v>1529.88</v>
      </c>
      <c r="L73" s="3" t="n">
        <v>1014.43</v>
      </c>
      <c r="M73" s="4" t="n">
        <v>0.3987</v>
      </c>
    </row>
    <row r="74">
      <c r="A74" s="2" t="inlineStr">
        <is>
          <t>SKL-00073</t>
        </is>
      </c>
      <c r="B74" s="2" t="inlineStr">
        <is>
          <t>SIP-0018</t>
        </is>
      </c>
      <c r="C74" s="2" t="inlineStr">
        <is>
          <t>FLAIZO-002</t>
        </is>
      </c>
      <c r="D74" s="5" t="n">
        <v>55</v>
      </c>
      <c r="E74" s="2" t="inlineStr">
        <is>
          <t>Set</t>
        </is>
      </c>
      <c r="F74" s="3" t="n">
        <v>106.81</v>
      </c>
      <c r="G74" s="4" t="n">
        <v>0.1098</v>
      </c>
      <c r="H74" s="3" t="n">
        <v>95.08</v>
      </c>
      <c r="I74" s="3" t="n">
        <v>5229.4</v>
      </c>
      <c r="J74" s="3" t="n">
        <v>54.73</v>
      </c>
      <c r="K74" s="3" t="n">
        <v>3010.15</v>
      </c>
      <c r="L74" s="3" t="n">
        <v>2219.25</v>
      </c>
      <c r="M74" s="4" t="n">
        <v>0.4244</v>
      </c>
    </row>
    <row r="75">
      <c r="A75" s="2" t="inlineStr">
        <is>
          <t>SKL-00074</t>
        </is>
      </c>
      <c r="B75" s="2" t="inlineStr">
        <is>
          <t>SIP-0018</t>
        </is>
      </c>
      <c r="C75" s="2" t="inlineStr">
        <is>
          <t>YAREND-003</t>
        </is>
      </c>
      <c r="D75" s="5" t="n">
        <v>15</v>
      </c>
      <c r="E75" s="2" t="inlineStr">
        <is>
          <t>Adet</t>
        </is>
      </c>
      <c r="F75" s="3" t="n">
        <v>215.01</v>
      </c>
      <c r="G75" s="4" t="n">
        <v>0.0994</v>
      </c>
      <c r="H75" s="3" t="n">
        <v>193.64</v>
      </c>
      <c r="I75" s="3" t="n">
        <v>2904.6</v>
      </c>
      <c r="J75" s="3" t="n">
        <v>159.13</v>
      </c>
      <c r="K75" s="3" t="n">
        <v>2386.95</v>
      </c>
      <c r="L75" s="3" t="n">
        <v>517.65</v>
      </c>
      <c r="M75" s="4" t="n">
        <v>0.1782</v>
      </c>
    </row>
    <row r="76">
      <c r="A76" s="2" t="inlineStr">
        <is>
          <t>SKL-00075</t>
        </is>
      </c>
      <c r="B76" s="2" t="inlineStr">
        <is>
          <t>SIP-0018</t>
        </is>
      </c>
      <c r="C76" s="2" t="inlineStr">
        <is>
          <t>FLAIZO-006</t>
        </is>
      </c>
      <c r="D76" s="5" t="n">
        <v>60</v>
      </c>
      <c r="E76" s="2" t="inlineStr">
        <is>
          <t>Set</t>
        </is>
      </c>
      <c r="F76" s="3" t="n">
        <v>57.99</v>
      </c>
      <c r="G76" s="4" t="n">
        <v>0.0198</v>
      </c>
      <c r="H76" s="3" t="n">
        <v>56.84</v>
      </c>
      <c r="I76" s="3" t="n">
        <v>3410.4</v>
      </c>
      <c r="J76" s="3" t="n">
        <v>41.17</v>
      </c>
      <c r="K76" s="3" t="n">
        <v>2470.2</v>
      </c>
      <c r="L76" s="3" t="n">
        <v>940.2</v>
      </c>
      <c r="M76" s="4" t="n">
        <v>0.2757</v>
      </c>
    </row>
    <row r="77">
      <c r="A77" s="2" t="inlineStr">
        <is>
          <t>SKL-00076</t>
        </is>
      </c>
      <c r="B77" s="2" t="inlineStr">
        <is>
          <t>SIP-0019</t>
        </is>
      </c>
      <c r="C77" s="2" t="inlineStr">
        <is>
          <t>YAREND-002</t>
        </is>
      </c>
      <c r="D77" s="5" t="n">
        <v>8</v>
      </c>
      <c r="E77" s="2" t="inlineStr">
        <is>
          <t>Adet</t>
        </is>
      </c>
      <c r="F77" s="3" t="n">
        <v>1325.39</v>
      </c>
      <c r="G77" s="4" t="n">
        <v>0.0873</v>
      </c>
      <c r="H77" s="3" t="n">
        <v>1209.68</v>
      </c>
      <c r="I77" s="3" t="n">
        <v>9677.440000000001</v>
      </c>
      <c r="J77" s="3" t="n">
        <v>839.65</v>
      </c>
      <c r="K77" s="3" t="n">
        <v>6717.2</v>
      </c>
      <c r="L77" s="3" t="n">
        <v>2960.24</v>
      </c>
      <c r="M77" s="4" t="n">
        <v>0.3059</v>
      </c>
    </row>
    <row r="78">
      <c r="A78" s="2" t="inlineStr">
        <is>
          <t>SKL-00077</t>
        </is>
      </c>
      <c r="B78" s="2" t="inlineStr">
        <is>
          <t>SIP-0019</t>
        </is>
      </c>
      <c r="C78" s="2" t="inlineStr">
        <is>
          <t>FLAIZO-005</t>
        </is>
      </c>
      <c r="D78" s="5" t="n">
        <v>59</v>
      </c>
      <c r="E78" s="2" t="inlineStr">
        <is>
          <t>Set</t>
        </is>
      </c>
      <c r="F78" s="3" t="n">
        <v>208.68</v>
      </c>
      <c r="G78" s="4" t="n">
        <v>0.0141</v>
      </c>
      <c r="H78" s="3" t="n">
        <v>205.74</v>
      </c>
      <c r="I78" s="3" t="n">
        <v>12138.66</v>
      </c>
      <c r="J78" s="3" t="n">
        <v>120.26</v>
      </c>
      <c r="K78" s="3" t="n">
        <v>7095.34</v>
      </c>
      <c r="L78" s="3" t="n">
        <v>5043.32</v>
      </c>
      <c r="M78" s="4" t="n">
        <v>0.4155</v>
      </c>
    </row>
    <row r="79">
      <c r="A79" s="2" t="inlineStr">
        <is>
          <t>SKL-00078</t>
        </is>
      </c>
      <c r="B79" s="2" t="inlineStr">
        <is>
          <t>SIP-0020</t>
        </is>
      </c>
      <c r="C79" s="2" t="inlineStr">
        <is>
          <t>KAR/-002</t>
        </is>
      </c>
      <c r="D79" s="5" t="n">
        <v>3</v>
      </c>
      <c r="E79" s="2" t="inlineStr">
        <is>
          <t>Adet</t>
        </is>
      </c>
      <c r="F79" s="3" t="n">
        <v>11789.2</v>
      </c>
      <c r="G79" s="4" t="n">
        <v>0.0196</v>
      </c>
      <c r="H79" s="3" t="n">
        <v>11558.13</v>
      </c>
      <c r="I79" s="3" t="n">
        <v>34674.39</v>
      </c>
      <c r="J79" s="3" t="n">
        <v>9102.83</v>
      </c>
      <c r="K79" s="3" t="n">
        <v>27308.49</v>
      </c>
      <c r="L79" s="3" t="n">
        <v>7365.9</v>
      </c>
      <c r="M79" s="4" t="n">
        <v>0.2124</v>
      </c>
    </row>
    <row r="80">
      <c r="A80" s="2" t="inlineStr">
        <is>
          <t>SKL-00079</t>
        </is>
      </c>
      <c r="B80" s="2" t="inlineStr">
        <is>
          <t>SIP-0021</t>
        </is>
      </c>
      <c r="C80" s="2" t="inlineStr">
        <is>
          <t>ENDVAN-004</t>
        </is>
      </c>
      <c r="D80" s="5" t="n">
        <v>16</v>
      </c>
      <c r="E80" s="2" t="inlineStr">
        <is>
          <t>Adet</t>
        </is>
      </c>
      <c r="F80" s="3" t="n">
        <v>293.41</v>
      </c>
      <c r="G80" s="4" t="n">
        <v>0.0059</v>
      </c>
      <c r="H80" s="3" t="n">
        <v>291.68</v>
      </c>
      <c r="I80" s="3" t="n">
        <v>4666.88</v>
      </c>
      <c r="J80" s="3" t="n">
        <v>212.53</v>
      </c>
      <c r="K80" s="3" t="n">
        <v>3400.48</v>
      </c>
      <c r="L80" s="3" t="n">
        <v>1266.4</v>
      </c>
      <c r="M80" s="4" t="n">
        <v>0.2714</v>
      </c>
    </row>
    <row r="81">
      <c r="A81" s="2" t="inlineStr">
        <is>
          <t>SKL-00080</t>
        </is>
      </c>
      <c r="B81" s="2" t="inlineStr">
        <is>
          <t>SIP-0021</t>
        </is>
      </c>
      <c r="C81" s="2" t="inlineStr">
        <is>
          <t>ENDVAN-014</t>
        </is>
      </c>
      <c r="D81" s="5" t="n">
        <v>7</v>
      </c>
      <c r="E81" s="2" t="inlineStr">
        <is>
          <t>Adet</t>
        </is>
      </c>
      <c r="F81" s="3" t="n">
        <v>1576.43</v>
      </c>
      <c r="G81" s="4" t="n">
        <v>0.0406</v>
      </c>
      <c r="H81" s="3" t="n">
        <v>1512.43</v>
      </c>
      <c r="I81" s="3" t="n">
        <v>10587.01</v>
      </c>
      <c r="J81" s="3" t="n">
        <v>1025.06</v>
      </c>
      <c r="K81" s="3" t="n">
        <v>7175.42</v>
      </c>
      <c r="L81" s="3" t="n">
        <v>3411.59</v>
      </c>
      <c r="M81" s="4" t="n">
        <v>0.3222</v>
      </c>
    </row>
    <row r="82">
      <c r="A82" s="2" t="inlineStr">
        <is>
          <t>SKL-00081</t>
        </is>
      </c>
      <c r="B82" s="2" t="inlineStr">
        <is>
          <t>SIP-0021</t>
        </is>
      </c>
      <c r="C82" s="2" t="inlineStr">
        <is>
          <t>ENDVAN-003</t>
        </is>
      </c>
      <c r="D82" s="5" t="n">
        <v>2</v>
      </c>
      <c r="E82" s="2" t="inlineStr">
        <is>
          <t>Adet</t>
        </is>
      </c>
      <c r="F82" s="3" t="n">
        <v>1482.47</v>
      </c>
      <c r="G82" s="4" t="n">
        <v>0.0525</v>
      </c>
      <c r="H82" s="3" t="n">
        <v>1404.64</v>
      </c>
      <c r="I82" s="3" t="n">
        <v>2809.28</v>
      </c>
      <c r="J82" s="3" t="n">
        <v>1050.24</v>
      </c>
      <c r="K82" s="3" t="n">
        <v>2100.48</v>
      </c>
      <c r="L82" s="3" t="n">
        <v>708.8</v>
      </c>
      <c r="M82" s="4" t="n">
        <v>0.2523</v>
      </c>
    </row>
    <row r="83">
      <c r="A83" s="2" t="inlineStr">
        <is>
          <t>SKL-00082</t>
        </is>
      </c>
      <c r="B83" s="2" t="inlineStr">
        <is>
          <t>SIP-0021</t>
        </is>
      </c>
      <c r="C83" s="2" t="inlineStr">
        <is>
          <t>MEKSIZ-011</t>
        </is>
      </c>
      <c r="D83" s="5" t="n">
        <v>9</v>
      </c>
      <c r="E83" s="2" t="inlineStr">
        <is>
          <t>Adet</t>
        </is>
      </c>
      <c r="F83" s="3" t="n">
        <v>424.04</v>
      </c>
      <c r="G83" s="4" t="n">
        <v>0.0775</v>
      </c>
      <c r="H83" s="3" t="n">
        <v>391.18</v>
      </c>
      <c r="I83" s="3" t="n">
        <v>3520.62</v>
      </c>
      <c r="J83" s="3" t="n">
        <v>258.54</v>
      </c>
      <c r="K83" s="3" t="n">
        <v>2326.86</v>
      </c>
      <c r="L83" s="3" t="n">
        <v>1193.76</v>
      </c>
      <c r="M83" s="4" t="n">
        <v>0.3391</v>
      </c>
    </row>
    <row r="84">
      <c r="A84" s="2" t="inlineStr">
        <is>
          <t>SKL-00083</t>
        </is>
      </c>
      <c r="B84" s="2" t="inlineStr">
        <is>
          <t>SIP-0021</t>
        </is>
      </c>
      <c r="C84" s="2" t="inlineStr">
        <is>
          <t>ENDVAN-019</t>
        </is>
      </c>
      <c r="D84" s="5" t="n">
        <v>8</v>
      </c>
      <c r="E84" s="2" t="inlineStr">
        <is>
          <t>Adet</t>
        </is>
      </c>
      <c r="F84" s="3" t="n">
        <v>762.35</v>
      </c>
      <c r="G84" s="4" t="n">
        <v>0.0956</v>
      </c>
      <c r="H84" s="3" t="n">
        <v>689.47</v>
      </c>
      <c r="I84" s="3" t="n">
        <v>5515.76</v>
      </c>
      <c r="J84" s="3" t="n">
        <v>564.9400000000001</v>
      </c>
      <c r="K84" s="3" t="n">
        <v>4519.52</v>
      </c>
      <c r="L84" s="3" t="n">
        <v>996.24</v>
      </c>
      <c r="M84" s="4" t="n">
        <v>0.1806</v>
      </c>
    </row>
    <row r="85">
      <c r="A85" s="2" t="inlineStr">
        <is>
          <t>SKL-00084</t>
        </is>
      </c>
      <c r="B85" s="2" t="inlineStr">
        <is>
          <t>SIP-0021</t>
        </is>
      </c>
      <c r="C85" s="2" t="inlineStr">
        <is>
          <t>FLAIZO-007</t>
        </is>
      </c>
      <c r="D85" s="5" t="n">
        <v>83</v>
      </c>
      <c r="E85" s="2" t="inlineStr">
        <is>
          <t>Set</t>
        </is>
      </c>
      <c r="F85" s="3" t="n">
        <v>122.4</v>
      </c>
      <c r="G85" s="4" t="n">
        <v>0.0589</v>
      </c>
      <c r="H85" s="3" t="n">
        <v>115.19</v>
      </c>
      <c r="I85" s="3" t="n">
        <v>9560.77</v>
      </c>
      <c r="J85" s="3" t="n">
        <v>70.09</v>
      </c>
      <c r="K85" s="3" t="n">
        <v>5817.47</v>
      </c>
      <c r="L85" s="3" t="n">
        <v>3743.3</v>
      </c>
      <c r="M85" s="4" t="n">
        <v>0.3915</v>
      </c>
    </row>
    <row r="86">
      <c r="A86" s="2" t="inlineStr">
        <is>
          <t>SKL-00085</t>
        </is>
      </c>
      <c r="B86" s="2" t="inlineStr">
        <is>
          <t>SIP-0022</t>
        </is>
      </c>
      <c r="C86" s="2" t="inlineStr">
        <is>
          <t>YAREND-003</t>
        </is>
      </c>
      <c r="D86" s="5" t="n">
        <v>3</v>
      </c>
      <c r="E86" s="2" t="inlineStr">
        <is>
          <t>Adet</t>
        </is>
      </c>
      <c r="F86" s="3" t="n">
        <v>230.1</v>
      </c>
      <c r="G86" s="4" t="n">
        <v>0.0129</v>
      </c>
      <c r="H86" s="3" t="n">
        <v>227.13</v>
      </c>
      <c r="I86" s="3" t="n">
        <v>681.39</v>
      </c>
      <c r="J86" s="3" t="n">
        <v>159.13</v>
      </c>
      <c r="K86" s="3" t="n">
        <v>477.39</v>
      </c>
      <c r="L86" s="3" t="n">
        <v>204</v>
      </c>
      <c r="M86" s="4" t="n">
        <v>0.2994</v>
      </c>
    </row>
    <row r="87">
      <c r="A87" s="2" t="inlineStr">
        <is>
          <t>SKL-00086</t>
        </is>
      </c>
      <c r="B87" s="2" t="inlineStr">
        <is>
          <t>SIP-0022</t>
        </is>
      </c>
      <c r="C87" s="2" t="inlineStr">
        <is>
          <t>YAREND-008</t>
        </is>
      </c>
      <c r="D87" s="5" t="n">
        <v>12</v>
      </c>
      <c r="E87" s="2" t="inlineStr">
        <is>
          <t>Adet</t>
        </is>
      </c>
      <c r="F87" s="3" t="n">
        <v>973.48</v>
      </c>
      <c r="G87" s="4" t="n">
        <v>0.0228</v>
      </c>
      <c r="H87" s="3" t="n">
        <v>951.28</v>
      </c>
      <c r="I87" s="3" t="n">
        <v>11415.36</v>
      </c>
      <c r="J87" s="3" t="n">
        <v>582.91</v>
      </c>
      <c r="K87" s="3" t="n">
        <v>6994.92</v>
      </c>
      <c r="L87" s="3" t="n">
        <v>4420.44</v>
      </c>
      <c r="M87" s="4" t="n">
        <v>0.3872</v>
      </c>
    </row>
    <row r="88">
      <c r="A88" s="2" t="inlineStr">
        <is>
          <t>SKL-00087</t>
        </is>
      </c>
      <c r="B88" s="2" t="inlineStr">
        <is>
          <t>SIP-0022</t>
        </is>
      </c>
      <c r="C88" s="2" t="inlineStr">
        <is>
          <t>ENDVAN-030</t>
        </is>
      </c>
      <c r="D88" s="5" t="n">
        <v>7</v>
      </c>
      <c r="E88" s="2" t="inlineStr">
        <is>
          <t>Adet</t>
        </is>
      </c>
      <c r="F88" s="3" t="n">
        <v>457.38</v>
      </c>
      <c r="G88" s="4" t="n">
        <v>0.0858</v>
      </c>
      <c r="H88" s="3" t="n">
        <v>418.14</v>
      </c>
      <c r="I88" s="3" t="n">
        <v>2926.98</v>
      </c>
      <c r="J88" s="3" t="n">
        <v>303.77</v>
      </c>
      <c r="K88" s="3" t="n">
        <v>2126.39</v>
      </c>
      <c r="L88" s="3" t="n">
        <v>800.59</v>
      </c>
      <c r="M88" s="4" t="n">
        <v>0.2735</v>
      </c>
    </row>
    <row r="89">
      <c r="A89" s="2" t="inlineStr">
        <is>
          <t>SKL-00088</t>
        </is>
      </c>
      <c r="B89" s="2" t="inlineStr">
        <is>
          <t>SIP-0022</t>
        </is>
      </c>
      <c r="C89" s="2" t="inlineStr">
        <is>
          <t>FLAIZO-011</t>
        </is>
      </c>
      <c r="D89" s="5" t="n">
        <v>68</v>
      </c>
      <c r="E89" s="2" t="inlineStr">
        <is>
          <t>Set</t>
        </is>
      </c>
      <c r="F89" s="3" t="n">
        <v>156.85</v>
      </c>
      <c r="G89" s="4" t="n">
        <v>0.0678</v>
      </c>
      <c r="H89" s="3" t="n">
        <v>146.22</v>
      </c>
      <c r="I89" s="3" t="n">
        <v>9942.959999999999</v>
      </c>
      <c r="J89" s="3" t="n">
        <v>86.27</v>
      </c>
      <c r="K89" s="3" t="n">
        <v>5866.36</v>
      </c>
      <c r="L89" s="3" t="n">
        <v>4076.6</v>
      </c>
      <c r="M89" s="4" t="n">
        <v>0.41</v>
      </c>
    </row>
    <row r="90">
      <c r="A90" s="2" t="inlineStr">
        <is>
          <t>SKL-00089</t>
        </is>
      </c>
      <c r="B90" s="2" t="inlineStr">
        <is>
          <t>SIP-0023</t>
        </is>
      </c>
      <c r="C90" s="2" t="inlineStr">
        <is>
          <t>ENDVAN-022</t>
        </is>
      </c>
      <c r="D90" s="5" t="n">
        <v>10</v>
      </c>
      <c r="E90" s="2" t="inlineStr">
        <is>
          <t>Adet</t>
        </is>
      </c>
      <c r="F90" s="3" t="n">
        <v>212.4</v>
      </c>
      <c r="G90" s="4" t="n">
        <v>0.0025</v>
      </c>
      <c r="H90" s="3" t="n">
        <v>211.87</v>
      </c>
      <c r="I90" s="3" t="n">
        <v>2118.7</v>
      </c>
      <c r="J90" s="3" t="n">
        <v>163.9</v>
      </c>
      <c r="K90" s="3" t="n">
        <v>1639</v>
      </c>
      <c r="L90" s="3" t="n">
        <v>479.7</v>
      </c>
      <c r="M90" s="4" t="n">
        <v>0.2264</v>
      </c>
    </row>
    <row r="91">
      <c r="A91" s="2" t="inlineStr">
        <is>
          <t>SKL-00090</t>
        </is>
      </c>
      <c r="B91" s="2" t="inlineStr">
        <is>
          <t>SIP-0023</t>
        </is>
      </c>
      <c r="C91" s="2" t="inlineStr">
        <is>
          <t>YAREND-015</t>
        </is>
      </c>
      <c r="D91" s="5" t="n">
        <v>7</v>
      </c>
      <c r="E91" s="2" t="inlineStr">
        <is>
          <t>Adet</t>
        </is>
      </c>
      <c r="F91" s="3" t="n">
        <v>144.55</v>
      </c>
      <c r="G91" s="4" t="n">
        <v>0.0776</v>
      </c>
      <c r="H91" s="3" t="n">
        <v>133.33</v>
      </c>
      <c r="I91" s="3" t="n">
        <v>933.3099999999999</v>
      </c>
      <c r="J91" s="3" t="n">
        <v>114.22</v>
      </c>
      <c r="K91" s="3" t="n">
        <v>799.54</v>
      </c>
      <c r="L91" s="3" t="n">
        <v>133.77</v>
      </c>
      <c r="M91" s="4" t="n">
        <v>0.1433</v>
      </c>
    </row>
    <row r="92">
      <c r="A92" s="2" t="inlineStr">
        <is>
          <t>SKL-00091</t>
        </is>
      </c>
      <c r="B92" s="2" t="inlineStr">
        <is>
          <t>SIP-0023</t>
        </is>
      </c>
      <c r="C92" s="2" t="inlineStr">
        <is>
          <t>ENDVAN-010</t>
        </is>
      </c>
      <c r="D92" s="5" t="n">
        <v>7</v>
      </c>
      <c r="E92" s="2" t="inlineStr">
        <is>
          <t>Adet</t>
        </is>
      </c>
      <c r="F92" s="3" t="n">
        <v>1147.65</v>
      </c>
      <c r="G92" s="4" t="n">
        <v>0.0543</v>
      </c>
      <c r="H92" s="3" t="n">
        <v>1085.33</v>
      </c>
      <c r="I92" s="3" t="n">
        <v>7597.31</v>
      </c>
      <c r="J92" s="3" t="n">
        <v>891.17</v>
      </c>
      <c r="K92" s="3" t="n">
        <v>6238.19</v>
      </c>
      <c r="L92" s="3" t="n">
        <v>1359.12</v>
      </c>
      <c r="M92" s="4" t="n">
        <v>0.1789</v>
      </c>
    </row>
    <row r="93">
      <c r="A93" s="2" t="inlineStr">
        <is>
          <t>SKL-00092</t>
        </is>
      </c>
      <c r="B93" s="2" t="inlineStr">
        <is>
          <t>SIP-0024</t>
        </is>
      </c>
      <c r="C93" s="2" t="inlineStr">
        <is>
          <t>ENDVAN-004</t>
        </is>
      </c>
      <c r="D93" s="5" t="n">
        <v>5</v>
      </c>
      <c r="E93" s="2" t="inlineStr">
        <is>
          <t>Adet</t>
        </is>
      </c>
      <c r="F93" s="3" t="n">
        <v>280.82</v>
      </c>
      <c r="G93" s="4" t="n">
        <v>0.0658</v>
      </c>
      <c r="H93" s="3" t="n">
        <v>262.34</v>
      </c>
      <c r="I93" s="3" t="n">
        <v>1311.7</v>
      </c>
      <c r="J93" s="3" t="n">
        <v>212.53</v>
      </c>
      <c r="K93" s="3" t="n">
        <v>1062.65</v>
      </c>
      <c r="L93" s="3" t="n">
        <v>249.05</v>
      </c>
      <c r="M93" s="4" t="n">
        <v>0.1899</v>
      </c>
    </row>
    <row r="94">
      <c r="A94" s="2" t="inlineStr">
        <is>
          <t>SKL-00093</t>
        </is>
      </c>
      <c r="B94" s="2" t="inlineStr">
        <is>
          <t>SIP-0024</t>
        </is>
      </c>
      <c r="C94" s="2" t="inlineStr">
        <is>
          <t>FLAIZO-002</t>
        </is>
      </c>
      <c r="D94" s="5" t="n">
        <v>22</v>
      </c>
      <c r="E94" s="2" t="inlineStr">
        <is>
          <t>Set</t>
        </is>
      </c>
      <c r="F94" s="3" t="n">
        <v>101.15</v>
      </c>
      <c r="G94" s="4" t="n">
        <v>0.0406</v>
      </c>
      <c r="H94" s="3" t="n">
        <v>97.04000000000001</v>
      </c>
      <c r="I94" s="3" t="n">
        <v>2134.88</v>
      </c>
      <c r="J94" s="3" t="n">
        <v>54.73</v>
      </c>
      <c r="K94" s="3" t="n">
        <v>1204.06</v>
      </c>
      <c r="L94" s="3" t="n">
        <v>930.8200000000001</v>
      </c>
      <c r="M94" s="4" t="n">
        <v>0.436</v>
      </c>
    </row>
    <row r="95">
      <c r="A95" s="2" t="inlineStr">
        <is>
          <t>SKL-00094</t>
        </is>
      </c>
      <c r="B95" s="2" t="inlineStr">
        <is>
          <t>SIP-0025</t>
        </is>
      </c>
      <c r="C95" s="2" t="inlineStr">
        <is>
          <t>ENDVAN-025</t>
        </is>
      </c>
      <c r="D95" s="5" t="n">
        <v>16</v>
      </c>
      <c r="E95" s="2" t="inlineStr">
        <is>
          <t>Adet</t>
        </is>
      </c>
      <c r="F95" s="3" t="n">
        <v>308.31</v>
      </c>
      <c r="G95" s="4" t="n">
        <v>0.0854</v>
      </c>
      <c r="H95" s="3" t="n">
        <v>281.98</v>
      </c>
      <c r="I95" s="3" t="n">
        <v>4511.68</v>
      </c>
      <c r="J95" s="3" t="n">
        <v>205.87</v>
      </c>
      <c r="K95" s="3" t="n">
        <v>3293.92</v>
      </c>
      <c r="L95" s="3" t="n">
        <v>1217.76</v>
      </c>
      <c r="M95" s="4" t="n">
        <v>0.2699</v>
      </c>
    </row>
    <row r="96">
      <c r="A96" s="2" t="inlineStr">
        <is>
          <t>SKL-00095</t>
        </is>
      </c>
      <c r="B96" s="2" t="inlineStr">
        <is>
          <t>SIP-0025</t>
        </is>
      </c>
      <c r="C96" s="2" t="inlineStr">
        <is>
          <t>PROTAN-003</t>
        </is>
      </c>
      <c r="D96" s="5" t="n">
        <v>1</v>
      </c>
      <c r="E96" s="2" t="inlineStr">
        <is>
          <t>Adet</t>
        </is>
      </c>
      <c r="F96" s="3" t="n">
        <v>6880.39</v>
      </c>
      <c r="G96" s="4" t="n">
        <v>0.009299999999999999</v>
      </c>
      <c r="H96" s="3" t="n">
        <v>6816.4</v>
      </c>
      <c r="I96" s="3" t="n">
        <v>6816.4</v>
      </c>
      <c r="J96" s="3" t="n">
        <v>5114.72</v>
      </c>
      <c r="K96" s="3" t="n">
        <v>5114.72</v>
      </c>
      <c r="L96" s="3" t="n">
        <v>1701.68</v>
      </c>
      <c r="M96" s="4" t="n">
        <v>0.2496</v>
      </c>
    </row>
    <row r="97">
      <c r="A97" s="2" t="inlineStr">
        <is>
          <t>SKL-00096</t>
        </is>
      </c>
      <c r="B97" s="2" t="inlineStr">
        <is>
          <t>SIP-0025</t>
        </is>
      </c>
      <c r="C97" s="2" t="inlineStr">
        <is>
          <t>YAREND-013</t>
        </is>
      </c>
      <c r="D97" s="5" t="n">
        <v>3</v>
      </c>
      <c r="E97" s="2" t="inlineStr">
        <is>
          <t>Adet</t>
        </is>
      </c>
      <c r="F97" s="3" t="n">
        <v>560.3099999999999</v>
      </c>
      <c r="G97" s="4" t="n">
        <v>0.0145</v>
      </c>
      <c r="H97" s="3" t="n">
        <v>552.1900000000001</v>
      </c>
      <c r="I97" s="3" t="n">
        <v>1656.57</v>
      </c>
      <c r="J97" s="3" t="n">
        <v>387.77</v>
      </c>
      <c r="K97" s="3" t="n">
        <v>1163.31</v>
      </c>
      <c r="L97" s="3" t="n">
        <v>493.26</v>
      </c>
      <c r="M97" s="4" t="n">
        <v>0.2978</v>
      </c>
    </row>
    <row r="98">
      <c r="A98" s="2" t="inlineStr">
        <is>
          <t>SKL-00097</t>
        </is>
      </c>
      <c r="B98" s="2" t="inlineStr">
        <is>
          <t>SIP-0026</t>
        </is>
      </c>
      <c r="C98" s="2" t="inlineStr">
        <is>
          <t>ENDVAN-030</t>
        </is>
      </c>
      <c r="D98" s="5" t="n">
        <v>12</v>
      </c>
      <c r="E98" s="2" t="inlineStr">
        <is>
          <t>Adet</t>
        </is>
      </c>
      <c r="F98" s="3" t="n">
        <v>463.85</v>
      </c>
      <c r="G98" s="4" t="n">
        <v>0.09</v>
      </c>
      <c r="H98" s="3" t="n">
        <v>422.1</v>
      </c>
      <c r="I98" s="3" t="n">
        <v>5065.2</v>
      </c>
      <c r="J98" s="3" t="n">
        <v>303.77</v>
      </c>
      <c r="K98" s="3" t="n">
        <v>3645.24</v>
      </c>
      <c r="L98" s="3" t="n">
        <v>1419.96</v>
      </c>
      <c r="M98" s="4" t="n">
        <v>0.2803</v>
      </c>
    </row>
    <row r="99">
      <c r="A99" s="2" t="inlineStr">
        <is>
          <t>SKL-00098</t>
        </is>
      </c>
      <c r="B99" s="2" t="inlineStr">
        <is>
          <t>SIP-0026</t>
        </is>
      </c>
      <c r="C99" s="2" t="inlineStr">
        <is>
          <t>FLAIZO-003</t>
        </is>
      </c>
      <c r="D99" s="5" t="n">
        <v>70</v>
      </c>
      <c r="E99" s="2" t="inlineStr">
        <is>
          <t>Set</t>
        </is>
      </c>
      <c r="F99" s="3" t="n">
        <v>157.67</v>
      </c>
      <c r="G99" s="4" t="n">
        <v>0.0523</v>
      </c>
      <c r="H99" s="3" t="n">
        <v>149.42</v>
      </c>
      <c r="I99" s="3" t="n">
        <v>10459.4</v>
      </c>
      <c r="J99" s="3" t="n">
        <v>90.26000000000001</v>
      </c>
      <c r="K99" s="3" t="n">
        <v>6318.2</v>
      </c>
      <c r="L99" s="3" t="n">
        <v>4141.2</v>
      </c>
      <c r="M99" s="4" t="n">
        <v>0.3959</v>
      </c>
    </row>
    <row r="100">
      <c r="A100" s="2" t="inlineStr">
        <is>
          <t>SKL-00099</t>
        </is>
      </c>
      <c r="B100" s="2" t="inlineStr">
        <is>
          <t>SIP-0026</t>
        </is>
      </c>
      <c r="C100" s="2" t="inlineStr">
        <is>
          <t>ENDVAN-026</t>
        </is>
      </c>
      <c r="D100" s="5" t="n">
        <v>5</v>
      </c>
      <c r="E100" s="2" t="inlineStr">
        <is>
          <t>Adet</t>
        </is>
      </c>
      <c r="F100" s="3" t="n">
        <v>1381.03</v>
      </c>
      <c r="G100" s="4" t="n">
        <v>0.0433</v>
      </c>
      <c r="H100" s="3" t="n">
        <v>1321.23</v>
      </c>
      <c r="I100" s="3" t="n">
        <v>6606.15</v>
      </c>
      <c r="J100" s="3" t="n">
        <v>1039.5</v>
      </c>
      <c r="K100" s="3" t="n">
        <v>5197.5</v>
      </c>
      <c r="L100" s="3" t="n">
        <v>1408.65</v>
      </c>
      <c r="M100" s="4" t="n">
        <v>0.2132</v>
      </c>
    </row>
    <row r="101">
      <c r="A101" s="2" t="inlineStr">
        <is>
          <t>SKL-00100</t>
        </is>
      </c>
      <c r="B101" s="2" t="inlineStr">
        <is>
          <t>SIP-0027</t>
        </is>
      </c>
      <c r="C101" s="2" t="inlineStr">
        <is>
          <t>MEKSIZ-004</t>
        </is>
      </c>
      <c r="D101" s="5" t="n">
        <v>13</v>
      </c>
      <c r="E101" s="2" t="inlineStr">
        <is>
          <t>Adet</t>
        </is>
      </c>
      <c r="F101" s="3" t="n">
        <v>254.5</v>
      </c>
      <c r="G101" s="4" t="n">
        <v>0.0706</v>
      </c>
      <c r="H101" s="3" t="n">
        <v>236.53</v>
      </c>
      <c r="I101" s="3" t="n">
        <v>3074.89</v>
      </c>
      <c r="J101" s="3" t="n">
        <v>164.52</v>
      </c>
      <c r="K101" s="3" t="n">
        <v>2138.76</v>
      </c>
      <c r="L101" s="3" t="n">
        <v>936.13</v>
      </c>
      <c r="M101" s="4" t="n">
        <v>0.3044</v>
      </c>
    </row>
    <row r="102">
      <c r="A102" s="2" t="inlineStr">
        <is>
          <t>SKL-00101</t>
        </is>
      </c>
      <c r="B102" s="2" t="inlineStr">
        <is>
          <t>SIP-0027</t>
        </is>
      </c>
      <c r="C102" s="2" t="inlineStr">
        <is>
          <t>FLAIZO-003</t>
        </is>
      </c>
      <c r="D102" s="5" t="n">
        <v>60</v>
      </c>
      <c r="E102" s="2" t="inlineStr">
        <is>
          <t>Set</t>
        </is>
      </c>
      <c r="F102" s="3" t="n">
        <v>140.48</v>
      </c>
      <c r="G102" s="4" t="n">
        <v>0.0581</v>
      </c>
      <c r="H102" s="3" t="n">
        <v>132.32</v>
      </c>
      <c r="I102" s="3" t="n">
        <v>7939.2</v>
      </c>
      <c r="J102" s="3" t="n">
        <v>90.26000000000001</v>
      </c>
      <c r="K102" s="3" t="n">
        <v>5415.6</v>
      </c>
      <c r="L102" s="3" t="n">
        <v>2523.6</v>
      </c>
      <c r="M102" s="4" t="n">
        <v>0.3179</v>
      </c>
    </row>
    <row r="103">
      <c r="A103" s="2" t="inlineStr">
        <is>
          <t>SKL-00102</t>
        </is>
      </c>
      <c r="B103" s="2" t="inlineStr">
        <is>
          <t>SIP-0028</t>
        </is>
      </c>
      <c r="C103" s="2" t="inlineStr">
        <is>
          <t>MEKSIZ-001</t>
        </is>
      </c>
      <c r="D103" s="5" t="n">
        <v>28</v>
      </c>
      <c r="E103" s="2" t="inlineStr">
        <is>
          <t>Adet</t>
        </is>
      </c>
      <c r="F103" s="3" t="n">
        <v>612.4</v>
      </c>
      <c r="G103" s="4" t="n">
        <v>0.0034</v>
      </c>
      <c r="H103" s="3" t="n">
        <v>610.3200000000001</v>
      </c>
      <c r="I103" s="3" t="n">
        <v>17088.96</v>
      </c>
      <c r="J103" s="3" t="n">
        <v>372.57</v>
      </c>
      <c r="K103" s="3" t="n">
        <v>10431.96</v>
      </c>
      <c r="L103" s="3" t="n">
        <v>6657</v>
      </c>
      <c r="M103" s="4" t="n">
        <v>0.3895</v>
      </c>
    </row>
    <row r="104">
      <c r="A104" s="2" t="inlineStr">
        <is>
          <t>SKL-00103</t>
        </is>
      </c>
      <c r="B104" s="2" t="inlineStr">
        <is>
          <t>SIP-0028</t>
        </is>
      </c>
      <c r="C104" s="2" t="inlineStr">
        <is>
          <t>FLAIZO-003</t>
        </is>
      </c>
      <c r="D104" s="5" t="n">
        <v>46</v>
      </c>
      <c r="E104" s="2" t="inlineStr">
        <is>
          <t>Set</t>
        </is>
      </c>
      <c r="F104" s="3" t="n">
        <v>147.28</v>
      </c>
      <c r="G104" s="4" t="n">
        <v>0.0674</v>
      </c>
      <c r="H104" s="3" t="n">
        <v>137.35</v>
      </c>
      <c r="I104" s="3" t="n">
        <v>6318.1</v>
      </c>
      <c r="J104" s="3" t="n">
        <v>90.26000000000001</v>
      </c>
      <c r="K104" s="3" t="n">
        <v>4151.96</v>
      </c>
      <c r="L104" s="3" t="n">
        <v>2166.14</v>
      </c>
      <c r="M104" s="4" t="n">
        <v>0.3428</v>
      </c>
    </row>
    <row r="105">
      <c r="A105" s="2" t="inlineStr">
        <is>
          <t>SKL-00104</t>
        </is>
      </c>
      <c r="B105" s="2" t="inlineStr">
        <is>
          <t>SIP-0028</t>
        </is>
      </c>
      <c r="C105" s="2" t="inlineStr">
        <is>
          <t>ENDVAN-034</t>
        </is>
      </c>
      <c r="D105" s="5" t="n">
        <v>14</v>
      </c>
      <c r="E105" s="2" t="inlineStr">
        <is>
          <t>Adet</t>
        </is>
      </c>
      <c r="F105" s="3" t="n">
        <v>814.4</v>
      </c>
      <c r="G105" s="4" t="n">
        <v>0.0761</v>
      </c>
      <c r="H105" s="3" t="n">
        <v>752.42</v>
      </c>
      <c r="I105" s="3" t="n">
        <v>10533.88</v>
      </c>
      <c r="J105" s="3" t="n">
        <v>595.41</v>
      </c>
      <c r="K105" s="3" t="n">
        <v>8335.74</v>
      </c>
      <c r="L105" s="3" t="n">
        <v>2198.14</v>
      </c>
      <c r="M105" s="4" t="n">
        <v>0.2087</v>
      </c>
    </row>
    <row r="106">
      <c r="A106" s="2" t="inlineStr">
        <is>
          <t>SKL-00105</t>
        </is>
      </c>
      <c r="B106" s="2" t="inlineStr">
        <is>
          <t>SIP-0028</t>
        </is>
      </c>
      <c r="C106" s="2" t="inlineStr">
        <is>
          <t>ENDVAN-002</t>
        </is>
      </c>
      <c r="D106" s="5" t="n">
        <v>14</v>
      </c>
      <c r="E106" s="2" t="inlineStr">
        <is>
          <t>Adet</t>
        </is>
      </c>
      <c r="F106" s="3" t="n">
        <v>247.16</v>
      </c>
      <c r="G106" s="4" t="n">
        <v>0.013</v>
      </c>
      <c r="H106" s="3" t="n">
        <v>243.95</v>
      </c>
      <c r="I106" s="3" t="n">
        <v>3415.3</v>
      </c>
      <c r="J106" s="3" t="n">
        <v>186.74</v>
      </c>
      <c r="K106" s="3" t="n">
        <v>2614.36</v>
      </c>
      <c r="L106" s="3" t="n">
        <v>800.9400000000001</v>
      </c>
      <c r="M106" s="4" t="n">
        <v>0.2345</v>
      </c>
    </row>
    <row r="107">
      <c r="A107" s="2" t="inlineStr">
        <is>
          <t>SKL-00106</t>
        </is>
      </c>
      <c r="B107" s="2" t="inlineStr">
        <is>
          <t>SIP-0028</t>
        </is>
      </c>
      <c r="C107" s="2" t="inlineStr">
        <is>
          <t>ENDVAN-034</t>
        </is>
      </c>
      <c r="D107" s="5" t="n">
        <v>9</v>
      </c>
      <c r="E107" s="2" t="inlineStr">
        <is>
          <t>Adet</t>
        </is>
      </c>
      <c r="F107" s="3" t="n">
        <v>749.85</v>
      </c>
      <c r="G107" s="4" t="n">
        <v>0.0893</v>
      </c>
      <c r="H107" s="3" t="n">
        <v>682.89</v>
      </c>
      <c r="I107" s="3" t="n">
        <v>6146.01</v>
      </c>
      <c r="J107" s="3" t="n">
        <v>595.41</v>
      </c>
      <c r="K107" s="3" t="n">
        <v>5358.69</v>
      </c>
      <c r="L107" s="3" t="n">
        <v>787.3200000000001</v>
      </c>
      <c r="M107" s="4" t="n">
        <v>0.1281</v>
      </c>
    </row>
    <row r="108">
      <c r="A108" s="2" t="inlineStr">
        <is>
          <t>SKL-00107</t>
        </is>
      </c>
      <c r="B108" s="2" t="inlineStr">
        <is>
          <t>SIP-0029</t>
        </is>
      </c>
      <c r="C108" s="2" t="inlineStr">
        <is>
          <t>KAR/-008</t>
        </is>
      </c>
      <c r="D108" s="5" t="n">
        <v>2</v>
      </c>
      <c r="E108" s="2" t="inlineStr">
        <is>
          <t>Adet</t>
        </is>
      </c>
      <c r="F108" s="3" t="n">
        <v>4352.99</v>
      </c>
      <c r="G108" s="4" t="n">
        <v>0.009900000000000001</v>
      </c>
      <c r="H108" s="3" t="n">
        <v>4309.9</v>
      </c>
      <c r="I108" s="3" t="n">
        <v>8619.799999999999</v>
      </c>
      <c r="J108" s="3" t="n">
        <v>3361.51</v>
      </c>
      <c r="K108" s="3" t="n">
        <v>6723.02</v>
      </c>
      <c r="L108" s="3" t="n">
        <v>1896.78</v>
      </c>
      <c r="M108" s="4" t="n">
        <v>0.22</v>
      </c>
    </row>
    <row r="109">
      <c r="A109" s="2" t="inlineStr">
        <is>
          <t>SKL-00108</t>
        </is>
      </c>
      <c r="B109" s="2" t="inlineStr">
        <is>
          <t>SIP-0030</t>
        </is>
      </c>
      <c r="C109" s="2" t="inlineStr">
        <is>
          <t>FLAIZO-010</t>
        </is>
      </c>
      <c r="D109" s="5" t="n">
        <v>37</v>
      </c>
      <c r="E109" s="2" t="inlineStr">
        <is>
          <t>Set</t>
        </is>
      </c>
      <c r="F109" s="3" t="n">
        <v>155.15</v>
      </c>
      <c r="G109" s="4" t="n">
        <v>0.012</v>
      </c>
      <c r="H109" s="3" t="n">
        <v>153.29</v>
      </c>
      <c r="I109" s="3" t="n">
        <v>5671.73</v>
      </c>
      <c r="J109" s="3" t="n">
        <v>82.88</v>
      </c>
      <c r="K109" s="3" t="n">
        <v>3066.56</v>
      </c>
      <c r="L109" s="3" t="n">
        <v>2605.17</v>
      </c>
      <c r="M109" s="4" t="n">
        <v>0.4593</v>
      </c>
    </row>
    <row r="110">
      <c r="A110" s="2" t="inlineStr">
        <is>
          <t>SKL-00109</t>
        </is>
      </c>
      <c r="B110" s="2" t="inlineStr">
        <is>
          <t>SIP-0030</t>
        </is>
      </c>
      <c r="C110" s="2" t="inlineStr">
        <is>
          <t>YAREND-015</t>
        </is>
      </c>
      <c r="D110" s="5" t="n">
        <v>13</v>
      </c>
      <c r="E110" s="2" t="inlineStr">
        <is>
          <t>Adet</t>
        </is>
      </c>
      <c r="F110" s="3" t="n">
        <v>149.61</v>
      </c>
      <c r="G110" s="4" t="n">
        <v>0.0353</v>
      </c>
      <c r="H110" s="3" t="n">
        <v>144.33</v>
      </c>
      <c r="I110" s="3" t="n">
        <v>1876.29</v>
      </c>
      <c r="J110" s="3" t="n">
        <v>114.22</v>
      </c>
      <c r="K110" s="3" t="n">
        <v>1484.86</v>
      </c>
      <c r="L110" s="3" t="n">
        <v>391.43</v>
      </c>
      <c r="M110" s="4" t="n">
        <v>0.2086</v>
      </c>
    </row>
    <row r="111">
      <c r="A111" s="2" t="inlineStr">
        <is>
          <t>SKL-00110</t>
        </is>
      </c>
      <c r="B111" s="2" t="inlineStr">
        <is>
          <t>SIP-0031</t>
        </is>
      </c>
      <c r="C111" s="2" t="inlineStr">
        <is>
          <t>ENDVAN-016</t>
        </is>
      </c>
      <c r="D111" s="5" t="n">
        <v>2</v>
      </c>
      <c r="E111" s="2" t="inlineStr">
        <is>
          <t>Adet</t>
        </is>
      </c>
      <c r="F111" s="3" t="n">
        <v>834.22</v>
      </c>
      <c r="G111" s="4" t="n">
        <v>0.0573</v>
      </c>
      <c r="H111" s="3" t="n">
        <v>786.42</v>
      </c>
      <c r="I111" s="3" t="n">
        <v>1572.84</v>
      </c>
      <c r="J111" s="3" t="n">
        <v>674.97</v>
      </c>
      <c r="K111" s="3" t="n">
        <v>1349.94</v>
      </c>
      <c r="L111" s="3" t="n">
        <v>222.9</v>
      </c>
      <c r="M111" s="4" t="n">
        <v>0.1417</v>
      </c>
    </row>
    <row r="112">
      <c r="A112" s="2" t="inlineStr">
        <is>
          <t>SKL-00111</t>
        </is>
      </c>
      <c r="B112" s="2" t="inlineStr">
        <is>
          <t>SIP-0032</t>
        </is>
      </c>
      <c r="C112" s="2" t="inlineStr">
        <is>
          <t>FLAIZO-012</t>
        </is>
      </c>
      <c r="D112" s="5" t="n">
        <v>66</v>
      </c>
      <c r="E112" s="2" t="inlineStr">
        <is>
          <t>Set</t>
        </is>
      </c>
      <c r="F112" s="3" t="n">
        <v>48.04</v>
      </c>
      <c r="G112" s="4" t="n">
        <v>0.0803</v>
      </c>
      <c r="H112" s="3" t="n">
        <v>44.18</v>
      </c>
      <c r="I112" s="3" t="n">
        <v>2915.88</v>
      </c>
      <c r="J112" s="3" t="n">
        <v>30.33</v>
      </c>
      <c r="K112" s="3" t="n">
        <v>2001.78</v>
      </c>
      <c r="L112" s="3" t="n">
        <v>914.1</v>
      </c>
      <c r="M112" s="4" t="n">
        <v>0.3135</v>
      </c>
    </row>
    <row r="113">
      <c r="A113" s="2" t="inlineStr">
        <is>
          <t>SKL-00112</t>
        </is>
      </c>
      <c r="B113" s="2" t="inlineStr">
        <is>
          <t>SIP-0032</t>
        </is>
      </c>
      <c r="C113" s="2" t="inlineStr">
        <is>
          <t>KAR/-010</t>
        </is>
      </c>
      <c r="D113" s="5" t="n">
        <v>3</v>
      </c>
      <c r="E113" s="2" t="inlineStr">
        <is>
          <t>Adet</t>
        </is>
      </c>
      <c r="F113" s="3" t="n">
        <v>8956.719999999999</v>
      </c>
      <c r="G113" s="4" t="n">
        <v>0.1089</v>
      </c>
      <c r="H113" s="3" t="n">
        <v>7981.33</v>
      </c>
      <c r="I113" s="3" t="n">
        <v>23943.99</v>
      </c>
      <c r="J113" s="3" t="n">
        <v>6787.7</v>
      </c>
      <c r="K113" s="3" t="n">
        <v>20363.1</v>
      </c>
      <c r="L113" s="3" t="n">
        <v>3580.89</v>
      </c>
      <c r="M113" s="4" t="n">
        <v>0.1496</v>
      </c>
    </row>
    <row r="114">
      <c r="A114" s="2" t="inlineStr">
        <is>
          <t>SKL-00113</t>
        </is>
      </c>
      <c r="B114" s="2" t="inlineStr">
        <is>
          <t>SIP-0032</t>
        </is>
      </c>
      <c r="C114" s="2" t="inlineStr">
        <is>
          <t>ENDVAN-029</t>
        </is>
      </c>
      <c r="D114" s="5" t="n">
        <v>6</v>
      </c>
      <c r="E114" s="2" t="inlineStr">
        <is>
          <t>Adet</t>
        </is>
      </c>
      <c r="F114" s="3" t="n">
        <v>523.84</v>
      </c>
      <c r="G114" s="4" t="n">
        <v>0.0687</v>
      </c>
      <c r="H114" s="3" t="n">
        <v>487.85</v>
      </c>
      <c r="I114" s="3" t="n">
        <v>2927.1</v>
      </c>
      <c r="J114" s="3" t="n">
        <v>318.96</v>
      </c>
      <c r="K114" s="3" t="n">
        <v>1913.76</v>
      </c>
      <c r="L114" s="3" t="n">
        <v>1013.34</v>
      </c>
      <c r="M114" s="4" t="n">
        <v>0.3462</v>
      </c>
    </row>
    <row r="115">
      <c r="A115" s="2" t="inlineStr">
        <is>
          <t>SKL-00114</t>
        </is>
      </c>
      <c r="B115" s="2" t="inlineStr">
        <is>
          <t>SIP-0033</t>
        </is>
      </c>
      <c r="C115" s="2" t="inlineStr">
        <is>
          <t>MEKSIZ-003</t>
        </is>
      </c>
      <c r="D115" s="5" t="n">
        <v>20</v>
      </c>
      <c r="E115" s="2" t="inlineStr">
        <is>
          <t>Adet</t>
        </is>
      </c>
      <c r="F115" s="3" t="n">
        <v>497.67</v>
      </c>
      <c r="G115" s="4" t="n">
        <v>0.0644</v>
      </c>
      <c r="H115" s="3" t="n">
        <v>465.62</v>
      </c>
      <c r="I115" s="3" t="n">
        <v>9312.4</v>
      </c>
      <c r="J115" s="3" t="n">
        <v>341.68</v>
      </c>
      <c r="K115" s="3" t="n">
        <v>6833.6</v>
      </c>
      <c r="L115" s="3" t="n">
        <v>2478.8</v>
      </c>
      <c r="M115" s="4" t="n">
        <v>0.2662</v>
      </c>
    </row>
    <row r="116">
      <c r="A116" s="2" t="inlineStr">
        <is>
          <t>SKL-00115</t>
        </is>
      </c>
      <c r="B116" s="2" t="inlineStr">
        <is>
          <t>SIP-0033</t>
        </is>
      </c>
      <c r="C116" s="2" t="inlineStr">
        <is>
          <t>FLAIZO-007</t>
        </is>
      </c>
      <c r="D116" s="5" t="n">
        <v>90</v>
      </c>
      <c r="E116" s="2" t="inlineStr">
        <is>
          <t>Set</t>
        </is>
      </c>
      <c r="F116" s="3" t="n">
        <v>117.24</v>
      </c>
      <c r="G116" s="4" t="n">
        <v>0.0212</v>
      </c>
      <c r="H116" s="3" t="n">
        <v>114.75</v>
      </c>
      <c r="I116" s="3" t="n">
        <v>10327.5</v>
      </c>
      <c r="J116" s="3" t="n">
        <v>70.09</v>
      </c>
      <c r="K116" s="3" t="n">
        <v>6308.1</v>
      </c>
      <c r="L116" s="3" t="n">
        <v>4019.4</v>
      </c>
      <c r="M116" s="4" t="n">
        <v>0.3892</v>
      </c>
    </row>
    <row r="117">
      <c r="A117" s="2" t="inlineStr">
        <is>
          <t>SKL-00116</t>
        </is>
      </c>
      <c r="B117" s="2" t="inlineStr">
        <is>
          <t>SIP-0034</t>
        </is>
      </c>
      <c r="C117" s="2" t="inlineStr">
        <is>
          <t>ENDVAN-013</t>
        </is>
      </c>
      <c r="D117" s="5" t="n">
        <v>9</v>
      </c>
      <c r="E117" s="2" t="inlineStr">
        <is>
          <t>Adet</t>
        </is>
      </c>
      <c r="F117" s="3" t="n">
        <v>1490.62</v>
      </c>
      <c r="G117" s="4" t="n">
        <v>0.0188</v>
      </c>
      <c r="H117" s="3" t="n">
        <v>1462.6</v>
      </c>
      <c r="I117" s="3" t="n">
        <v>13163.4</v>
      </c>
      <c r="J117" s="3" t="n">
        <v>1133.86</v>
      </c>
      <c r="K117" s="3" t="n">
        <v>10204.74</v>
      </c>
      <c r="L117" s="3" t="n">
        <v>2958.66</v>
      </c>
      <c r="M117" s="4" t="n">
        <v>0.2248</v>
      </c>
    </row>
    <row r="118">
      <c r="A118" s="2" t="inlineStr">
        <is>
          <t>SKL-00117</t>
        </is>
      </c>
      <c r="B118" s="2" t="inlineStr">
        <is>
          <t>SIP-0034</t>
        </is>
      </c>
      <c r="C118" s="2" t="inlineStr">
        <is>
          <t>ENDVAN-009</t>
        </is>
      </c>
      <c r="D118" s="5" t="n">
        <v>16</v>
      </c>
      <c r="E118" s="2" t="inlineStr">
        <is>
          <t>Adet</t>
        </is>
      </c>
      <c r="F118" s="3" t="n">
        <v>575.91</v>
      </c>
      <c r="G118" s="4" t="n">
        <v>0.0587</v>
      </c>
      <c r="H118" s="3" t="n">
        <v>542.1</v>
      </c>
      <c r="I118" s="3" t="n">
        <v>8673.6</v>
      </c>
      <c r="J118" s="3" t="n">
        <v>411.64</v>
      </c>
      <c r="K118" s="3" t="n">
        <v>6586.24</v>
      </c>
      <c r="L118" s="3" t="n">
        <v>2087.36</v>
      </c>
      <c r="M118" s="4" t="n">
        <v>0.2407</v>
      </c>
    </row>
    <row r="119">
      <c r="A119" s="2" t="inlineStr">
        <is>
          <t>SKL-00118</t>
        </is>
      </c>
      <c r="B119" s="2" t="inlineStr">
        <is>
          <t>SIP-0034</t>
        </is>
      </c>
      <c r="C119" s="2" t="inlineStr">
        <is>
          <t>YAREND-004</t>
        </is>
      </c>
      <c r="D119" s="5" t="n">
        <v>12</v>
      </c>
      <c r="E119" s="2" t="inlineStr">
        <is>
          <t>Adet</t>
        </is>
      </c>
      <c r="F119" s="3" t="n">
        <v>1036.33</v>
      </c>
      <c r="G119" s="4" t="n">
        <v>0.0634</v>
      </c>
      <c r="H119" s="3" t="n">
        <v>970.63</v>
      </c>
      <c r="I119" s="3" t="n">
        <v>11647.56</v>
      </c>
      <c r="J119" s="3" t="n">
        <v>774.26</v>
      </c>
      <c r="K119" s="3" t="n">
        <v>9291.120000000001</v>
      </c>
      <c r="L119" s="3" t="n">
        <v>2356.44</v>
      </c>
      <c r="M119" s="4" t="n">
        <v>0.2023</v>
      </c>
    </row>
    <row r="120">
      <c r="A120" s="2" t="inlineStr">
        <is>
          <t>SKL-00119</t>
        </is>
      </c>
      <c r="B120" s="2" t="inlineStr">
        <is>
          <t>SIP-0034</t>
        </is>
      </c>
      <c r="C120" s="2" t="inlineStr">
        <is>
          <t>ENDVAN-013</t>
        </is>
      </c>
      <c r="D120" s="5" t="n">
        <v>21</v>
      </c>
      <c r="E120" s="2" t="inlineStr">
        <is>
          <t>Adet</t>
        </is>
      </c>
      <c r="F120" s="3" t="n">
        <v>1514.35</v>
      </c>
      <c r="G120" s="4" t="n">
        <v>0.0398</v>
      </c>
      <c r="H120" s="3" t="n">
        <v>1454.08</v>
      </c>
      <c r="I120" s="3" t="n">
        <v>30535.68</v>
      </c>
      <c r="J120" s="3" t="n">
        <v>1133.86</v>
      </c>
      <c r="K120" s="3" t="n">
        <v>23811.06</v>
      </c>
      <c r="L120" s="3" t="n">
        <v>6724.62</v>
      </c>
      <c r="M120" s="4" t="n">
        <v>0.2202</v>
      </c>
    </row>
    <row r="121">
      <c r="A121" s="2" t="inlineStr">
        <is>
          <t>SKL-00120</t>
        </is>
      </c>
      <c r="B121" s="2" t="inlineStr">
        <is>
          <t>SIP-0034</t>
        </is>
      </c>
      <c r="C121" s="2" t="inlineStr">
        <is>
          <t>FLAIZO-003</t>
        </is>
      </c>
      <c r="D121" s="5" t="n">
        <v>51</v>
      </c>
      <c r="E121" s="2" t="inlineStr">
        <is>
          <t>Set</t>
        </is>
      </c>
      <c r="F121" s="3" t="n">
        <v>144.11</v>
      </c>
      <c r="G121" s="4" t="n">
        <v>0.0795</v>
      </c>
      <c r="H121" s="3" t="n">
        <v>132.65</v>
      </c>
      <c r="I121" s="3" t="n">
        <v>6765.15</v>
      </c>
      <c r="J121" s="3" t="n">
        <v>90.26000000000001</v>
      </c>
      <c r="K121" s="3" t="n">
        <v>4603.26</v>
      </c>
      <c r="L121" s="3" t="n">
        <v>2161.89</v>
      </c>
      <c r="M121" s="4" t="n">
        <v>0.3196</v>
      </c>
    </row>
    <row r="122">
      <c r="A122" s="2" t="inlineStr">
        <is>
          <t>SKL-00121</t>
        </is>
      </c>
      <c r="B122" s="2" t="inlineStr">
        <is>
          <t>SIP-0034</t>
        </is>
      </c>
      <c r="C122" s="2" t="inlineStr">
        <is>
          <t>MEKSIZ-005</t>
        </is>
      </c>
      <c r="D122" s="5" t="n">
        <v>24</v>
      </c>
      <c r="E122" s="2" t="inlineStr">
        <is>
          <t>Adet</t>
        </is>
      </c>
      <c r="F122" s="3" t="n">
        <v>640.96</v>
      </c>
      <c r="G122" s="4" t="n">
        <v>0.0701</v>
      </c>
      <c r="H122" s="3" t="n">
        <v>596.03</v>
      </c>
      <c r="I122" s="3" t="n">
        <v>14304.72</v>
      </c>
      <c r="J122" s="3" t="n">
        <v>370.26</v>
      </c>
      <c r="K122" s="3" t="n">
        <v>8886.24</v>
      </c>
      <c r="L122" s="3" t="n">
        <v>5418.48</v>
      </c>
      <c r="M122" s="4" t="n">
        <v>0.3788</v>
      </c>
    </row>
    <row r="123">
      <c r="A123" s="2" t="inlineStr">
        <is>
          <t>SKL-00122</t>
        </is>
      </c>
      <c r="B123" s="2" t="inlineStr">
        <is>
          <t>SIP-0034</t>
        </is>
      </c>
      <c r="C123" s="2" t="inlineStr">
        <is>
          <t>MEKSIZ-009</t>
        </is>
      </c>
      <c r="D123" s="5" t="n">
        <v>28</v>
      </c>
      <c r="E123" s="2" t="inlineStr">
        <is>
          <t>Adet</t>
        </is>
      </c>
      <c r="F123" s="3" t="n">
        <v>764.87</v>
      </c>
      <c r="G123" s="4" t="n">
        <v>0.0458</v>
      </c>
      <c r="H123" s="3" t="n">
        <v>729.84</v>
      </c>
      <c r="I123" s="3" t="n">
        <v>20435.52</v>
      </c>
      <c r="J123" s="3" t="n">
        <v>458.31</v>
      </c>
      <c r="K123" s="3" t="n">
        <v>12832.68</v>
      </c>
      <c r="L123" s="3" t="n">
        <v>7602.84</v>
      </c>
      <c r="M123" s="4" t="n">
        <v>0.372</v>
      </c>
    </row>
    <row r="124">
      <c r="A124" s="2" t="inlineStr">
        <is>
          <t>SKL-00123</t>
        </is>
      </c>
      <c r="B124" s="2" t="inlineStr">
        <is>
          <t>SIP-0034</t>
        </is>
      </c>
      <c r="C124" s="2" t="inlineStr">
        <is>
          <t>FLAIZO-015</t>
        </is>
      </c>
      <c r="D124" s="5" t="n">
        <v>43</v>
      </c>
      <c r="E124" s="2" t="inlineStr">
        <is>
          <t>Set</t>
        </is>
      </c>
      <c r="F124" s="3" t="n">
        <v>170.62</v>
      </c>
      <c r="G124" s="4" t="n">
        <v>0.09520000000000001</v>
      </c>
      <c r="H124" s="3" t="n">
        <v>154.38</v>
      </c>
      <c r="I124" s="3" t="n">
        <v>6638.34</v>
      </c>
      <c r="J124" s="3" t="n">
        <v>94.38</v>
      </c>
      <c r="K124" s="3" t="n">
        <v>4058.34</v>
      </c>
      <c r="L124" s="3" t="n">
        <v>2580</v>
      </c>
      <c r="M124" s="4" t="n">
        <v>0.3887</v>
      </c>
    </row>
    <row r="125">
      <c r="A125" s="2" t="inlineStr">
        <is>
          <t>SKL-00124</t>
        </is>
      </c>
      <c r="B125" s="2" t="inlineStr">
        <is>
          <t>SIP-0035</t>
        </is>
      </c>
      <c r="C125" s="2" t="inlineStr">
        <is>
          <t>ENDVAN-006</t>
        </is>
      </c>
      <c r="D125" s="5" t="n">
        <v>5</v>
      </c>
      <c r="E125" s="2" t="inlineStr">
        <is>
          <t>Adet</t>
        </is>
      </c>
      <c r="F125" s="3" t="n">
        <v>1608.83</v>
      </c>
      <c r="G125" s="4" t="n">
        <v>0.0069</v>
      </c>
      <c r="H125" s="3" t="n">
        <v>1597.73</v>
      </c>
      <c r="I125" s="3" t="n">
        <v>7988.65</v>
      </c>
      <c r="J125" s="3" t="n">
        <v>1160.99</v>
      </c>
      <c r="K125" s="3" t="n">
        <v>5804.95</v>
      </c>
      <c r="L125" s="3" t="n">
        <v>2183.7</v>
      </c>
      <c r="M125" s="4" t="n">
        <v>0.2734</v>
      </c>
    </row>
    <row r="126">
      <c r="A126" s="2" t="inlineStr">
        <is>
          <t>SKL-00125</t>
        </is>
      </c>
      <c r="B126" s="2" t="inlineStr">
        <is>
          <t>SIP-0035</t>
        </is>
      </c>
      <c r="C126" s="2" t="inlineStr">
        <is>
          <t>ENDVAN-017</t>
        </is>
      </c>
      <c r="D126" s="5" t="n">
        <v>23</v>
      </c>
      <c r="E126" s="2" t="inlineStr">
        <is>
          <t>Adet</t>
        </is>
      </c>
      <c r="F126" s="3" t="n">
        <v>781.72</v>
      </c>
      <c r="G126" s="4" t="n">
        <v>0.07240000000000001</v>
      </c>
      <c r="H126" s="3" t="n">
        <v>725.12</v>
      </c>
      <c r="I126" s="3" t="n">
        <v>16677.76</v>
      </c>
      <c r="J126" s="3" t="n">
        <v>518.3099999999999</v>
      </c>
      <c r="K126" s="3" t="n">
        <v>11921.13</v>
      </c>
      <c r="L126" s="3" t="n">
        <v>4756.63</v>
      </c>
      <c r="M126" s="4" t="n">
        <v>0.2852</v>
      </c>
    </row>
    <row r="127">
      <c r="A127" s="2" t="inlineStr">
        <is>
          <t>SKL-00126</t>
        </is>
      </c>
      <c r="B127" s="2" t="inlineStr">
        <is>
          <t>SIP-0035</t>
        </is>
      </c>
      <c r="C127" s="2" t="inlineStr">
        <is>
          <t>ENDVAN-017</t>
        </is>
      </c>
      <c r="D127" s="5" t="n">
        <v>21</v>
      </c>
      <c r="E127" s="2" t="inlineStr">
        <is>
          <t>Adet</t>
        </is>
      </c>
      <c r="F127" s="3" t="n">
        <v>777.48</v>
      </c>
      <c r="G127" s="4" t="n">
        <v>0.0132</v>
      </c>
      <c r="H127" s="3" t="n">
        <v>767.22</v>
      </c>
      <c r="I127" s="3" t="n">
        <v>16111.62</v>
      </c>
      <c r="J127" s="3" t="n">
        <v>518.3099999999999</v>
      </c>
      <c r="K127" s="3" t="n">
        <v>10884.51</v>
      </c>
      <c r="L127" s="3" t="n">
        <v>5227.11</v>
      </c>
      <c r="M127" s="4" t="n">
        <v>0.3244</v>
      </c>
    </row>
    <row r="128">
      <c r="A128" s="2" t="inlineStr">
        <is>
          <t>SKL-00127</t>
        </is>
      </c>
      <c r="B128" s="2" t="inlineStr">
        <is>
          <t>SIP-0035</t>
        </is>
      </c>
      <c r="C128" s="2" t="inlineStr">
        <is>
          <t>ENDVAN-028</t>
        </is>
      </c>
      <c r="D128" s="5" t="n">
        <v>3</v>
      </c>
      <c r="E128" s="2" t="inlineStr">
        <is>
          <t>Adet</t>
        </is>
      </c>
      <c r="F128" s="3" t="n">
        <v>1076.38</v>
      </c>
      <c r="G128" s="4" t="n">
        <v>0.036</v>
      </c>
      <c r="H128" s="3" t="n">
        <v>1037.63</v>
      </c>
      <c r="I128" s="3" t="n">
        <v>3112.89</v>
      </c>
      <c r="J128" s="3" t="n">
        <v>812.05</v>
      </c>
      <c r="K128" s="3" t="n">
        <v>2436.15</v>
      </c>
      <c r="L128" s="3" t="n">
        <v>676.74</v>
      </c>
      <c r="M128" s="4" t="n">
        <v>0.2174</v>
      </c>
    </row>
    <row r="129">
      <c r="A129" s="2" t="inlineStr">
        <is>
          <t>SKL-00128</t>
        </is>
      </c>
      <c r="B129" s="2" t="inlineStr">
        <is>
          <t>SIP-0036</t>
        </is>
      </c>
      <c r="C129" s="2" t="inlineStr">
        <is>
          <t>ENDVAN-014</t>
        </is>
      </c>
      <c r="D129" s="5" t="n">
        <v>18</v>
      </c>
      <c r="E129" s="2" t="inlineStr">
        <is>
          <t>Adet</t>
        </is>
      </c>
      <c r="F129" s="3" t="n">
        <v>1615.83</v>
      </c>
      <c r="G129" s="4" t="n">
        <v>0.0005</v>
      </c>
      <c r="H129" s="3" t="n">
        <v>1615.02</v>
      </c>
      <c r="I129" s="3" t="n">
        <v>29070.36</v>
      </c>
      <c r="J129" s="3" t="n">
        <v>1025.06</v>
      </c>
      <c r="K129" s="3" t="n">
        <v>18451.08</v>
      </c>
      <c r="L129" s="3" t="n">
        <v>10619.28</v>
      </c>
      <c r="M129" s="4" t="n">
        <v>0.3653</v>
      </c>
    </row>
    <row r="130">
      <c r="A130" s="2" t="inlineStr">
        <is>
          <t>SKL-00129</t>
        </is>
      </c>
      <c r="B130" s="2" t="inlineStr">
        <is>
          <t>SIP-0036</t>
        </is>
      </c>
      <c r="C130" s="2" t="inlineStr">
        <is>
          <t>FLAIZO-005</t>
        </is>
      </c>
      <c r="D130" s="5" t="n">
        <v>22</v>
      </c>
      <c r="E130" s="2" t="inlineStr">
        <is>
          <t>Set</t>
        </is>
      </c>
      <c r="F130" s="3" t="n">
        <v>209.11</v>
      </c>
      <c r="G130" s="4" t="n">
        <v>0.024</v>
      </c>
      <c r="H130" s="3" t="n">
        <v>204.09</v>
      </c>
      <c r="I130" s="3" t="n">
        <v>4489.98</v>
      </c>
      <c r="J130" s="3" t="n">
        <v>120.26</v>
      </c>
      <c r="K130" s="3" t="n">
        <v>2645.72</v>
      </c>
      <c r="L130" s="3" t="n">
        <v>1844.26</v>
      </c>
      <c r="M130" s="4" t="n">
        <v>0.4108</v>
      </c>
    </row>
    <row r="131">
      <c r="A131" s="2" t="inlineStr">
        <is>
          <t>SKL-00130</t>
        </is>
      </c>
      <c r="B131" s="2" t="inlineStr">
        <is>
          <t>SIP-0036</t>
        </is>
      </c>
      <c r="C131" s="2" t="inlineStr">
        <is>
          <t>YAREND-002</t>
        </is>
      </c>
      <c r="D131" s="5" t="n">
        <v>12</v>
      </c>
      <c r="E131" s="2" t="inlineStr">
        <is>
          <t>Adet</t>
        </is>
      </c>
      <c r="F131" s="3" t="n">
        <v>1225.57</v>
      </c>
      <c r="G131" s="4" t="n">
        <v>0.0371</v>
      </c>
      <c r="H131" s="3" t="n">
        <v>1180.1</v>
      </c>
      <c r="I131" s="3" t="n">
        <v>14161.2</v>
      </c>
      <c r="J131" s="3" t="n">
        <v>839.65</v>
      </c>
      <c r="K131" s="3" t="n">
        <v>10075.8</v>
      </c>
      <c r="L131" s="3" t="n">
        <v>4085.4</v>
      </c>
      <c r="M131" s="4" t="n">
        <v>0.2885</v>
      </c>
    </row>
    <row r="132">
      <c r="A132" s="2" t="inlineStr">
        <is>
          <t>SKL-00131</t>
        </is>
      </c>
      <c r="B132" s="2" t="inlineStr">
        <is>
          <t>SIP-0036</t>
        </is>
      </c>
      <c r="C132" s="2" t="inlineStr">
        <is>
          <t>ENDVAN-034</t>
        </is>
      </c>
      <c r="D132" s="5" t="n">
        <v>14</v>
      </c>
      <c r="E132" s="2" t="inlineStr">
        <is>
          <t>Adet</t>
        </is>
      </c>
      <c r="F132" s="3" t="n">
        <v>756.23</v>
      </c>
      <c r="G132" s="4" t="n">
        <v>0.022</v>
      </c>
      <c r="H132" s="3" t="n">
        <v>739.59</v>
      </c>
      <c r="I132" s="3" t="n">
        <v>10354.26</v>
      </c>
      <c r="J132" s="3" t="n">
        <v>595.41</v>
      </c>
      <c r="K132" s="3" t="n">
        <v>8335.74</v>
      </c>
      <c r="L132" s="3" t="n">
        <v>2018.52</v>
      </c>
      <c r="M132" s="4" t="n">
        <v>0.1949</v>
      </c>
    </row>
    <row r="133">
      <c r="A133" s="2" t="inlineStr">
        <is>
          <t>SKL-00132</t>
        </is>
      </c>
      <c r="B133" s="2" t="inlineStr">
        <is>
          <t>SIP-0036</t>
        </is>
      </c>
      <c r="C133" s="2" t="inlineStr">
        <is>
          <t>ENDVAN-019</t>
        </is>
      </c>
      <c r="D133" s="5" t="n">
        <v>19</v>
      </c>
      <c r="E133" s="2" t="inlineStr">
        <is>
          <t>Adet</t>
        </is>
      </c>
      <c r="F133" s="3" t="n">
        <v>799.83</v>
      </c>
      <c r="G133" s="4" t="n">
        <v>0.0579</v>
      </c>
      <c r="H133" s="3" t="n">
        <v>753.52</v>
      </c>
      <c r="I133" s="3" t="n">
        <v>14316.88</v>
      </c>
      <c r="J133" s="3" t="n">
        <v>564.9400000000001</v>
      </c>
      <c r="K133" s="3" t="n">
        <v>10733.86</v>
      </c>
      <c r="L133" s="3" t="n">
        <v>3583.02</v>
      </c>
      <c r="M133" s="4" t="n">
        <v>0.2503</v>
      </c>
    </row>
    <row r="134">
      <c r="A134" s="2" t="inlineStr">
        <is>
          <t>SKL-00133</t>
        </is>
      </c>
      <c r="B134" s="2" t="inlineStr">
        <is>
          <t>SIP-0036</t>
        </is>
      </c>
      <c r="C134" s="2" t="inlineStr">
        <is>
          <t>YAREND-013</t>
        </is>
      </c>
      <c r="D134" s="5" t="n">
        <v>10</v>
      </c>
      <c r="E134" s="2" t="inlineStr">
        <is>
          <t>Adet</t>
        </is>
      </c>
      <c r="F134" s="3" t="n">
        <v>542.13</v>
      </c>
      <c r="G134" s="4" t="n">
        <v>0.0285</v>
      </c>
      <c r="H134" s="3" t="n">
        <v>526.6799999999999</v>
      </c>
      <c r="I134" s="3" t="n">
        <v>5266.8</v>
      </c>
      <c r="J134" s="3" t="n">
        <v>387.77</v>
      </c>
      <c r="K134" s="3" t="n">
        <v>3877.7</v>
      </c>
      <c r="L134" s="3" t="n">
        <v>1389.1</v>
      </c>
      <c r="M134" s="4" t="n">
        <v>0.2637</v>
      </c>
    </row>
    <row r="135">
      <c r="A135" s="2" t="inlineStr">
        <is>
          <t>SKL-00134</t>
        </is>
      </c>
      <c r="B135" s="2" t="inlineStr">
        <is>
          <t>SIP-0037</t>
        </is>
      </c>
      <c r="C135" s="2" t="inlineStr">
        <is>
          <t>ENDVAN-003</t>
        </is>
      </c>
      <c r="D135" s="5" t="n">
        <v>7</v>
      </c>
      <c r="E135" s="2" t="inlineStr">
        <is>
          <t>Adet</t>
        </is>
      </c>
      <c r="F135" s="3" t="n">
        <v>1408.26</v>
      </c>
      <c r="G135" s="4" t="n">
        <v>0.0463</v>
      </c>
      <c r="H135" s="3" t="n">
        <v>1343.06</v>
      </c>
      <c r="I135" s="3" t="n">
        <v>9401.42</v>
      </c>
      <c r="J135" s="3" t="n">
        <v>1050.24</v>
      </c>
      <c r="K135" s="3" t="n">
        <v>7351.68</v>
      </c>
      <c r="L135" s="3" t="n">
        <v>2049.74</v>
      </c>
      <c r="M135" s="4" t="n">
        <v>0.218</v>
      </c>
    </row>
    <row r="136">
      <c r="A136" s="2" t="inlineStr">
        <is>
          <t>SKL-00135</t>
        </is>
      </c>
      <c r="B136" s="2" t="inlineStr">
        <is>
          <t>SIP-0037</t>
        </is>
      </c>
      <c r="C136" s="2" t="inlineStr">
        <is>
          <t>ENDVAN-030</t>
        </is>
      </c>
      <c r="D136" s="5" t="n">
        <v>5</v>
      </c>
      <c r="E136" s="2" t="inlineStr">
        <is>
          <t>Adet</t>
        </is>
      </c>
      <c r="F136" s="3" t="n">
        <v>480.32</v>
      </c>
      <c r="G136" s="4" t="n">
        <v>0.0251</v>
      </c>
      <c r="H136" s="3" t="n">
        <v>468.26</v>
      </c>
      <c r="I136" s="3" t="n">
        <v>2341.3</v>
      </c>
      <c r="J136" s="3" t="n">
        <v>303.77</v>
      </c>
      <c r="K136" s="3" t="n">
        <v>1518.85</v>
      </c>
      <c r="L136" s="3" t="n">
        <v>822.45</v>
      </c>
      <c r="M136" s="4" t="n">
        <v>0.3513</v>
      </c>
    </row>
    <row r="137">
      <c r="A137" s="2" t="inlineStr">
        <is>
          <t>SKL-00136</t>
        </is>
      </c>
      <c r="B137" s="2" t="inlineStr">
        <is>
          <t>SIP-0037</t>
        </is>
      </c>
      <c r="C137" s="2" t="inlineStr">
        <is>
          <t>FLAIZO-011</t>
        </is>
      </c>
      <c r="D137" s="5" t="n">
        <v>66</v>
      </c>
      <c r="E137" s="2" t="inlineStr">
        <is>
          <t>Set</t>
        </is>
      </c>
      <c r="F137" s="3" t="n">
        <v>164.62</v>
      </c>
      <c r="G137" s="4" t="n">
        <v>0.0149</v>
      </c>
      <c r="H137" s="3" t="n">
        <v>162.17</v>
      </c>
      <c r="I137" s="3" t="n">
        <v>10703.22</v>
      </c>
      <c r="J137" s="3" t="n">
        <v>86.27</v>
      </c>
      <c r="K137" s="3" t="n">
        <v>5693.82</v>
      </c>
      <c r="L137" s="3" t="n">
        <v>5009.4</v>
      </c>
      <c r="M137" s="4" t="n">
        <v>0.468</v>
      </c>
    </row>
    <row r="138">
      <c r="A138" s="2" t="inlineStr">
        <is>
          <t>SKL-00137</t>
        </is>
      </c>
      <c r="B138" s="2" t="inlineStr">
        <is>
          <t>SIP-0037</t>
        </is>
      </c>
      <c r="C138" s="2" t="inlineStr">
        <is>
          <t>PROTAN-002</t>
        </is>
      </c>
      <c r="D138" s="5" t="n">
        <v>2</v>
      </c>
      <c r="E138" s="2" t="inlineStr">
        <is>
          <t>Adet</t>
        </is>
      </c>
      <c r="F138" s="3" t="n">
        <v>8559.030000000001</v>
      </c>
      <c r="G138" s="4" t="n">
        <v>0.106</v>
      </c>
      <c r="H138" s="3" t="n">
        <v>7651.77</v>
      </c>
      <c r="I138" s="3" t="n">
        <v>15303.54</v>
      </c>
      <c r="J138" s="3" t="n">
        <v>6532.53</v>
      </c>
      <c r="K138" s="3" t="n">
        <v>13065.06</v>
      </c>
      <c r="L138" s="3" t="n">
        <v>2238.48</v>
      </c>
      <c r="M138" s="4" t="n">
        <v>0.1463</v>
      </c>
    </row>
    <row r="139">
      <c r="A139" s="2" t="inlineStr">
        <is>
          <t>SKL-00138</t>
        </is>
      </c>
      <c r="B139" s="2" t="inlineStr">
        <is>
          <t>SIP-0038</t>
        </is>
      </c>
      <c r="C139" s="2" t="inlineStr">
        <is>
          <t>ENDVAN-003</t>
        </is>
      </c>
      <c r="D139" s="5" t="n">
        <v>6</v>
      </c>
      <c r="E139" s="2" t="inlineStr">
        <is>
          <t>Adet</t>
        </is>
      </c>
      <c r="F139" s="3" t="n">
        <v>1409.87</v>
      </c>
      <c r="G139" s="4" t="n">
        <v>0.1016</v>
      </c>
      <c r="H139" s="3" t="n">
        <v>1266.63</v>
      </c>
      <c r="I139" s="3" t="n">
        <v>7599.78</v>
      </c>
      <c r="J139" s="3" t="n">
        <v>1050.24</v>
      </c>
      <c r="K139" s="3" t="n">
        <v>6301.44</v>
      </c>
      <c r="L139" s="3" t="n">
        <v>1298.34</v>
      </c>
      <c r="M139" s="4" t="n">
        <v>0.1708</v>
      </c>
    </row>
    <row r="140">
      <c r="A140" s="2" t="inlineStr">
        <is>
          <t>SKL-00139</t>
        </is>
      </c>
      <c r="B140" s="2" t="inlineStr">
        <is>
          <t>SIP-0039</t>
        </is>
      </c>
      <c r="C140" s="2" t="inlineStr">
        <is>
          <t>MEKSIZ-007</t>
        </is>
      </c>
      <c r="D140" s="5" t="n">
        <v>4</v>
      </c>
      <c r="E140" s="2" t="inlineStr">
        <is>
          <t>Adet</t>
        </is>
      </c>
      <c r="F140" s="3" t="n">
        <v>475.13</v>
      </c>
      <c r="G140" s="4" t="n">
        <v>0.1088</v>
      </c>
      <c r="H140" s="3" t="n">
        <v>423.44</v>
      </c>
      <c r="I140" s="3" t="n">
        <v>1693.76</v>
      </c>
      <c r="J140" s="3" t="n">
        <v>301.85</v>
      </c>
      <c r="K140" s="3" t="n">
        <v>1207.4</v>
      </c>
      <c r="L140" s="3" t="n">
        <v>486.36</v>
      </c>
      <c r="M140" s="4" t="n">
        <v>0.2871</v>
      </c>
    </row>
    <row r="141">
      <c r="A141" s="2" t="inlineStr">
        <is>
          <t>SKL-00140</t>
        </is>
      </c>
      <c r="B141" s="2" t="inlineStr">
        <is>
          <t>SIP-0039</t>
        </is>
      </c>
      <c r="C141" s="2" t="inlineStr">
        <is>
          <t>ENDVAN-022</t>
        </is>
      </c>
      <c r="D141" s="5" t="n">
        <v>15</v>
      </c>
      <c r="E141" s="2" t="inlineStr">
        <is>
          <t>Adet</t>
        </is>
      </c>
      <c r="F141" s="3" t="n">
        <v>219.73</v>
      </c>
      <c r="G141" s="4" t="n">
        <v>0.0083</v>
      </c>
      <c r="H141" s="3" t="n">
        <v>217.91</v>
      </c>
      <c r="I141" s="3" t="n">
        <v>3268.65</v>
      </c>
      <c r="J141" s="3" t="n">
        <v>163.9</v>
      </c>
      <c r="K141" s="3" t="n">
        <v>2458.5</v>
      </c>
      <c r="L141" s="3" t="n">
        <v>810.15</v>
      </c>
      <c r="M141" s="4" t="n">
        <v>0.2479</v>
      </c>
    </row>
    <row r="142">
      <c r="A142" s="2" t="inlineStr">
        <is>
          <t>SKL-00141</t>
        </is>
      </c>
      <c r="B142" s="2" t="inlineStr">
        <is>
          <t>SIP-0040</t>
        </is>
      </c>
      <c r="C142" s="2" t="inlineStr">
        <is>
          <t>FLAIZO-012</t>
        </is>
      </c>
      <c r="D142" s="5" t="n">
        <v>32</v>
      </c>
      <c r="E142" s="2" t="inlineStr">
        <is>
          <t>Set</t>
        </is>
      </c>
      <c r="F142" s="3" t="n">
        <v>46.27</v>
      </c>
      <c r="G142" s="4" t="n">
        <v>0.0815</v>
      </c>
      <c r="H142" s="3" t="n">
        <v>42.5</v>
      </c>
      <c r="I142" s="3" t="n">
        <v>1360</v>
      </c>
      <c r="J142" s="3" t="n">
        <v>30.33</v>
      </c>
      <c r="K142" s="3" t="n">
        <v>970.5599999999999</v>
      </c>
      <c r="L142" s="3" t="n">
        <v>389.44</v>
      </c>
      <c r="M142" s="4" t="n">
        <v>0.2864</v>
      </c>
    </row>
    <row r="143">
      <c r="A143" s="2" t="inlineStr">
        <is>
          <t>SKL-00142</t>
        </is>
      </c>
      <c r="B143" s="2" t="inlineStr">
        <is>
          <t>SIP-0040</t>
        </is>
      </c>
      <c r="C143" s="2" t="inlineStr">
        <is>
          <t>FLAIZO-002</t>
        </is>
      </c>
      <c r="D143" s="5" t="n">
        <v>40</v>
      </c>
      <c r="E143" s="2" t="inlineStr">
        <is>
          <t>Set</t>
        </is>
      </c>
      <c r="F143" s="3" t="n">
        <v>97.92</v>
      </c>
      <c r="G143" s="4" t="n">
        <v>0.0043</v>
      </c>
      <c r="H143" s="3" t="n">
        <v>97.5</v>
      </c>
      <c r="I143" s="3" t="n">
        <v>3900</v>
      </c>
      <c r="J143" s="3" t="n">
        <v>54.73</v>
      </c>
      <c r="K143" s="3" t="n">
        <v>2189.2</v>
      </c>
      <c r="L143" s="3" t="n">
        <v>1710.8</v>
      </c>
      <c r="M143" s="4" t="n">
        <v>0.4387</v>
      </c>
    </row>
    <row r="144">
      <c r="A144" s="2" t="inlineStr">
        <is>
          <t>SKL-00143</t>
        </is>
      </c>
      <c r="B144" s="2" t="inlineStr">
        <is>
          <t>SIP-0040</t>
        </is>
      </c>
      <c r="C144" s="2" t="inlineStr">
        <is>
          <t>ENDVAN-026</t>
        </is>
      </c>
      <c r="D144" s="5" t="n">
        <v>1</v>
      </c>
      <c r="E144" s="2" t="inlineStr">
        <is>
          <t>Adet</t>
        </is>
      </c>
      <c r="F144" s="3" t="n">
        <v>1462.67</v>
      </c>
      <c r="G144" s="4" t="n">
        <v>0.0303</v>
      </c>
      <c r="H144" s="3" t="n">
        <v>1418.35</v>
      </c>
      <c r="I144" s="3" t="n">
        <v>1418.35</v>
      </c>
      <c r="J144" s="3" t="n">
        <v>1039.5</v>
      </c>
      <c r="K144" s="3" t="n">
        <v>1039.5</v>
      </c>
      <c r="L144" s="3" t="n">
        <v>378.85</v>
      </c>
      <c r="M144" s="4" t="n">
        <v>0.2671</v>
      </c>
    </row>
    <row r="145">
      <c r="A145" s="2" t="inlineStr">
        <is>
          <t>SKL-00144</t>
        </is>
      </c>
      <c r="B145" s="2" t="inlineStr">
        <is>
          <t>SIP-0041</t>
        </is>
      </c>
      <c r="C145" s="2" t="inlineStr">
        <is>
          <t>FLAIZO-015</t>
        </is>
      </c>
      <c r="D145" s="5" t="n">
        <v>19</v>
      </c>
      <c r="E145" s="2" t="inlineStr">
        <is>
          <t>Set</t>
        </is>
      </c>
      <c r="F145" s="3" t="n">
        <v>183.73</v>
      </c>
      <c r="G145" s="4" t="n">
        <v>0.0273</v>
      </c>
      <c r="H145" s="3" t="n">
        <v>178.71</v>
      </c>
      <c r="I145" s="3" t="n">
        <v>3395.49</v>
      </c>
      <c r="J145" s="3" t="n">
        <v>94.38</v>
      </c>
      <c r="K145" s="3" t="n">
        <v>1793.22</v>
      </c>
      <c r="L145" s="3" t="n">
        <v>1602.27</v>
      </c>
      <c r="M145" s="4" t="n">
        <v>0.4719</v>
      </c>
    </row>
    <row r="146">
      <c r="A146" s="2" t="inlineStr">
        <is>
          <t>SKL-00145</t>
        </is>
      </c>
      <c r="B146" s="2" t="inlineStr">
        <is>
          <t>SIP-0042</t>
        </is>
      </c>
      <c r="C146" s="2" t="inlineStr">
        <is>
          <t>KAR/-010</t>
        </is>
      </c>
      <c r="D146" s="5" t="n">
        <v>4</v>
      </c>
      <c r="E146" s="2" t="inlineStr">
        <is>
          <t>Adet</t>
        </is>
      </c>
      <c r="F146" s="3" t="n">
        <v>8832.780000000001</v>
      </c>
      <c r="G146" s="4" t="n">
        <v>0.0328</v>
      </c>
      <c r="H146" s="3" t="n">
        <v>8543.059999999999</v>
      </c>
      <c r="I146" s="3" t="n">
        <v>34172.24</v>
      </c>
      <c r="J146" s="3" t="n">
        <v>6787.7</v>
      </c>
      <c r="K146" s="3" t="n">
        <v>27150.8</v>
      </c>
      <c r="L146" s="3" t="n">
        <v>7021.44</v>
      </c>
      <c r="M146" s="4" t="n">
        <v>0.2055</v>
      </c>
    </row>
    <row r="147">
      <c r="A147" s="2" t="inlineStr">
        <is>
          <t>SKL-00146</t>
        </is>
      </c>
      <c r="B147" s="2" t="inlineStr">
        <is>
          <t>SIP-0042</t>
        </is>
      </c>
      <c r="C147" s="2" t="inlineStr">
        <is>
          <t>FLAIZO-009</t>
        </is>
      </c>
      <c r="D147" s="5" t="n">
        <v>82</v>
      </c>
      <c r="E147" s="2" t="inlineStr">
        <is>
          <t>Set</t>
        </is>
      </c>
      <c r="F147" s="3" t="n">
        <v>217.23</v>
      </c>
      <c r="G147" s="4" t="n">
        <v>0.0426</v>
      </c>
      <c r="H147" s="3" t="n">
        <v>207.98</v>
      </c>
      <c r="I147" s="3" t="n">
        <v>17054.36</v>
      </c>
      <c r="J147" s="3" t="n">
        <v>127.08</v>
      </c>
      <c r="K147" s="3" t="n">
        <v>10420.56</v>
      </c>
      <c r="L147" s="3" t="n">
        <v>6633.8</v>
      </c>
      <c r="M147" s="4" t="n">
        <v>0.389</v>
      </c>
    </row>
    <row r="148">
      <c r="A148" s="2" t="inlineStr">
        <is>
          <t>SKL-00147</t>
        </is>
      </c>
      <c r="B148" s="2" t="inlineStr">
        <is>
          <t>SIP-0042</t>
        </is>
      </c>
      <c r="C148" s="2" t="inlineStr">
        <is>
          <t>ENDVAN-013</t>
        </is>
      </c>
      <c r="D148" s="5" t="n">
        <v>13</v>
      </c>
      <c r="E148" s="2" t="inlineStr">
        <is>
          <t>Adet</t>
        </is>
      </c>
      <c r="F148" s="3" t="n">
        <v>1643.36</v>
      </c>
      <c r="G148" s="4" t="n">
        <v>0.0638</v>
      </c>
      <c r="H148" s="3" t="n">
        <v>1538.51</v>
      </c>
      <c r="I148" s="3" t="n">
        <v>20000.63</v>
      </c>
      <c r="J148" s="3" t="n">
        <v>1133.86</v>
      </c>
      <c r="K148" s="3" t="n">
        <v>14740.18</v>
      </c>
      <c r="L148" s="3" t="n">
        <v>5260.45</v>
      </c>
      <c r="M148" s="4" t="n">
        <v>0.263</v>
      </c>
    </row>
    <row r="149">
      <c r="A149" s="2" t="inlineStr">
        <is>
          <t>SKL-00148</t>
        </is>
      </c>
      <c r="B149" s="2" t="inlineStr">
        <is>
          <t>SIP-0043</t>
        </is>
      </c>
      <c r="C149" s="2" t="inlineStr">
        <is>
          <t>MEKSIZ-009</t>
        </is>
      </c>
      <c r="D149" s="5" t="n">
        <v>10</v>
      </c>
      <c r="E149" s="2" t="inlineStr">
        <is>
          <t>Adet</t>
        </is>
      </c>
      <c r="F149" s="3" t="n">
        <v>812.41</v>
      </c>
      <c r="G149" s="4" t="n">
        <v>0.0751</v>
      </c>
      <c r="H149" s="3" t="n">
        <v>751.4</v>
      </c>
      <c r="I149" s="3" t="n">
        <v>7514</v>
      </c>
      <c r="J149" s="3" t="n">
        <v>458.31</v>
      </c>
      <c r="K149" s="3" t="n">
        <v>4583.1</v>
      </c>
      <c r="L149" s="3" t="n">
        <v>2930.9</v>
      </c>
      <c r="M149" s="4" t="n">
        <v>0.3901</v>
      </c>
    </row>
    <row r="150">
      <c r="A150" s="2" t="inlineStr">
        <is>
          <t>SKL-00149</t>
        </is>
      </c>
      <c r="B150" s="2" t="inlineStr">
        <is>
          <t>SIP-0043</t>
        </is>
      </c>
      <c r="C150" s="2" t="inlineStr">
        <is>
          <t>FLAIZO-001</t>
        </is>
      </c>
      <c r="D150" s="5" t="n">
        <v>41</v>
      </c>
      <c r="E150" s="2" t="inlineStr">
        <is>
          <t>Set</t>
        </is>
      </c>
      <c r="F150" s="3" t="n">
        <v>104.12</v>
      </c>
      <c r="G150" s="4" t="n">
        <v>0.0347</v>
      </c>
      <c r="H150" s="3" t="n">
        <v>100.51</v>
      </c>
      <c r="I150" s="3" t="n">
        <v>4120.91</v>
      </c>
      <c r="J150" s="3" t="n">
        <v>72.90000000000001</v>
      </c>
      <c r="K150" s="3" t="n">
        <v>2988.9</v>
      </c>
      <c r="L150" s="3" t="n">
        <v>1132.01</v>
      </c>
      <c r="M150" s="4" t="n">
        <v>0.2747</v>
      </c>
    </row>
    <row r="151">
      <c r="A151" s="2" t="inlineStr">
        <is>
          <t>SKL-00150</t>
        </is>
      </c>
      <c r="B151" s="2" t="inlineStr">
        <is>
          <t>SIP-0043</t>
        </is>
      </c>
      <c r="C151" s="2" t="inlineStr">
        <is>
          <t>FLAIZO-001</t>
        </is>
      </c>
      <c r="D151" s="5" t="n">
        <v>77</v>
      </c>
      <c r="E151" s="2" t="inlineStr">
        <is>
          <t>Set</t>
        </is>
      </c>
      <c r="F151" s="3" t="n">
        <v>105.49</v>
      </c>
      <c r="G151" s="4" t="n">
        <v>0.1045</v>
      </c>
      <c r="H151" s="3" t="n">
        <v>94.47</v>
      </c>
      <c r="I151" s="3" t="n">
        <v>7274.19</v>
      </c>
      <c r="J151" s="3" t="n">
        <v>72.90000000000001</v>
      </c>
      <c r="K151" s="3" t="n">
        <v>5613.3</v>
      </c>
      <c r="L151" s="3" t="n">
        <v>1660.89</v>
      </c>
      <c r="M151" s="4" t="n">
        <v>0.2283</v>
      </c>
    </row>
    <row r="152">
      <c r="A152" s="2" t="inlineStr">
        <is>
          <t>SKL-00151</t>
        </is>
      </c>
      <c r="B152" s="2" t="inlineStr">
        <is>
          <t>SIP-0043</t>
        </is>
      </c>
      <c r="C152" s="2" t="inlineStr">
        <is>
          <t>FLAIZO-012</t>
        </is>
      </c>
      <c r="D152" s="5" t="n">
        <v>37</v>
      </c>
      <c r="E152" s="2" t="inlineStr">
        <is>
          <t>Set</t>
        </is>
      </c>
      <c r="F152" s="3" t="n">
        <v>44.49</v>
      </c>
      <c r="G152" s="4" t="n">
        <v>0.0498</v>
      </c>
      <c r="H152" s="3" t="n">
        <v>42.27</v>
      </c>
      <c r="I152" s="3" t="n">
        <v>1563.99</v>
      </c>
      <c r="J152" s="3" t="n">
        <v>30.33</v>
      </c>
      <c r="K152" s="3" t="n">
        <v>1122.21</v>
      </c>
      <c r="L152" s="3" t="n">
        <v>441.78</v>
      </c>
      <c r="M152" s="4" t="n">
        <v>0.2825</v>
      </c>
    </row>
    <row r="153">
      <c r="A153" s="2" t="inlineStr">
        <is>
          <t>SKL-00152</t>
        </is>
      </c>
      <c r="B153" s="2" t="inlineStr">
        <is>
          <t>SIP-0044</t>
        </is>
      </c>
      <c r="C153" s="2" t="inlineStr">
        <is>
          <t>ENDVAN-003</t>
        </is>
      </c>
      <c r="D153" s="5" t="n">
        <v>6</v>
      </c>
      <c r="E153" s="2" t="inlineStr">
        <is>
          <t>Adet</t>
        </is>
      </c>
      <c r="F153" s="3" t="n">
        <v>1497.59</v>
      </c>
      <c r="G153" s="4" t="n">
        <v>0.0743</v>
      </c>
      <c r="H153" s="3" t="n">
        <v>1386.32</v>
      </c>
      <c r="I153" s="3" t="n">
        <v>8317.92</v>
      </c>
      <c r="J153" s="3" t="n">
        <v>1050.24</v>
      </c>
      <c r="K153" s="3" t="n">
        <v>6301.44</v>
      </c>
      <c r="L153" s="3" t="n">
        <v>2016.48</v>
      </c>
      <c r="M153" s="4" t="n">
        <v>0.2424</v>
      </c>
    </row>
    <row r="154">
      <c r="A154" s="2" t="inlineStr">
        <is>
          <t>SKL-00153</t>
        </is>
      </c>
      <c r="B154" s="2" t="inlineStr">
        <is>
          <t>SIP-0044</t>
        </is>
      </c>
      <c r="C154" s="2" t="inlineStr">
        <is>
          <t>FLAIZO-007</t>
        </is>
      </c>
      <c r="D154" s="5" t="n">
        <v>55</v>
      </c>
      <c r="E154" s="2" t="inlineStr">
        <is>
          <t>Set</t>
        </is>
      </c>
      <c r="F154" s="3" t="n">
        <v>122.24</v>
      </c>
      <c r="G154" s="4" t="n">
        <v>0.032</v>
      </c>
      <c r="H154" s="3" t="n">
        <v>118.33</v>
      </c>
      <c r="I154" s="3" t="n">
        <v>6508.15</v>
      </c>
      <c r="J154" s="3" t="n">
        <v>70.09</v>
      </c>
      <c r="K154" s="3" t="n">
        <v>3854.95</v>
      </c>
      <c r="L154" s="3" t="n">
        <v>2653.2</v>
      </c>
      <c r="M154" s="4" t="n">
        <v>0.4077</v>
      </c>
    </row>
    <row r="155">
      <c r="A155" s="2" t="inlineStr">
        <is>
          <t>SKL-00154</t>
        </is>
      </c>
      <c r="B155" s="2" t="inlineStr">
        <is>
          <t>SIP-0044</t>
        </is>
      </c>
      <c r="C155" s="2" t="inlineStr">
        <is>
          <t>MEKSIZ-005</t>
        </is>
      </c>
      <c r="D155" s="5" t="n">
        <v>21</v>
      </c>
      <c r="E155" s="2" t="inlineStr">
        <is>
          <t>Adet</t>
        </is>
      </c>
      <c r="F155" s="3" t="n">
        <v>651.05</v>
      </c>
      <c r="G155" s="4" t="n">
        <v>0.014</v>
      </c>
      <c r="H155" s="3" t="n">
        <v>641.9400000000001</v>
      </c>
      <c r="I155" s="3" t="n">
        <v>13480.74</v>
      </c>
      <c r="J155" s="3" t="n">
        <v>370.26</v>
      </c>
      <c r="K155" s="3" t="n">
        <v>7775.46</v>
      </c>
      <c r="L155" s="3" t="n">
        <v>5705.28</v>
      </c>
      <c r="M155" s="4" t="n">
        <v>0.4232</v>
      </c>
    </row>
    <row r="156">
      <c r="A156" s="2" t="inlineStr">
        <is>
          <t>SKL-00155</t>
        </is>
      </c>
      <c r="B156" s="2" t="inlineStr">
        <is>
          <t>SIP-0044</t>
        </is>
      </c>
      <c r="C156" s="2" t="inlineStr">
        <is>
          <t>ENDVAN-009</t>
        </is>
      </c>
      <c r="D156" s="5" t="n">
        <v>11</v>
      </c>
      <c r="E156" s="2" t="inlineStr">
        <is>
          <t>Adet</t>
        </is>
      </c>
      <c r="F156" s="3" t="n">
        <v>543.9</v>
      </c>
      <c r="G156" s="4" t="n">
        <v>0.0426</v>
      </c>
      <c r="H156" s="3" t="n">
        <v>520.73</v>
      </c>
      <c r="I156" s="3" t="n">
        <v>5728.03</v>
      </c>
      <c r="J156" s="3" t="n">
        <v>411.64</v>
      </c>
      <c r="K156" s="3" t="n">
        <v>4528.04</v>
      </c>
      <c r="L156" s="3" t="n">
        <v>1199.99</v>
      </c>
      <c r="M156" s="4" t="n">
        <v>0.2095</v>
      </c>
    </row>
    <row r="157">
      <c r="A157" s="2" t="inlineStr">
        <is>
          <t>SKL-00156</t>
        </is>
      </c>
      <c r="B157" s="2" t="inlineStr">
        <is>
          <t>SIP-0045</t>
        </is>
      </c>
      <c r="C157" s="2" t="inlineStr">
        <is>
          <t>FLAIZO-003</t>
        </is>
      </c>
      <c r="D157" s="5" t="n">
        <v>74</v>
      </c>
      <c r="E157" s="2" t="inlineStr">
        <is>
          <t>Set</t>
        </is>
      </c>
      <c r="F157" s="3" t="n">
        <v>150.27</v>
      </c>
      <c r="G157" s="4" t="n">
        <v>0.0266</v>
      </c>
      <c r="H157" s="3" t="n">
        <v>146.27</v>
      </c>
      <c r="I157" s="3" t="n">
        <v>10823.98</v>
      </c>
      <c r="J157" s="3" t="n">
        <v>90.26000000000001</v>
      </c>
      <c r="K157" s="3" t="n">
        <v>6679.24</v>
      </c>
      <c r="L157" s="3" t="n">
        <v>4144.74</v>
      </c>
      <c r="M157" s="4" t="n">
        <v>0.3829</v>
      </c>
    </row>
    <row r="158">
      <c r="A158" s="2" t="inlineStr">
        <is>
          <t>SKL-00157</t>
        </is>
      </c>
      <c r="B158" s="2" t="inlineStr">
        <is>
          <t>SIP-0045</t>
        </is>
      </c>
      <c r="C158" s="2" t="inlineStr">
        <is>
          <t>YAREND-001</t>
        </is>
      </c>
      <c r="D158" s="5" t="n">
        <v>13</v>
      </c>
      <c r="E158" s="2" t="inlineStr">
        <is>
          <t>Adet</t>
        </is>
      </c>
      <c r="F158" s="3" t="n">
        <v>1553.7</v>
      </c>
      <c r="G158" s="4" t="n">
        <v>0.0024</v>
      </c>
      <c r="H158" s="3" t="n">
        <v>1549.97</v>
      </c>
      <c r="I158" s="3" t="n">
        <v>20149.61</v>
      </c>
      <c r="J158" s="3" t="n">
        <v>945.3099999999999</v>
      </c>
      <c r="K158" s="3" t="n">
        <v>12289.03</v>
      </c>
      <c r="L158" s="3" t="n">
        <v>7860.58</v>
      </c>
      <c r="M158" s="4" t="n">
        <v>0.3901</v>
      </c>
    </row>
    <row r="159">
      <c r="A159" s="2" t="inlineStr">
        <is>
          <t>SKL-00158</t>
        </is>
      </c>
      <c r="B159" s="2" t="inlineStr">
        <is>
          <t>SIP-0045</t>
        </is>
      </c>
      <c r="C159" s="2" t="inlineStr">
        <is>
          <t>FLAIZO-001</t>
        </is>
      </c>
      <c r="D159" s="5" t="n">
        <v>40</v>
      </c>
      <c r="E159" s="2" t="inlineStr">
        <is>
          <t>Set</t>
        </is>
      </c>
      <c r="F159" s="3" t="n">
        <v>108.14</v>
      </c>
      <c r="G159" s="4" t="n">
        <v>0.0712</v>
      </c>
      <c r="H159" s="3" t="n">
        <v>100.44</v>
      </c>
      <c r="I159" s="3" t="n">
        <v>4017.6</v>
      </c>
      <c r="J159" s="3" t="n">
        <v>72.90000000000001</v>
      </c>
      <c r="K159" s="3" t="n">
        <v>2916</v>
      </c>
      <c r="L159" s="3" t="n">
        <v>1101.6</v>
      </c>
      <c r="M159" s="4" t="n">
        <v>0.2742</v>
      </c>
    </row>
    <row r="160">
      <c r="A160" s="2" t="inlineStr">
        <is>
          <t>SKL-00159</t>
        </is>
      </c>
      <c r="B160" s="2" t="inlineStr">
        <is>
          <t>SIP-0046</t>
        </is>
      </c>
      <c r="C160" s="2" t="inlineStr">
        <is>
          <t>ENDVAN-024</t>
        </is>
      </c>
      <c r="D160" s="5" t="n">
        <v>11</v>
      </c>
      <c r="E160" s="2" t="inlineStr">
        <is>
          <t>Adet</t>
        </is>
      </c>
      <c r="F160" s="3" t="n">
        <v>1732.48</v>
      </c>
      <c r="G160" s="4" t="n">
        <v>0.0598</v>
      </c>
      <c r="H160" s="3" t="n">
        <v>1628.88</v>
      </c>
      <c r="I160" s="3" t="n">
        <v>17917.68</v>
      </c>
      <c r="J160" s="3" t="n">
        <v>1156.64</v>
      </c>
      <c r="K160" s="3" t="n">
        <v>12723.04</v>
      </c>
      <c r="L160" s="3" t="n">
        <v>5194.64</v>
      </c>
      <c r="M160" s="4" t="n">
        <v>0.2899</v>
      </c>
    </row>
    <row r="161">
      <c r="A161" s="2" t="inlineStr">
        <is>
          <t>SKL-00160</t>
        </is>
      </c>
      <c r="B161" s="2" t="inlineStr">
        <is>
          <t>SIP-0046</t>
        </is>
      </c>
      <c r="C161" s="2" t="inlineStr">
        <is>
          <t>ENDVAN-019</t>
        </is>
      </c>
      <c r="D161" s="5" t="n">
        <v>23</v>
      </c>
      <c r="E161" s="2" t="inlineStr">
        <is>
          <t>Adet</t>
        </is>
      </c>
      <c r="F161" s="3" t="n">
        <v>744.6799999999999</v>
      </c>
      <c r="G161" s="4" t="n">
        <v>0.0196</v>
      </c>
      <c r="H161" s="3" t="n">
        <v>730.08</v>
      </c>
      <c r="I161" s="3" t="n">
        <v>16791.84</v>
      </c>
      <c r="J161" s="3" t="n">
        <v>564.9400000000001</v>
      </c>
      <c r="K161" s="3" t="n">
        <v>12993.62</v>
      </c>
      <c r="L161" s="3" t="n">
        <v>3798.22</v>
      </c>
      <c r="M161" s="4" t="n">
        <v>0.2262</v>
      </c>
    </row>
    <row r="162">
      <c r="A162" s="2" t="inlineStr">
        <is>
          <t>SKL-00161</t>
        </is>
      </c>
      <c r="B162" s="2" t="inlineStr">
        <is>
          <t>SIP-0047</t>
        </is>
      </c>
      <c r="C162" s="2" t="inlineStr">
        <is>
          <t>ENDVAN-014</t>
        </is>
      </c>
      <c r="D162" s="5" t="n">
        <v>14</v>
      </c>
      <c r="E162" s="2" t="inlineStr">
        <is>
          <t>Adet</t>
        </is>
      </c>
      <c r="F162" s="3" t="n">
        <v>1581.79</v>
      </c>
      <c r="G162" s="4" t="n">
        <v>0.0153</v>
      </c>
      <c r="H162" s="3" t="n">
        <v>1557.59</v>
      </c>
      <c r="I162" s="3" t="n">
        <v>21806.26</v>
      </c>
      <c r="J162" s="3" t="n">
        <v>1025.06</v>
      </c>
      <c r="K162" s="3" t="n">
        <v>14350.84</v>
      </c>
      <c r="L162" s="3" t="n">
        <v>7455.42</v>
      </c>
      <c r="M162" s="4" t="n">
        <v>0.3419</v>
      </c>
    </row>
    <row r="163">
      <c r="A163" s="2" t="inlineStr">
        <is>
          <t>SKL-00162</t>
        </is>
      </c>
      <c r="B163" s="2" t="inlineStr">
        <is>
          <t>SIP-0047</t>
        </is>
      </c>
      <c r="C163" s="2" t="inlineStr">
        <is>
          <t>MEKSIZ-001</t>
        </is>
      </c>
      <c r="D163" s="5" t="n">
        <v>19</v>
      </c>
      <c r="E163" s="2" t="inlineStr">
        <is>
          <t>Adet</t>
        </is>
      </c>
      <c r="F163" s="3" t="n">
        <v>616.2</v>
      </c>
      <c r="G163" s="4" t="n">
        <v>0.0227</v>
      </c>
      <c r="H163" s="3" t="n">
        <v>602.21</v>
      </c>
      <c r="I163" s="3" t="n">
        <v>11441.99</v>
      </c>
      <c r="J163" s="3" t="n">
        <v>372.57</v>
      </c>
      <c r="K163" s="3" t="n">
        <v>7078.83</v>
      </c>
      <c r="L163" s="3" t="n">
        <v>4363.16</v>
      </c>
      <c r="M163" s="4" t="n">
        <v>0.3813</v>
      </c>
    </row>
    <row r="164">
      <c r="A164" s="2" t="inlineStr">
        <is>
          <t>SKL-00163</t>
        </is>
      </c>
      <c r="B164" s="2" t="inlineStr">
        <is>
          <t>SIP-0047</t>
        </is>
      </c>
      <c r="C164" s="2" t="inlineStr">
        <is>
          <t>MEKSIZ-011</t>
        </is>
      </c>
      <c r="D164" s="5" t="n">
        <v>14</v>
      </c>
      <c r="E164" s="2" t="inlineStr">
        <is>
          <t>Adet</t>
        </is>
      </c>
      <c r="F164" s="3" t="n">
        <v>429.74</v>
      </c>
      <c r="G164" s="4" t="n">
        <v>0.0471</v>
      </c>
      <c r="H164" s="3" t="n">
        <v>409.5</v>
      </c>
      <c r="I164" s="3" t="n">
        <v>5733</v>
      </c>
      <c r="J164" s="3" t="n">
        <v>258.54</v>
      </c>
      <c r="K164" s="3" t="n">
        <v>3619.56</v>
      </c>
      <c r="L164" s="3" t="n">
        <v>2113.44</v>
      </c>
      <c r="M164" s="4" t="n">
        <v>0.3686</v>
      </c>
    </row>
    <row r="165">
      <c r="A165" s="2" t="inlineStr">
        <is>
          <t>SKL-00164</t>
        </is>
      </c>
      <c r="B165" s="2" t="inlineStr">
        <is>
          <t>SIP-0047</t>
        </is>
      </c>
      <c r="C165" s="2" t="inlineStr">
        <is>
          <t>ENDVAN-004</t>
        </is>
      </c>
      <c r="D165" s="5" t="n">
        <v>3</v>
      </c>
      <c r="E165" s="2" t="inlineStr">
        <is>
          <t>Adet</t>
        </is>
      </c>
      <c r="F165" s="3" t="n">
        <v>289.14</v>
      </c>
      <c r="G165" s="4" t="n">
        <v>0.0969</v>
      </c>
      <c r="H165" s="3" t="n">
        <v>261.12</v>
      </c>
      <c r="I165" s="3" t="n">
        <v>783.36</v>
      </c>
      <c r="J165" s="3" t="n">
        <v>212.53</v>
      </c>
      <c r="K165" s="3" t="n">
        <v>637.59</v>
      </c>
      <c r="L165" s="3" t="n">
        <v>145.77</v>
      </c>
      <c r="M165" s="4" t="n">
        <v>0.1861</v>
      </c>
    </row>
    <row r="166">
      <c r="A166" s="2" t="inlineStr">
        <is>
          <t>SKL-00165</t>
        </is>
      </c>
      <c r="B166" s="2" t="inlineStr">
        <is>
          <t>SIP-0047</t>
        </is>
      </c>
      <c r="C166" s="2" t="inlineStr">
        <is>
          <t>ENDVAN-019</t>
        </is>
      </c>
      <c r="D166" s="5" t="n">
        <v>10</v>
      </c>
      <c r="E166" s="2" t="inlineStr">
        <is>
          <t>Adet</t>
        </is>
      </c>
      <c r="F166" s="3" t="n">
        <v>802.84</v>
      </c>
      <c r="G166" s="4" t="n">
        <v>0.0994</v>
      </c>
      <c r="H166" s="3" t="n">
        <v>723.04</v>
      </c>
      <c r="I166" s="3" t="n">
        <v>7230.4</v>
      </c>
      <c r="J166" s="3" t="n">
        <v>564.9400000000001</v>
      </c>
      <c r="K166" s="3" t="n">
        <v>5649.4</v>
      </c>
      <c r="L166" s="3" t="n">
        <v>1581</v>
      </c>
      <c r="M166" s="4" t="n">
        <v>0.2187</v>
      </c>
    </row>
    <row r="167">
      <c r="A167" s="2" t="inlineStr">
        <is>
          <t>SKL-00166</t>
        </is>
      </c>
      <c r="B167" s="2" t="inlineStr">
        <is>
          <t>SIP-0048</t>
        </is>
      </c>
      <c r="C167" s="2" t="inlineStr">
        <is>
          <t>PROTAN-004</t>
        </is>
      </c>
      <c r="D167" s="5" t="n">
        <v>2</v>
      </c>
      <c r="E167" s="2" t="inlineStr">
        <is>
          <t>Adet</t>
        </is>
      </c>
      <c r="F167" s="3" t="n">
        <v>16715.49</v>
      </c>
      <c r="G167" s="4" t="n">
        <v>0.0832</v>
      </c>
      <c r="H167" s="3" t="n">
        <v>15324.76</v>
      </c>
      <c r="I167" s="3" t="n">
        <v>30649.52</v>
      </c>
      <c r="J167" s="3" t="n">
        <v>12847.72</v>
      </c>
      <c r="K167" s="3" t="n">
        <v>25695.44</v>
      </c>
      <c r="L167" s="3" t="n">
        <v>4954.08</v>
      </c>
      <c r="M167" s="4" t="n">
        <v>0.1616</v>
      </c>
    </row>
    <row r="168">
      <c r="A168" s="2" t="inlineStr">
        <is>
          <t>SKL-00167</t>
        </is>
      </c>
      <c r="B168" s="2" t="inlineStr">
        <is>
          <t>SIP-0049</t>
        </is>
      </c>
      <c r="C168" s="2" t="inlineStr">
        <is>
          <t>ENDVAN-015</t>
        </is>
      </c>
      <c r="D168" s="5" t="n">
        <v>21</v>
      </c>
      <c r="E168" s="2" t="inlineStr">
        <is>
          <t>Adet</t>
        </is>
      </c>
      <c r="F168" s="3" t="n">
        <v>1501.4</v>
      </c>
      <c r="G168" s="4" t="n">
        <v>0.0077</v>
      </c>
      <c r="H168" s="3" t="n">
        <v>1489.84</v>
      </c>
      <c r="I168" s="3" t="n">
        <v>31286.64</v>
      </c>
      <c r="J168" s="3" t="n">
        <v>1019.05</v>
      </c>
      <c r="K168" s="3" t="n">
        <v>21400.05</v>
      </c>
      <c r="L168" s="3" t="n">
        <v>9886.59</v>
      </c>
      <c r="M168" s="4" t="n">
        <v>0.316</v>
      </c>
    </row>
    <row r="169">
      <c r="A169" s="2" t="inlineStr">
        <is>
          <t>SKL-00168</t>
        </is>
      </c>
      <c r="B169" s="2" t="inlineStr">
        <is>
          <t>SIP-0049</t>
        </is>
      </c>
      <c r="C169" s="2" t="inlineStr">
        <is>
          <t>ENDVAN-027</t>
        </is>
      </c>
      <c r="D169" s="5" t="n">
        <v>11</v>
      </c>
      <c r="E169" s="2" t="inlineStr">
        <is>
          <t>Adet</t>
        </is>
      </c>
      <c r="F169" s="3" t="n">
        <v>1572.84</v>
      </c>
      <c r="G169" s="4" t="n">
        <v>0.0173</v>
      </c>
      <c r="H169" s="3" t="n">
        <v>1545.63</v>
      </c>
      <c r="I169" s="3" t="n">
        <v>17001.93</v>
      </c>
      <c r="J169" s="3" t="n">
        <v>1041.65</v>
      </c>
      <c r="K169" s="3" t="n">
        <v>11458.15</v>
      </c>
      <c r="L169" s="3" t="n">
        <v>5543.78</v>
      </c>
      <c r="M169" s="4" t="n">
        <v>0.3261</v>
      </c>
    </row>
    <row r="170">
      <c r="A170" s="2" t="inlineStr">
        <is>
          <t>SKL-00169</t>
        </is>
      </c>
      <c r="B170" s="2" t="inlineStr">
        <is>
          <t>SIP-0049</t>
        </is>
      </c>
      <c r="C170" s="2" t="inlineStr">
        <is>
          <t>KAR/-009</t>
        </is>
      </c>
      <c r="D170" s="5" t="n">
        <v>4</v>
      </c>
      <c r="E170" s="2" t="inlineStr">
        <is>
          <t>Adet</t>
        </is>
      </c>
      <c r="F170" s="3" t="n">
        <v>7992.11</v>
      </c>
      <c r="G170" s="4" t="n">
        <v>0.0401</v>
      </c>
      <c r="H170" s="3" t="n">
        <v>7671.63</v>
      </c>
      <c r="I170" s="3" t="n">
        <v>30686.52</v>
      </c>
      <c r="J170" s="3" t="n">
        <v>5529.91</v>
      </c>
      <c r="K170" s="3" t="n">
        <v>22119.64</v>
      </c>
      <c r="L170" s="3" t="n">
        <v>8566.879999999999</v>
      </c>
      <c r="M170" s="4" t="n">
        <v>0.2792</v>
      </c>
    </row>
    <row r="171">
      <c r="A171" s="2" t="inlineStr">
        <is>
          <t>SKL-00170</t>
        </is>
      </c>
      <c r="B171" s="2" t="inlineStr">
        <is>
          <t>SIP-0050</t>
        </is>
      </c>
      <c r="C171" s="2" t="inlineStr">
        <is>
          <t>PROTAN-001</t>
        </is>
      </c>
      <c r="D171" s="5" t="n">
        <v>2</v>
      </c>
      <c r="E171" s="2" t="inlineStr">
        <is>
          <t>Adet</t>
        </is>
      </c>
      <c r="F171" s="3" t="n">
        <v>21783.83</v>
      </c>
      <c r="G171" s="4" t="n">
        <v>0.08799999999999999</v>
      </c>
      <c r="H171" s="3" t="n">
        <v>19866.85</v>
      </c>
      <c r="I171" s="3" t="n">
        <v>39733.7</v>
      </c>
      <c r="J171" s="3" t="n">
        <v>16498.05</v>
      </c>
      <c r="K171" s="3" t="n">
        <v>32996.1</v>
      </c>
      <c r="L171" s="3" t="n">
        <v>6737.6</v>
      </c>
      <c r="M171" s="4" t="n">
        <v>0.1696</v>
      </c>
    </row>
    <row r="172">
      <c r="A172" s="2" t="inlineStr">
        <is>
          <t>SKL-00171</t>
        </is>
      </c>
      <c r="B172" s="2" t="inlineStr">
        <is>
          <t>SIP-0051</t>
        </is>
      </c>
      <c r="C172" s="2" t="inlineStr">
        <is>
          <t>ENDVAN-020</t>
        </is>
      </c>
      <c r="D172" s="5" t="n">
        <v>9</v>
      </c>
      <c r="E172" s="2" t="inlineStr">
        <is>
          <t>Adet</t>
        </is>
      </c>
      <c r="F172" s="3" t="n">
        <v>647.03</v>
      </c>
      <c r="G172" s="4" t="n">
        <v>0.0432</v>
      </c>
      <c r="H172" s="3" t="n">
        <v>619.08</v>
      </c>
      <c r="I172" s="3" t="n">
        <v>5571.72</v>
      </c>
      <c r="J172" s="3" t="n">
        <v>433.62</v>
      </c>
      <c r="K172" s="3" t="n">
        <v>3902.58</v>
      </c>
      <c r="L172" s="3" t="n">
        <v>1669.14</v>
      </c>
      <c r="M172" s="4" t="n">
        <v>0.2996</v>
      </c>
    </row>
    <row r="173">
      <c r="A173" s="2" t="inlineStr">
        <is>
          <t>SKL-00172</t>
        </is>
      </c>
      <c r="B173" s="2" t="inlineStr">
        <is>
          <t>SIP-0052</t>
        </is>
      </c>
      <c r="C173" s="2" t="inlineStr">
        <is>
          <t>ENDVAN-013</t>
        </is>
      </c>
      <c r="D173" s="5" t="n">
        <v>18</v>
      </c>
      <c r="E173" s="2" t="inlineStr">
        <is>
          <t>Adet</t>
        </is>
      </c>
      <c r="F173" s="3" t="n">
        <v>1593.52</v>
      </c>
      <c r="G173" s="4" t="n">
        <v>0.0568</v>
      </c>
      <c r="H173" s="3" t="n">
        <v>1503.01</v>
      </c>
      <c r="I173" s="3" t="n">
        <v>27054.18</v>
      </c>
      <c r="J173" s="3" t="n">
        <v>1133.86</v>
      </c>
      <c r="K173" s="3" t="n">
        <v>20409.48</v>
      </c>
      <c r="L173" s="3" t="n">
        <v>6644.7</v>
      </c>
      <c r="M173" s="4" t="n">
        <v>0.2456</v>
      </c>
    </row>
    <row r="174">
      <c r="A174" s="2" t="inlineStr">
        <is>
          <t>SKL-00173</t>
        </is>
      </c>
      <c r="B174" s="2" t="inlineStr">
        <is>
          <t>SIP-0052</t>
        </is>
      </c>
      <c r="C174" s="2" t="inlineStr">
        <is>
          <t>KAR/-006</t>
        </is>
      </c>
      <c r="D174" s="5" t="n">
        <v>2</v>
      </c>
      <c r="E174" s="2" t="inlineStr">
        <is>
          <t>Adet</t>
        </is>
      </c>
      <c r="F174" s="3" t="n">
        <v>5162.06</v>
      </c>
      <c r="G174" s="4" t="n">
        <v>0.0735</v>
      </c>
      <c r="H174" s="3" t="n">
        <v>4782.65</v>
      </c>
      <c r="I174" s="3" t="n">
        <v>9565.299999999999</v>
      </c>
      <c r="J174" s="3" t="n">
        <v>3681.11</v>
      </c>
      <c r="K174" s="3" t="n">
        <v>7362.22</v>
      </c>
      <c r="L174" s="3" t="n">
        <v>2203.08</v>
      </c>
      <c r="M174" s="4" t="n">
        <v>0.2303</v>
      </c>
    </row>
    <row r="175">
      <c r="A175" s="2" t="inlineStr">
        <is>
          <t>SKL-00174</t>
        </is>
      </c>
      <c r="B175" s="2" t="inlineStr">
        <is>
          <t>SIP-0052</t>
        </is>
      </c>
      <c r="C175" s="2" t="inlineStr">
        <is>
          <t>MEKSIZ-013</t>
        </is>
      </c>
      <c r="D175" s="5" t="n">
        <v>24</v>
      </c>
      <c r="E175" s="2" t="inlineStr">
        <is>
          <t>Adet</t>
        </is>
      </c>
      <c r="F175" s="3" t="n">
        <v>71.06999999999999</v>
      </c>
      <c r="G175" s="4" t="n">
        <v>0.0921</v>
      </c>
      <c r="H175" s="3" t="n">
        <v>64.52</v>
      </c>
      <c r="I175" s="3" t="n">
        <v>1548.48</v>
      </c>
      <c r="J175" s="3" t="n">
        <v>45.62</v>
      </c>
      <c r="K175" s="3" t="n">
        <v>1094.88</v>
      </c>
      <c r="L175" s="3" t="n">
        <v>453.6</v>
      </c>
      <c r="M175" s="4" t="n">
        <v>0.2929</v>
      </c>
    </row>
    <row r="176">
      <c r="A176" s="2" t="inlineStr">
        <is>
          <t>SKL-00175</t>
        </is>
      </c>
      <c r="B176" s="2" t="inlineStr">
        <is>
          <t>SIP-0053</t>
        </is>
      </c>
      <c r="C176" s="2" t="inlineStr">
        <is>
          <t>ENDVAN-032</t>
        </is>
      </c>
      <c r="D176" s="5" t="n">
        <v>17</v>
      </c>
      <c r="E176" s="2" t="inlineStr">
        <is>
          <t>Adet</t>
        </is>
      </c>
      <c r="F176" s="3" t="n">
        <v>986.64</v>
      </c>
      <c r="G176" s="4" t="n">
        <v>0.0171</v>
      </c>
      <c r="H176" s="3" t="n">
        <v>969.77</v>
      </c>
      <c r="I176" s="3" t="n">
        <v>16486.09</v>
      </c>
      <c r="J176" s="3" t="n">
        <v>641.8099999999999</v>
      </c>
      <c r="K176" s="3" t="n">
        <v>10910.77</v>
      </c>
      <c r="L176" s="3" t="n">
        <v>5575.32</v>
      </c>
      <c r="M176" s="4" t="n">
        <v>0.3382</v>
      </c>
    </row>
    <row r="177">
      <c r="A177" s="2" t="inlineStr">
        <is>
          <t>SKL-00176</t>
        </is>
      </c>
      <c r="B177" s="2" t="inlineStr">
        <is>
          <t>SIP-0053</t>
        </is>
      </c>
      <c r="C177" s="2" t="inlineStr">
        <is>
          <t>FLAIZO-004</t>
        </is>
      </c>
      <c r="D177" s="5" t="n">
        <v>28</v>
      </c>
      <c r="E177" s="2" t="inlineStr">
        <is>
          <t>Set</t>
        </is>
      </c>
      <c r="F177" s="3" t="n">
        <v>46.66</v>
      </c>
      <c r="G177" s="4" t="n">
        <v>0.0274</v>
      </c>
      <c r="H177" s="3" t="n">
        <v>45.38</v>
      </c>
      <c r="I177" s="3" t="n">
        <v>1270.64</v>
      </c>
      <c r="J177" s="3" t="n">
        <v>25.08</v>
      </c>
      <c r="K177" s="3" t="n">
        <v>702.24</v>
      </c>
      <c r="L177" s="3" t="n">
        <v>568.4</v>
      </c>
      <c r="M177" s="4" t="n">
        <v>0.4473</v>
      </c>
    </row>
    <row r="178">
      <c r="A178" s="2" t="inlineStr">
        <is>
          <t>SKL-00177</t>
        </is>
      </c>
      <c r="B178" s="2" t="inlineStr">
        <is>
          <t>SIP-0053</t>
        </is>
      </c>
      <c r="C178" s="2" t="inlineStr">
        <is>
          <t>YAREND-005</t>
        </is>
      </c>
      <c r="D178" s="5" t="n">
        <v>5</v>
      </c>
      <c r="E178" s="2" t="inlineStr">
        <is>
          <t>Adet</t>
        </is>
      </c>
      <c r="F178" s="3" t="n">
        <v>925.77</v>
      </c>
      <c r="G178" s="4" t="n">
        <v>0.0178</v>
      </c>
      <c r="H178" s="3" t="n">
        <v>909.29</v>
      </c>
      <c r="I178" s="3" t="n">
        <v>4546.45</v>
      </c>
      <c r="J178" s="3" t="n">
        <v>729.01</v>
      </c>
      <c r="K178" s="3" t="n">
        <v>3645.05</v>
      </c>
      <c r="L178" s="3" t="n">
        <v>901.4</v>
      </c>
      <c r="M178" s="4" t="n">
        <v>0.1983</v>
      </c>
    </row>
    <row r="179">
      <c r="A179" s="2" t="inlineStr">
        <is>
          <t>SKL-00178</t>
        </is>
      </c>
      <c r="B179" s="2" t="inlineStr">
        <is>
          <t>SIP-0053</t>
        </is>
      </c>
      <c r="C179" s="2" t="inlineStr">
        <is>
          <t>YAREND-013</t>
        </is>
      </c>
      <c r="D179" s="5" t="n">
        <v>17</v>
      </c>
      <c r="E179" s="2" t="inlineStr">
        <is>
          <t>Adet</t>
        </is>
      </c>
      <c r="F179" s="3" t="n">
        <v>589.23</v>
      </c>
      <c r="G179" s="4" t="n">
        <v>0.0275</v>
      </c>
      <c r="H179" s="3" t="n">
        <v>573.03</v>
      </c>
      <c r="I179" s="3" t="n">
        <v>9741.51</v>
      </c>
      <c r="J179" s="3" t="n">
        <v>387.77</v>
      </c>
      <c r="K179" s="3" t="n">
        <v>6592.09</v>
      </c>
      <c r="L179" s="3" t="n">
        <v>3149.42</v>
      </c>
      <c r="M179" s="4" t="n">
        <v>0.3233</v>
      </c>
    </row>
    <row r="180">
      <c r="A180" s="2" t="inlineStr">
        <is>
          <t>SKL-00179</t>
        </is>
      </c>
      <c r="B180" s="2" t="inlineStr">
        <is>
          <t>SIP-0053</t>
        </is>
      </c>
      <c r="C180" s="2" t="inlineStr">
        <is>
          <t>MEKSIZ-014</t>
        </is>
      </c>
      <c r="D180" s="5" t="n">
        <v>14</v>
      </c>
      <c r="E180" s="2" t="inlineStr">
        <is>
          <t>Adet</t>
        </is>
      </c>
      <c r="F180" s="3" t="n">
        <v>384.33</v>
      </c>
      <c r="G180" s="4" t="n">
        <v>0.0868</v>
      </c>
      <c r="H180" s="3" t="n">
        <v>350.97</v>
      </c>
      <c r="I180" s="3" t="n">
        <v>4913.58</v>
      </c>
      <c r="J180" s="3" t="n">
        <v>242.32</v>
      </c>
      <c r="K180" s="3" t="n">
        <v>3392.48</v>
      </c>
      <c r="L180" s="3" t="n">
        <v>1521.1</v>
      </c>
      <c r="M180" s="4" t="n">
        <v>0.3096</v>
      </c>
    </row>
    <row r="181">
      <c r="A181" s="2" t="inlineStr">
        <is>
          <t>SKL-00180</t>
        </is>
      </c>
      <c r="B181" s="2" t="inlineStr">
        <is>
          <t>SIP-0054</t>
        </is>
      </c>
      <c r="C181" s="2" t="inlineStr">
        <is>
          <t>ENDVAN-011</t>
        </is>
      </c>
      <c r="D181" s="5" t="n">
        <v>4</v>
      </c>
      <c r="E181" s="2" t="inlineStr">
        <is>
          <t>Adet</t>
        </is>
      </c>
      <c r="F181" s="3" t="n">
        <v>894.5</v>
      </c>
      <c r="G181" s="4" t="n">
        <v>0.0025</v>
      </c>
      <c r="H181" s="3" t="n">
        <v>892.26</v>
      </c>
      <c r="I181" s="3" t="n">
        <v>3569.04</v>
      </c>
      <c r="J181" s="3" t="n">
        <v>615.55</v>
      </c>
      <c r="K181" s="3" t="n">
        <v>2462.2</v>
      </c>
      <c r="L181" s="3" t="n">
        <v>1106.84</v>
      </c>
      <c r="M181" s="4" t="n">
        <v>0.3101</v>
      </c>
    </row>
    <row r="182">
      <c r="A182" s="2" t="inlineStr">
        <is>
          <t>SKL-00181</t>
        </is>
      </c>
      <c r="B182" s="2" t="inlineStr">
        <is>
          <t>SIP-0054</t>
        </is>
      </c>
      <c r="C182" s="2" t="inlineStr">
        <is>
          <t>MEKSIZ-005</t>
        </is>
      </c>
      <c r="D182" s="5" t="n">
        <v>16</v>
      </c>
      <c r="E182" s="2" t="inlineStr">
        <is>
          <t>Adet</t>
        </is>
      </c>
      <c r="F182" s="3" t="n">
        <v>697.9</v>
      </c>
      <c r="G182" s="4" t="n">
        <v>0.0376</v>
      </c>
      <c r="H182" s="3" t="n">
        <v>671.66</v>
      </c>
      <c r="I182" s="3" t="n">
        <v>10746.56</v>
      </c>
      <c r="J182" s="3" t="n">
        <v>370.26</v>
      </c>
      <c r="K182" s="3" t="n">
        <v>5924.16</v>
      </c>
      <c r="L182" s="3" t="n">
        <v>4822.4</v>
      </c>
      <c r="M182" s="4" t="n">
        <v>0.4487</v>
      </c>
    </row>
    <row r="183">
      <c r="A183" s="2" t="inlineStr">
        <is>
          <t>SKL-00182</t>
        </is>
      </c>
      <c r="B183" s="2" t="inlineStr">
        <is>
          <t>SIP-0054</t>
        </is>
      </c>
      <c r="C183" s="2" t="inlineStr">
        <is>
          <t>ENDVAN-004</t>
        </is>
      </c>
      <c r="D183" s="5" t="n">
        <v>2</v>
      </c>
      <c r="E183" s="2" t="inlineStr">
        <is>
          <t>Adet</t>
        </is>
      </c>
      <c r="F183" s="3" t="n">
        <v>300.18</v>
      </c>
      <c r="G183" s="4" t="n">
        <v>0.0457</v>
      </c>
      <c r="H183" s="3" t="n">
        <v>286.46</v>
      </c>
      <c r="I183" s="3" t="n">
        <v>572.92</v>
      </c>
      <c r="J183" s="3" t="n">
        <v>212.53</v>
      </c>
      <c r="K183" s="3" t="n">
        <v>425.06</v>
      </c>
      <c r="L183" s="3" t="n">
        <v>147.86</v>
      </c>
      <c r="M183" s="4" t="n">
        <v>0.2581</v>
      </c>
    </row>
    <row r="184">
      <c r="A184" s="2" t="inlineStr">
        <is>
          <t>SKL-00183</t>
        </is>
      </c>
      <c r="B184" s="2" t="inlineStr">
        <is>
          <t>SIP-0054</t>
        </is>
      </c>
      <c r="C184" s="2" t="inlineStr">
        <is>
          <t>ENDVAN-030</t>
        </is>
      </c>
      <c r="D184" s="5" t="n">
        <v>4</v>
      </c>
      <c r="E184" s="2" t="inlineStr">
        <is>
          <t>Adet</t>
        </is>
      </c>
      <c r="F184" s="3" t="n">
        <v>482.74</v>
      </c>
      <c r="G184" s="4" t="n">
        <v>0.079</v>
      </c>
      <c r="H184" s="3" t="n">
        <v>444.6</v>
      </c>
      <c r="I184" s="3" t="n">
        <v>1778.4</v>
      </c>
      <c r="J184" s="3" t="n">
        <v>303.77</v>
      </c>
      <c r="K184" s="3" t="n">
        <v>1215.08</v>
      </c>
      <c r="L184" s="3" t="n">
        <v>563.3200000000001</v>
      </c>
      <c r="M184" s="4" t="n">
        <v>0.3168</v>
      </c>
    </row>
    <row r="185">
      <c r="A185" s="2" t="inlineStr">
        <is>
          <t>SKL-00184</t>
        </is>
      </c>
      <c r="B185" s="2" t="inlineStr">
        <is>
          <t>SIP-0055</t>
        </is>
      </c>
      <c r="C185" s="2" t="inlineStr">
        <is>
          <t>ENDVAN-015</t>
        </is>
      </c>
      <c r="D185" s="5" t="n">
        <v>15</v>
      </c>
      <c r="E185" s="2" t="inlineStr">
        <is>
          <t>Adet</t>
        </is>
      </c>
      <c r="F185" s="3" t="n">
        <v>1570.3</v>
      </c>
      <c r="G185" s="4" t="n">
        <v>0.0849</v>
      </c>
      <c r="H185" s="3" t="n">
        <v>1436.98</v>
      </c>
      <c r="I185" s="3" t="n">
        <v>21554.7</v>
      </c>
      <c r="J185" s="3" t="n">
        <v>1019.05</v>
      </c>
      <c r="K185" s="3" t="n">
        <v>15285.75</v>
      </c>
      <c r="L185" s="3" t="n">
        <v>6268.95</v>
      </c>
      <c r="M185" s="4" t="n">
        <v>0.2908</v>
      </c>
    </row>
    <row r="186">
      <c r="A186" s="2" t="inlineStr">
        <is>
          <t>SKL-00185</t>
        </is>
      </c>
      <c r="B186" s="2" t="inlineStr">
        <is>
          <t>SIP-0055</t>
        </is>
      </c>
      <c r="C186" s="2" t="inlineStr">
        <is>
          <t>YAREND-003</t>
        </is>
      </c>
      <c r="D186" s="5" t="n">
        <v>7</v>
      </c>
      <c r="E186" s="2" t="inlineStr">
        <is>
          <t>Adet</t>
        </is>
      </c>
      <c r="F186" s="3" t="n">
        <v>232.97</v>
      </c>
      <c r="G186" s="4" t="n">
        <v>0.0065</v>
      </c>
      <c r="H186" s="3" t="n">
        <v>231.46</v>
      </c>
      <c r="I186" s="3" t="n">
        <v>1620.22</v>
      </c>
      <c r="J186" s="3" t="n">
        <v>159.13</v>
      </c>
      <c r="K186" s="3" t="n">
        <v>1113.91</v>
      </c>
      <c r="L186" s="3" t="n">
        <v>506.31</v>
      </c>
      <c r="M186" s="4" t="n">
        <v>0.3125</v>
      </c>
    </row>
    <row r="187">
      <c r="A187" s="2" t="inlineStr">
        <is>
          <t>SKL-00186</t>
        </is>
      </c>
      <c r="B187" s="2" t="inlineStr">
        <is>
          <t>SIP-0055</t>
        </is>
      </c>
      <c r="C187" s="2" t="inlineStr">
        <is>
          <t>ENDVAN-016</t>
        </is>
      </c>
      <c r="D187" s="5" t="n">
        <v>7</v>
      </c>
      <c r="E187" s="2" t="inlineStr">
        <is>
          <t>Adet</t>
        </is>
      </c>
      <c r="F187" s="3" t="n">
        <v>926.99</v>
      </c>
      <c r="G187" s="4" t="n">
        <v>0.0984</v>
      </c>
      <c r="H187" s="3" t="n">
        <v>835.77</v>
      </c>
      <c r="I187" s="3" t="n">
        <v>5850.39</v>
      </c>
      <c r="J187" s="3" t="n">
        <v>674.97</v>
      </c>
      <c r="K187" s="3" t="n">
        <v>4724.79</v>
      </c>
      <c r="L187" s="3" t="n">
        <v>1125.6</v>
      </c>
      <c r="M187" s="4" t="n">
        <v>0.1924</v>
      </c>
    </row>
    <row r="188">
      <c r="A188" s="2" t="inlineStr">
        <is>
          <t>SKL-00187</t>
        </is>
      </c>
      <c r="B188" s="2" t="inlineStr">
        <is>
          <t>SIP-0055</t>
        </is>
      </c>
      <c r="C188" s="2" t="inlineStr">
        <is>
          <t>FLAIZO-005</t>
        </is>
      </c>
      <c r="D188" s="5" t="n">
        <v>62</v>
      </c>
      <c r="E188" s="2" t="inlineStr">
        <is>
          <t>Set</t>
        </is>
      </c>
      <c r="F188" s="3" t="n">
        <v>234.34</v>
      </c>
      <c r="G188" s="4" t="n">
        <v>0.0409</v>
      </c>
      <c r="H188" s="3" t="n">
        <v>224.76</v>
      </c>
      <c r="I188" s="3" t="n">
        <v>13935.12</v>
      </c>
      <c r="J188" s="3" t="n">
        <v>120.26</v>
      </c>
      <c r="K188" s="3" t="n">
        <v>7456.12</v>
      </c>
      <c r="L188" s="3" t="n">
        <v>6479</v>
      </c>
      <c r="M188" s="4" t="n">
        <v>0.4649</v>
      </c>
    </row>
    <row r="189">
      <c r="A189" s="2" t="inlineStr">
        <is>
          <t>SKL-00188</t>
        </is>
      </c>
      <c r="B189" s="2" t="inlineStr">
        <is>
          <t>SIP-0056</t>
        </is>
      </c>
      <c r="C189" s="2" t="inlineStr">
        <is>
          <t>FLAIZO-009</t>
        </is>
      </c>
      <c r="D189" s="5" t="n">
        <v>33</v>
      </c>
      <c r="E189" s="2" t="inlineStr">
        <is>
          <t>Set</t>
        </is>
      </c>
      <c r="F189" s="3" t="n">
        <v>219.44</v>
      </c>
      <c r="G189" s="4" t="n">
        <v>0.0166</v>
      </c>
      <c r="H189" s="3" t="n">
        <v>215.8</v>
      </c>
      <c r="I189" s="3" t="n">
        <v>7121.4</v>
      </c>
      <c r="J189" s="3" t="n">
        <v>127.08</v>
      </c>
      <c r="K189" s="3" t="n">
        <v>4193.64</v>
      </c>
      <c r="L189" s="3" t="n">
        <v>2927.76</v>
      </c>
      <c r="M189" s="4" t="n">
        <v>0.4111</v>
      </c>
    </row>
    <row r="190">
      <c r="A190" s="2" t="inlineStr">
        <is>
          <t>SKL-00189</t>
        </is>
      </c>
      <c r="B190" s="2" t="inlineStr">
        <is>
          <t>SIP-0056</t>
        </is>
      </c>
      <c r="C190" s="2" t="inlineStr">
        <is>
          <t>ENDVAN-020</t>
        </is>
      </c>
      <c r="D190" s="5" t="n">
        <v>5</v>
      </c>
      <c r="E190" s="2" t="inlineStr">
        <is>
          <t>Adet</t>
        </is>
      </c>
      <c r="F190" s="3" t="n">
        <v>626.42</v>
      </c>
      <c r="G190" s="4" t="n">
        <v>0.0877</v>
      </c>
      <c r="H190" s="3" t="n">
        <v>571.48</v>
      </c>
      <c r="I190" s="3" t="n">
        <v>2857.4</v>
      </c>
      <c r="J190" s="3" t="n">
        <v>433.62</v>
      </c>
      <c r="K190" s="3" t="n">
        <v>2168.1</v>
      </c>
      <c r="L190" s="3" t="n">
        <v>689.3</v>
      </c>
      <c r="M190" s="4" t="n">
        <v>0.2412</v>
      </c>
    </row>
    <row r="191">
      <c r="A191" s="2" t="inlineStr">
        <is>
          <t>SKL-00190</t>
        </is>
      </c>
      <c r="B191" s="2" t="inlineStr">
        <is>
          <t>SIP-0056</t>
        </is>
      </c>
      <c r="C191" s="2" t="inlineStr">
        <is>
          <t>YAREND-006</t>
        </is>
      </c>
      <c r="D191" s="5" t="n">
        <v>11</v>
      </c>
      <c r="E191" s="2" t="inlineStr">
        <is>
          <t>Adet</t>
        </is>
      </c>
      <c r="F191" s="3" t="n">
        <v>543.36</v>
      </c>
      <c r="G191" s="4" t="n">
        <v>0.09569999999999999</v>
      </c>
      <c r="H191" s="3" t="n">
        <v>491.36</v>
      </c>
      <c r="I191" s="3" t="n">
        <v>5404.96</v>
      </c>
      <c r="J191" s="3" t="n">
        <v>363.57</v>
      </c>
      <c r="K191" s="3" t="n">
        <v>3999.27</v>
      </c>
      <c r="L191" s="3" t="n">
        <v>1405.69</v>
      </c>
      <c r="M191" s="4" t="n">
        <v>0.2601</v>
      </c>
    </row>
    <row r="192">
      <c r="A192" s="2" t="inlineStr">
        <is>
          <t>SKL-00191</t>
        </is>
      </c>
      <c r="B192" s="2" t="inlineStr">
        <is>
          <t>SIP-0056</t>
        </is>
      </c>
      <c r="C192" s="2" t="inlineStr">
        <is>
          <t>YAREND-010</t>
        </is>
      </c>
      <c r="D192" s="5" t="n">
        <v>5</v>
      </c>
      <c r="E192" s="2" t="inlineStr">
        <is>
          <t>Adet</t>
        </is>
      </c>
      <c r="F192" s="3" t="n">
        <v>970.42</v>
      </c>
      <c r="G192" s="4" t="n">
        <v>0.0592</v>
      </c>
      <c r="H192" s="3" t="n">
        <v>912.97</v>
      </c>
      <c r="I192" s="3" t="n">
        <v>4564.85</v>
      </c>
      <c r="J192" s="3" t="n">
        <v>593.24</v>
      </c>
      <c r="K192" s="3" t="n">
        <v>2966.2</v>
      </c>
      <c r="L192" s="3" t="n">
        <v>1598.65</v>
      </c>
      <c r="M192" s="4" t="n">
        <v>0.3502</v>
      </c>
    </row>
    <row r="193">
      <c r="A193" s="2" t="inlineStr">
        <is>
          <t>SKL-00192</t>
        </is>
      </c>
      <c r="B193" s="2" t="inlineStr">
        <is>
          <t>SIP-0057</t>
        </is>
      </c>
      <c r="C193" s="2" t="inlineStr">
        <is>
          <t>ENDVAN-019</t>
        </is>
      </c>
      <c r="D193" s="5" t="n">
        <v>11</v>
      </c>
      <c r="E193" s="2" t="inlineStr">
        <is>
          <t>Adet</t>
        </is>
      </c>
      <c r="F193" s="3" t="n">
        <v>830.5</v>
      </c>
      <c r="G193" s="4" t="n">
        <v>0.0925</v>
      </c>
      <c r="H193" s="3" t="n">
        <v>753.6799999999999</v>
      </c>
      <c r="I193" s="3" t="n">
        <v>8290.48</v>
      </c>
      <c r="J193" s="3" t="n">
        <v>564.9400000000001</v>
      </c>
      <c r="K193" s="3" t="n">
        <v>6214.34</v>
      </c>
      <c r="L193" s="3" t="n">
        <v>2076.14</v>
      </c>
      <c r="M193" s="4" t="n">
        <v>0.2504</v>
      </c>
    </row>
    <row r="194">
      <c r="A194" s="2" t="inlineStr">
        <is>
          <t>SKL-00193</t>
        </is>
      </c>
      <c r="B194" s="2" t="inlineStr">
        <is>
          <t>SIP-0057</t>
        </is>
      </c>
      <c r="C194" s="2" t="inlineStr">
        <is>
          <t>ENDVAN-014</t>
        </is>
      </c>
      <c r="D194" s="5" t="n">
        <v>23</v>
      </c>
      <c r="E194" s="2" t="inlineStr">
        <is>
          <t>Adet</t>
        </is>
      </c>
      <c r="F194" s="3" t="n">
        <v>1629.55</v>
      </c>
      <c r="G194" s="4" t="n">
        <v>0.0163</v>
      </c>
      <c r="H194" s="3" t="n">
        <v>1602.99</v>
      </c>
      <c r="I194" s="3" t="n">
        <v>36868.77</v>
      </c>
      <c r="J194" s="3" t="n">
        <v>1025.06</v>
      </c>
      <c r="K194" s="3" t="n">
        <v>23576.38</v>
      </c>
      <c r="L194" s="3" t="n">
        <v>13292.39</v>
      </c>
      <c r="M194" s="4" t="n">
        <v>0.3605</v>
      </c>
    </row>
    <row r="195">
      <c r="A195" s="2" t="inlineStr">
        <is>
          <t>SKL-00194</t>
        </is>
      </c>
      <c r="B195" s="2" t="inlineStr">
        <is>
          <t>SIP-0057</t>
        </is>
      </c>
      <c r="C195" s="2" t="inlineStr">
        <is>
          <t>ENDVAN-022</t>
        </is>
      </c>
      <c r="D195" s="5" t="n">
        <v>17</v>
      </c>
      <c r="E195" s="2" t="inlineStr">
        <is>
          <t>Adet</t>
        </is>
      </c>
      <c r="F195" s="3" t="n">
        <v>224.36</v>
      </c>
      <c r="G195" s="4" t="n">
        <v>0.025</v>
      </c>
      <c r="H195" s="3" t="n">
        <v>218.75</v>
      </c>
      <c r="I195" s="3" t="n">
        <v>3718.75</v>
      </c>
      <c r="J195" s="3" t="n">
        <v>163.9</v>
      </c>
      <c r="K195" s="3" t="n">
        <v>2786.3</v>
      </c>
      <c r="L195" s="3" t="n">
        <v>932.45</v>
      </c>
      <c r="M195" s="4" t="n">
        <v>0.2507</v>
      </c>
    </row>
    <row r="196">
      <c r="A196" s="2" t="inlineStr">
        <is>
          <t>SKL-00195</t>
        </is>
      </c>
      <c r="B196" s="2" t="inlineStr">
        <is>
          <t>SIP-0057</t>
        </is>
      </c>
      <c r="C196" s="2" t="inlineStr">
        <is>
          <t>FLAIZO-014</t>
        </is>
      </c>
      <c r="D196" s="5" t="n">
        <v>25</v>
      </c>
      <c r="E196" s="2" t="inlineStr">
        <is>
          <t>Set</t>
        </is>
      </c>
      <c r="F196" s="3" t="n">
        <v>62.2</v>
      </c>
      <c r="G196" s="4" t="n">
        <v>0.0229</v>
      </c>
      <c r="H196" s="3" t="n">
        <v>60.78</v>
      </c>
      <c r="I196" s="3" t="n">
        <v>1519.5</v>
      </c>
      <c r="J196" s="3" t="n">
        <v>32.61</v>
      </c>
      <c r="K196" s="3" t="n">
        <v>815.25</v>
      </c>
      <c r="L196" s="3" t="n">
        <v>704.25</v>
      </c>
      <c r="M196" s="4" t="n">
        <v>0.4635</v>
      </c>
    </row>
    <row r="197">
      <c r="A197" s="2" t="inlineStr">
        <is>
          <t>SKL-00196</t>
        </is>
      </c>
      <c r="B197" s="2" t="inlineStr">
        <is>
          <t>SIP-0057</t>
        </is>
      </c>
      <c r="C197" s="2" t="inlineStr">
        <is>
          <t>FLAIZO-009</t>
        </is>
      </c>
      <c r="D197" s="5" t="n">
        <v>32</v>
      </c>
      <c r="E197" s="2" t="inlineStr">
        <is>
          <t>Set</t>
        </is>
      </c>
      <c r="F197" s="3" t="n">
        <v>200.89</v>
      </c>
      <c r="G197" s="4" t="n">
        <v>0.1074</v>
      </c>
      <c r="H197" s="3" t="n">
        <v>179.31</v>
      </c>
      <c r="I197" s="3" t="n">
        <v>5737.92</v>
      </c>
      <c r="J197" s="3" t="n">
        <v>127.08</v>
      </c>
      <c r="K197" s="3" t="n">
        <v>4066.56</v>
      </c>
      <c r="L197" s="3" t="n">
        <v>1671.36</v>
      </c>
      <c r="M197" s="4" t="n">
        <v>0.2913</v>
      </c>
    </row>
    <row r="198">
      <c r="A198" s="2" t="inlineStr">
        <is>
          <t>SKL-00197</t>
        </is>
      </c>
      <c r="B198" s="2" t="inlineStr">
        <is>
          <t>SIP-0057</t>
        </is>
      </c>
      <c r="C198" s="2" t="inlineStr">
        <is>
          <t>MEKSIZ-005</t>
        </is>
      </c>
      <c r="D198" s="5" t="n">
        <v>10</v>
      </c>
      <c r="E198" s="2" t="inlineStr">
        <is>
          <t>Adet</t>
        </is>
      </c>
      <c r="F198" s="3" t="n">
        <v>644.28</v>
      </c>
      <c r="G198" s="4" t="n">
        <v>0.0999</v>
      </c>
      <c r="H198" s="3" t="n">
        <v>579.92</v>
      </c>
      <c r="I198" s="3" t="n">
        <v>5799.2</v>
      </c>
      <c r="J198" s="3" t="n">
        <v>370.26</v>
      </c>
      <c r="K198" s="3" t="n">
        <v>3702.6</v>
      </c>
      <c r="L198" s="3" t="n">
        <v>2096.6</v>
      </c>
      <c r="M198" s="4" t="n">
        <v>0.3615</v>
      </c>
    </row>
    <row r="199">
      <c r="A199" s="2" t="inlineStr">
        <is>
          <t>SKL-00198</t>
        </is>
      </c>
      <c r="B199" s="2" t="inlineStr">
        <is>
          <t>SIP-0058</t>
        </is>
      </c>
      <c r="C199" s="2" t="inlineStr">
        <is>
          <t>ENDVAN-023</t>
        </is>
      </c>
      <c r="D199" s="5" t="n">
        <v>19</v>
      </c>
      <c r="E199" s="2" t="inlineStr">
        <is>
          <t>Adet</t>
        </is>
      </c>
      <c r="F199" s="3" t="n">
        <v>1191.32</v>
      </c>
      <c r="G199" s="4" t="n">
        <v>0.0345</v>
      </c>
      <c r="H199" s="3" t="n">
        <v>1150.22</v>
      </c>
      <c r="I199" s="3" t="n">
        <v>21854.18</v>
      </c>
      <c r="J199" s="3" t="n">
        <v>763.0599999999999</v>
      </c>
      <c r="K199" s="3" t="n">
        <v>14498.14</v>
      </c>
      <c r="L199" s="3" t="n">
        <v>7356.04</v>
      </c>
      <c r="M199" s="4" t="n">
        <v>0.3366</v>
      </c>
    </row>
    <row r="200">
      <c r="A200" s="2" t="inlineStr">
        <is>
          <t>SKL-00199</t>
        </is>
      </c>
      <c r="B200" s="2" t="inlineStr">
        <is>
          <t>SIP-0058</t>
        </is>
      </c>
      <c r="C200" s="2" t="inlineStr">
        <is>
          <t>FLAIZO-008</t>
        </is>
      </c>
      <c r="D200" s="5" t="n">
        <v>39</v>
      </c>
      <c r="E200" s="2" t="inlineStr">
        <is>
          <t>Set</t>
        </is>
      </c>
      <c r="F200" s="3" t="n">
        <v>136.39</v>
      </c>
      <c r="G200" s="4" t="n">
        <v>0.0467</v>
      </c>
      <c r="H200" s="3" t="n">
        <v>130.02</v>
      </c>
      <c r="I200" s="3" t="n">
        <v>5070.78</v>
      </c>
      <c r="J200" s="3" t="n">
        <v>78.08</v>
      </c>
      <c r="K200" s="3" t="n">
        <v>3045.12</v>
      </c>
      <c r="L200" s="3" t="n">
        <v>2025.66</v>
      </c>
      <c r="M200" s="4" t="n">
        <v>0.3995</v>
      </c>
    </row>
    <row r="201">
      <c r="A201" s="2" t="inlineStr">
        <is>
          <t>SKL-00200</t>
        </is>
      </c>
      <c r="B201" s="2" t="inlineStr">
        <is>
          <t>SIP-0058</t>
        </is>
      </c>
      <c r="C201" s="2" t="inlineStr">
        <is>
          <t>ENDVAN-009</t>
        </is>
      </c>
      <c r="D201" s="5" t="n">
        <v>16</v>
      </c>
      <c r="E201" s="2" t="inlineStr">
        <is>
          <t>Adet</t>
        </is>
      </c>
      <c r="F201" s="3" t="n">
        <v>564.6900000000001</v>
      </c>
      <c r="G201" s="4" t="n">
        <v>0.0639</v>
      </c>
      <c r="H201" s="3" t="n">
        <v>528.61</v>
      </c>
      <c r="I201" s="3" t="n">
        <v>8457.76</v>
      </c>
      <c r="J201" s="3" t="n">
        <v>411.64</v>
      </c>
      <c r="K201" s="3" t="n">
        <v>6586.24</v>
      </c>
      <c r="L201" s="3" t="n">
        <v>1871.52</v>
      </c>
      <c r="M201" s="4" t="n">
        <v>0.2213</v>
      </c>
    </row>
    <row r="202">
      <c r="A202" s="2" t="inlineStr">
        <is>
          <t>SKL-00201</t>
        </is>
      </c>
      <c r="B202" s="2" t="inlineStr">
        <is>
          <t>SIP-0058</t>
        </is>
      </c>
      <c r="C202" s="2" t="inlineStr">
        <is>
          <t>ENDVAN-016</t>
        </is>
      </c>
      <c r="D202" s="5" t="n">
        <v>3</v>
      </c>
      <c r="E202" s="2" t="inlineStr">
        <is>
          <t>Adet</t>
        </is>
      </c>
      <c r="F202" s="3" t="n">
        <v>894.5</v>
      </c>
      <c r="G202" s="4" t="n">
        <v>0.0766</v>
      </c>
      <c r="H202" s="3" t="n">
        <v>825.98</v>
      </c>
      <c r="I202" s="3" t="n">
        <v>2477.94</v>
      </c>
      <c r="J202" s="3" t="n">
        <v>674.97</v>
      </c>
      <c r="K202" s="3" t="n">
        <v>2024.91</v>
      </c>
      <c r="L202" s="3" t="n">
        <v>453.03</v>
      </c>
      <c r="M202" s="4" t="n">
        <v>0.1828</v>
      </c>
    </row>
    <row r="203">
      <c r="A203" s="2" t="inlineStr">
        <is>
          <t>SKL-00202</t>
        </is>
      </c>
      <c r="B203" s="2" t="inlineStr">
        <is>
          <t>SIP-0058</t>
        </is>
      </c>
      <c r="C203" s="2" t="inlineStr">
        <is>
          <t>FLAIZO-011</t>
        </is>
      </c>
      <c r="D203" s="5" t="n">
        <v>62</v>
      </c>
      <c r="E203" s="2" t="inlineStr">
        <is>
          <t>Set</t>
        </is>
      </c>
      <c r="F203" s="3" t="n">
        <v>155.37</v>
      </c>
      <c r="G203" s="4" t="n">
        <v>0.1006</v>
      </c>
      <c r="H203" s="3" t="n">
        <v>139.74</v>
      </c>
      <c r="I203" s="3" t="n">
        <v>8663.879999999999</v>
      </c>
      <c r="J203" s="3" t="n">
        <v>86.27</v>
      </c>
      <c r="K203" s="3" t="n">
        <v>5348.74</v>
      </c>
      <c r="L203" s="3" t="n">
        <v>3315.14</v>
      </c>
      <c r="M203" s="4" t="n">
        <v>0.3826</v>
      </c>
    </row>
    <row r="204">
      <c r="A204" s="2" t="inlineStr">
        <is>
          <t>SKL-00203</t>
        </is>
      </c>
      <c r="B204" s="2" t="inlineStr">
        <is>
          <t>SIP-0059</t>
        </is>
      </c>
      <c r="C204" s="2" t="inlineStr">
        <is>
          <t>ENDVAN-013</t>
        </is>
      </c>
      <c r="D204" s="5" t="n">
        <v>6</v>
      </c>
      <c r="E204" s="2" t="inlineStr">
        <is>
          <t>Adet</t>
        </is>
      </c>
      <c r="F204" s="3" t="n">
        <v>1635.7</v>
      </c>
      <c r="G204" s="4" t="n">
        <v>0.09569999999999999</v>
      </c>
      <c r="H204" s="3" t="n">
        <v>1479.16</v>
      </c>
      <c r="I204" s="3" t="n">
        <v>8874.959999999999</v>
      </c>
      <c r="J204" s="3" t="n">
        <v>1133.86</v>
      </c>
      <c r="K204" s="3" t="n">
        <v>6803.16</v>
      </c>
      <c r="L204" s="3" t="n">
        <v>2071.8</v>
      </c>
      <c r="M204" s="4" t="n">
        <v>0.2334</v>
      </c>
    </row>
    <row r="205">
      <c r="A205" s="2" t="inlineStr">
        <is>
          <t>SKL-00204</t>
        </is>
      </c>
      <c r="B205" s="2" t="inlineStr">
        <is>
          <t>SIP-0059</t>
        </is>
      </c>
      <c r="C205" s="2" t="inlineStr">
        <is>
          <t>ENDVAN-008</t>
        </is>
      </c>
      <c r="D205" s="5" t="n">
        <v>9</v>
      </c>
      <c r="E205" s="2" t="inlineStr">
        <is>
          <t>Adet</t>
        </is>
      </c>
      <c r="F205" s="3" t="n">
        <v>522.45</v>
      </c>
      <c r="G205" s="4" t="n">
        <v>0.0034</v>
      </c>
      <c r="H205" s="3" t="n">
        <v>520.67</v>
      </c>
      <c r="I205" s="3" t="n">
        <v>4686.03</v>
      </c>
      <c r="J205" s="3" t="n">
        <v>429.42</v>
      </c>
      <c r="K205" s="3" t="n">
        <v>3864.78</v>
      </c>
      <c r="L205" s="3" t="n">
        <v>821.25</v>
      </c>
      <c r="M205" s="4" t="n">
        <v>0.1753</v>
      </c>
    </row>
    <row r="206">
      <c r="A206" s="2" t="inlineStr">
        <is>
          <t>SKL-00205</t>
        </is>
      </c>
      <c r="B206" s="2" t="inlineStr">
        <is>
          <t>SIP-0060</t>
        </is>
      </c>
      <c r="C206" s="2" t="inlineStr">
        <is>
          <t>FLAIZO-011</t>
        </is>
      </c>
      <c r="D206" s="5" t="n">
        <v>27</v>
      </c>
      <c r="E206" s="2" t="inlineStr">
        <is>
          <t>Set</t>
        </is>
      </c>
      <c r="F206" s="3" t="n">
        <v>165.13</v>
      </c>
      <c r="G206" s="4" t="n">
        <v>0.0349</v>
      </c>
      <c r="H206" s="3" t="n">
        <v>159.37</v>
      </c>
      <c r="I206" s="3" t="n">
        <v>4302.99</v>
      </c>
      <c r="J206" s="3" t="n">
        <v>86.27</v>
      </c>
      <c r="K206" s="3" t="n">
        <v>2329.29</v>
      </c>
      <c r="L206" s="3" t="n">
        <v>1973.7</v>
      </c>
      <c r="M206" s="4" t="n">
        <v>0.4587</v>
      </c>
    </row>
    <row r="207">
      <c r="A207" s="2" t="inlineStr">
        <is>
          <t>SKL-00206</t>
        </is>
      </c>
      <c r="B207" s="2" t="inlineStr">
        <is>
          <t>SIP-0060</t>
        </is>
      </c>
      <c r="C207" s="2" t="inlineStr">
        <is>
          <t>ENDVAN-018</t>
        </is>
      </c>
      <c r="D207" s="5" t="n">
        <v>22</v>
      </c>
      <c r="E207" s="2" t="inlineStr">
        <is>
          <t>Adet</t>
        </is>
      </c>
      <c r="F207" s="3" t="n">
        <v>988.88</v>
      </c>
      <c r="G207" s="4" t="n">
        <v>0.0094</v>
      </c>
      <c r="H207" s="3" t="n">
        <v>979.58</v>
      </c>
      <c r="I207" s="3" t="n">
        <v>21550.76</v>
      </c>
      <c r="J207" s="3" t="n">
        <v>781.12</v>
      </c>
      <c r="K207" s="3" t="n">
        <v>17184.64</v>
      </c>
      <c r="L207" s="3" t="n">
        <v>4366.12</v>
      </c>
      <c r="M207" s="4" t="n">
        <v>0.2026</v>
      </c>
    </row>
    <row r="208">
      <c r="A208" s="2" t="inlineStr">
        <is>
          <t>SKL-00207</t>
        </is>
      </c>
      <c r="B208" s="2" t="inlineStr">
        <is>
          <t>SIP-0060</t>
        </is>
      </c>
      <c r="C208" s="2" t="inlineStr">
        <is>
          <t>ENDVAN-029</t>
        </is>
      </c>
      <c r="D208" s="5" t="n">
        <v>6</v>
      </c>
      <c r="E208" s="2" t="inlineStr">
        <is>
          <t>Adet</t>
        </is>
      </c>
      <c r="F208" s="3" t="n">
        <v>518.29</v>
      </c>
      <c r="G208" s="4" t="n">
        <v>0.082</v>
      </c>
      <c r="H208" s="3" t="n">
        <v>475.79</v>
      </c>
      <c r="I208" s="3" t="n">
        <v>2854.74</v>
      </c>
      <c r="J208" s="3" t="n">
        <v>318.96</v>
      </c>
      <c r="K208" s="3" t="n">
        <v>1913.76</v>
      </c>
      <c r="L208" s="3" t="n">
        <v>940.98</v>
      </c>
      <c r="M208" s="4" t="n">
        <v>0.3296</v>
      </c>
    </row>
    <row r="209">
      <c r="A209" s="2" t="inlineStr">
        <is>
          <t>SKL-00208</t>
        </is>
      </c>
      <c r="B209" s="2" t="inlineStr">
        <is>
          <t>SIP-0060</t>
        </is>
      </c>
      <c r="C209" s="2" t="inlineStr">
        <is>
          <t>YAREND-015</t>
        </is>
      </c>
      <c r="D209" s="5" t="n">
        <v>3</v>
      </c>
      <c r="E209" s="2" t="inlineStr">
        <is>
          <t>Adet</t>
        </is>
      </c>
      <c r="F209" s="3" t="n">
        <v>146.21</v>
      </c>
      <c r="G209" s="4" t="n">
        <v>0.0207</v>
      </c>
      <c r="H209" s="3" t="n">
        <v>143.18</v>
      </c>
      <c r="I209" s="3" t="n">
        <v>429.54</v>
      </c>
      <c r="J209" s="3" t="n">
        <v>114.22</v>
      </c>
      <c r="K209" s="3" t="n">
        <v>342.66</v>
      </c>
      <c r="L209" s="3" t="n">
        <v>86.88</v>
      </c>
      <c r="M209" s="4" t="n">
        <v>0.2023</v>
      </c>
    </row>
    <row r="210">
      <c r="A210" s="2" t="inlineStr">
        <is>
          <t>SKL-00209</t>
        </is>
      </c>
      <c r="B210" s="2" t="inlineStr">
        <is>
          <t>SIP-0060</t>
        </is>
      </c>
      <c r="C210" s="2" t="inlineStr">
        <is>
          <t>MEKSIZ-004</t>
        </is>
      </c>
      <c r="D210" s="5" t="n">
        <v>20</v>
      </c>
      <c r="E210" s="2" t="inlineStr">
        <is>
          <t>Adet</t>
        </is>
      </c>
      <c r="F210" s="3" t="n">
        <v>256.09</v>
      </c>
      <c r="G210" s="4" t="n">
        <v>0.0614</v>
      </c>
      <c r="H210" s="3" t="n">
        <v>240.37</v>
      </c>
      <c r="I210" s="3" t="n">
        <v>4807.4</v>
      </c>
      <c r="J210" s="3" t="n">
        <v>164.52</v>
      </c>
      <c r="K210" s="3" t="n">
        <v>3290.4</v>
      </c>
      <c r="L210" s="3" t="n">
        <v>1517</v>
      </c>
      <c r="M210" s="4" t="n">
        <v>0.3156</v>
      </c>
    </row>
    <row r="211">
      <c r="A211" s="2" t="inlineStr">
        <is>
          <t>SKL-00210</t>
        </is>
      </c>
      <c r="B211" s="2" t="inlineStr">
        <is>
          <t>SIP-0060</t>
        </is>
      </c>
      <c r="C211" s="2" t="inlineStr">
        <is>
          <t>ENDVAN-026</t>
        </is>
      </c>
      <c r="D211" s="5" t="n">
        <v>8</v>
      </c>
      <c r="E211" s="2" t="inlineStr">
        <is>
          <t>Adet</t>
        </is>
      </c>
      <c r="F211" s="3" t="n">
        <v>1507.13</v>
      </c>
      <c r="G211" s="4" t="n">
        <v>0.0759</v>
      </c>
      <c r="H211" s="3" t="n">
        <v>1392.74</v>
      </c>
      <c r="I211" s="3" t="n">
        <v>11141.92</v>
      </c>
      <c r="J211" s="3" t="n">
        <v>1039.5</v>
      </c>
      <c r="K211" s="3" t="n">
        <v>8316</v>
      </c>
      <c r="L211" s="3" t="n">
        <v>2825.92</v>
      </c>
      <c r="M211" s="4" t="n">
        <v>0.2536</v>
      </c>
    </row>
    <row r="212">
      <c r="A212" s="2" t="inlineStr">
        <is>
          <t>SKL-00211</t>
        </is>
      </c>
      <c r="B212" s="2" t="inlineStr">
        <is>
          <t>SIP-0061</t>
        </is>
      </c>
      <c r="C212" s="2" t="inlineStr">
        <is>
          <t>MEKSIZ-007</t>
        </is>
      </c>
      <c r="D212" s="5" t="n">
        <v>19</v>
      </c>
      <c r="E212" s="2" t="inlineStr">
        <is>
          <t>Adet</t>
        </is>
      </c>
      <c r="F212" s="3" t="n">
        <v>483.97</v>
      </c>
      <c r="G212" s="4" t="n">
        <v>0.0411</v>
      </c>
      <c r="H212" s="3" t="n">
        <v>464.08</v>
      </c>
      <c r="I212" s="3" t="n">
        <v>8817.52</v>
      </c>
      <c r="J212" s="3" t="n">
        <v>301.85</v>
      </c>
      <c r="K212" s="3" t="n">
        <v>5735.15</v>
      </c>
      <c r="L212" s="3" t="n">
        <v>3082.37</v>
      </c>
      <c r="M212" s="4" t="n">
        <v>0.3496</v>
      </c>
    </row>
    <row r="213">
      <c r="A213" s="2" t="inlineStr">
        <is>
          <t>SKL-00212</t>
        </is>
      </c>
      <c r="B213" s="2" t="inlineStr">
        <is>
          <t>SIP-0061</t>
        </is>
      </c>
      <c r="C213" s="2" t="inlineStr">
        <is>
          <t>ENDVAN-003</t>
        </is>
      </c>
      <c r="D213" s="5" t="n">
        <v>6</v>
      </c>
      <c r="E213" s="2" t="inlineStr">
        <is>
          <t>Adet</t>
        </is>
      </c>
      <c r="F213" s="3" t="n">
        <v>1433.18</v>
      </c>
      <c r="G213" s="4" t="n">
        <v>0.0377</v>
      </c>
      <c r="H213" s="3" t="n">
        <v>1379.15</v>
      </c>
      <c r="I213" s="3" t="n">
        <v>8274.9</v>
      </c>
      <c r="J213" s="3" t="n">
        <v>1050.24</v>
      </c>
      <c r="K213" s="3" t="n">
        <v>6301.44</v>
      </c>
      <c r="L213" s="3" t="n">
        <v>1973.46</v>
      </c>
      <c r="M213" s="4" t="n">
        <v>0.2385</v>
      </c>
    </row>
    <row r="214">
      <c r="A214" s="2" t="inlineStr">
        <is>
          <t>SKL-00213</t>
        </is>
      </c>
      <c r="B214" s="2" t="inlineStr">
        <is>
          <t>SIP-0062</t>
        </is>
      </c>
      <c r="C214" s="2" t="inlineStr">
        <is>
          <t>ENDVAN-018</t>
        </is>
      </c>
      <c r="D214" s="5" t="n">
        <v>18</v>
      </c>
      <c r="E214" s="2" t="inlineStr">
        <is>
          <t>Adet</t>
        </is>
      </c>
      <c r="F214" s="3" t="n">
        <v>1021.45</v>
      </c>
      <c r="G214" s="4" t="n">
        <v>0.0132</v>
      </c>
      <c r="H214" s="3" t="n">
        <v>1007.97</v>
      </c>
      <c r="I214" s="3" t="n">
        <v>18143.46</v>
      </c>
      <c r="J214" s="3" t="n">
        <v>781.12</v>
      </c>
      <c r="K214" s="3" t="n">
        <v>14060.16</v>
      </c>
      <c r="L214" s="3" t="n">
        <v>4083.3</v>
      </c>
      <c r="M214" s="4" t="n">
        <v>0.2251</v>
      </c>
    </row>
    <row r="215">
      <c r="A215" s="2" t="inlineStr">
        <is>
          <t>SKL-00214</t>
        </is>
      </c>
      <c r="B215" s="2" t="inlineStr">
        <is>
          <t>SIP-0062</t>
        </is>
      </c>
      <c r="C215" s="2" t="inlineStr">
        <is>
          <t>ENDVAN-024</t>
        </is>
      </c>
      <c r="D215" s="5" t="n">
        <v>6</v>
      </c>
      <c r="E215" s="2" t="inlineStr">
        <is>
          <t>Adet</t>
        </is>
      </c>
      <c r="F215" s="3" t="n">
        <v>1770.27</v>
      </c>
      <c r="G215" s="4" t="n">
        <v>0.066</v>
      </c>
      <c r="H215" s="3" t="n">
        <v>1653.43</v>
      </c>
      <c r="I215" s="3" t="n">
        <v>9920.58</v>
      </c>
      <c r="J215" s="3" t="n">
        <v>1156.64</v>
      </c>
      <c r="K215" s="3" t="n">
        <v>6939.84</v>
      </c>
      <c r="L215" s="3" t="n">
        <v>2980.74</v>
      </c>
      <c r="M215" s="4" t="n">
        <v>0.3005</v>
      </c>
    </row>
    <row r="216">
      <c r="A216" s="2" t="inlineStr">
        <is>
          <t>SKL-00215</t>
        </is>
      </c>
      <c r="B216" s="2" t="inlineStr">
        <is>
          <t>SIP-0062</t>
        </is>
      </c>
      <c r="C216" s="2" t="inlineStr">
        <is>
          <t>ENDVAN-012</t>
        </is>
      </c>
      <c r="D216" s="5" t="n">
        <v>5</v>
      </c>
      <c r="E216" s="2" t="inlineStr">
        <is>
          <t>Adet</t>
        </is>
      </c>
      <c r="F216" s="3" t="n">
        <v>367.02</v>
      </c>
      <c r="G216" s="4" t="n">
        <v>0.06370000000000001</v>
      </c>
      <c r="H216" s="3" t="n">
        <v>343.64</v>
      </c>
      <c r="I216" s="3" t="n">
        <v>1718.2</v>
      </c>
      <c r="J216" s="3" t="n">
        <v>281.71</v>
      </c>
      <c r="K216" s="3" t="n">
        <v>1408.55</v>
      </c>
      <c r="L216" s="3" t="n">
        <v>309.65</v>
      </c>
      <c r="M216" s="4" t="n">
        <v>0.1802</v>
      </c>
    </row>
    <row r="217">
      <c r="A217" s="2" t="inlineStr">
        <is>
          <t>SKL-00216</t>
        </is>
      </c>
      <c r="B217" s="2" t="inlineStr">
        <is>
          <t>SIP-0062</t>
        </is>
      </c>
      <c r="C217" s="2" t="inlineStr">
        <is>
          <t>FLAIZO-012</t>
        </is>
      </c>
      <c r="D217" s="5" t="n">
        <v>76</v>
      </c>
      <c r="E217" s="2" t="inlineStr">
        <is>
          <t>Set</t>
        </is>
      </c>
      <c r="F217" s="3" t="n">
        <v>45.07</v>
      </c>
      <c r="G217" s="4" t="n">
        <v>0.0155</v>
      </c>
      <c r="H217" s="3" t="n">
        <v>44.37</v>
      </c>
      <c r="I217" s="3" t="n">
        <v>3372.12</v>
      </c>
      <c r="J217" s="3" t="n">
        <v>30.33</v>
      </c>
      <c r="K217" s="3" t="n">
        <v>2305.08</v>
      </c>
      <c r="L217" s="3" t="n">
        <v>1067.04</v>
      </c>
      <c r="M217" s="4" t="n">
        <v>0.3164</v>
      </c>
    </row>
    <row r="218">
      <c r="A218" s="2" t="inlineStr">
        <is>
          <t>SKL-00217</t>
        </is>
      </c>
      <c r="B218" s="2" t="inlineStr">
        <is>
          <t>SIP-0063</t>
        </is>
      </c>
      <c r="C218" s="2" t="inlineStr">
        <is>
          <t>FLAIZO-015</t>
        </is>
      </c>
      <c r="D218" s="5" t="n">
        <v>83</v>
      </c>
      <c r="E218" s="2" t="inlineStr">
        <is>
          <t>Set</t>
        </is>
      </c>
      <c r="F218" s="3" t="n">
        <v>171.6</v>
      </c>
      <c r="G218" s="4" t="n">
        <v>0.0335</v>
      </c>
      <c r="H218" s="3" t="n">
        <v>165.85</v>
      </c>
      <c r="I218" s="3" t="n">
        <v>13765.55</v>
      </c>
      <c r="J218" s="3" t="n">
        <v>94.38</v>
      </c>
      <c r="K218" s="3" t="n">
        <v>7833.54</v>
      </c>
      <c r="L218" s="3" t="n">
        <v>5932.01</v>
      </c>
      <c r="M218" s="4" t="n">
        <v>0.4309</v>
      </c>
    </row>
    <row r="219">
      <c r="A219" s="2" t="inlineStr">
        <is>
          <t>SKL-00218</t>
        </is>
      </c>
      <c r="B219" s="2" t="inlineStr">
        <is>
          <t>SIP-0063</t>
        </is>
      </c>
      <c r="C219" s="2" t="inlineStr">
        <is>
          <t>ENDVAN-024</t>
        </is>
      </c>
      <c r="D219" s="5" t="n">
        <v>20</v>
      </c>
      <c r="E219" s="2" t="inlineStr">
        <is>
          <t>Adet</t>
        </is>
      </c>
      <c r="F219" s="3" t="n">
        <v>1688.78</v>
      </c>
      <c r="G219" s="4" t="n">
        <v>0.1036</v>
      </c>
      <c r="H219" s="3" t="n">
        <v>1513.82</v>
      </c>
      <c r="I219" s="3" t="n">
        <v>30276.4</v>
      </c>
      <c r="J219" s="3" t="n">
        <v>1156.64</v>
      </c>
      <c r="K219" s="3" t="n">
        <v>23132.8</v>
      </c>
      <c r="L219" s="3" t="n">
        <v>7143.6</v>
      </c>
      <c r="M219" s="4" t="n">
        <v>0.2359</v>
      </c>
    </row>
    <row r="220">
      <c r="A220" s="2" t="inlineStr">
        <is>
          <t>SKL-00219</t>
        </is>
      </c>
      <c r="B220" s="2" t="inlineStr">
        <is>
          <t>SIP-0063</t>
        </is>
      </c>
      <c r="C220" s="2" t="inlineStr">
        <is>
          <t>YAREND-008</t>
        </is>
      </c>
      <c r="D220" s="5" t="n">
        <v>20</v>
      </c>
      <c r="E220" s="2" t="inlineStr">
        <is>
          <t>Adet</t>
        </is>
      </c>
      <c r="F220" s="3" t="n">
        <v>959.4400000000001</v>
      </c>
      <c r="G220" s="4" t="n">
        <v>0.008399999999999999</v>
      </c>
      <c r="H220" s="3" t="n">
        <v>951.38</v>
      </c>
      <c r="I220" s="3" t="n">
        <v>19027.6</v>
      </c>
      <c r="J220" s="3" t="n">
        <v>582.91</v>
      </c>
      <c r="K220" s="3" t="n">
        <v>11658.2</v>
      </c>
      <c r="L220" s="3" t="n">
        <v>7369.4</v>
      </c>
      <c r="M220" s="4" t="n">
        <v>0.3873</v>
      </c>
    </row>
    <row r="221">
      <c r="A221" s="2" t="inlineStr">
        <is>
          <t>SKL-00220</t>
        </is>
      </c>
      <c r="B221" s="2" t="inlineStr">
        <is>
          <t>SIP-0064</t>
        </is>
      </c>
      <c r="C221" s="2" t="inlineStr">
        <is>
          <t>YAREND-004</t>
        </is>
      </c>
      <c r="D221" s="5" t="n">
        <v>9</v>
      </c>
      <c r="E221" s="2" t="inlineStr">
        <is>
          <t>Adet</t>
        </is>
      </c>
      <c r="F221" s="3" t="n">
        <v>1170.32</v>
      </c>
      <c r="G221" s="4" t="n">
        <v>0.1087</v>
      </c>
      <c r="H221" s="3" t="n">
        <v>1043.11</v>
      </c>
      <c r="I221" s="3" t="n">
        <v>9387.99</v>
      </c>
      <c r="J221" s="3" t="n">
        <v>774.26</v>
      </c>
      <c r="K221" s="3" t="n">
        <v>6968.34</v>
      </c>
      <c r="L221" s="3" t="n">
        <v>2419.65</v>
      </c>
      <c r="M221" s="4" t="n">
        <v>0.2577</v>
      </c>
    </row>
    <row r="222">
      <c r="A222" s="2" t="inlineStr">
        <is>
          <t>SKL-00221</t>
        </is>
      </c>
      <c r="B222" s="2" t="inlineStr">
        <is>
          <t>SIP-0064</t>
        </is>
      </c>
      <c r="C222" s="2" t="inlineStr">
        <is>
          <t>PROTAN-008</t>
        </is>
      </c>
      <c r="D222" s="5" t="n">
        <v>2</v>
      </c>
      <c r="E222" s="2" t="inlineStr">
        <is>
          <t>Adet</t>
        </is>
      </c>
      <c r="F222" s="3" t="n">
        <v>22288.6</v>
      </c>
      <c r="G222" s="4" t="n">
        <v>0.0503</v>
      </c>
      <c r="H222" s="3" t="n">
        <v>21167.48</v>
      </c>
      <c r="I222" s="3" t="n">
        <v>42334.96</v>
      </c>
      <c r="J222" s="3" t="n">
        <v>17073.45</v>
      </c>
      <c r="K222" s="3" t="n">
        <v>34146.9</v>
      </c>
      <c r="L222" s="3" t="n">
        <v>8188.06</v>
      </c>
      <c r="M222" s="4" t="n">
        <v>0.1934</v>
      </c>
    </row>
    <row r="223">
      <c r="A223" s="2" t="inlineStr">
        <is>
          <t>SKL-00222</t>
        </is>
      </c>
      <c r="B223" s="2" t="inlineStr">
        <is>
          <t>SIP-0064</t>
        </is>
      </c>
      <c r="C223" s="2" t="inlineStr">
        <is>
          <t>FLAIZO-012</t>
        </is>
      </c>
      <c r="D223" s="5" t="n">
        <v>79</v>
      </c>
      <c r="E223" s="2" t="inlineStr">
        <is>
          <t>Set</t>
        </is>
      </c>
      <c r="F223" s="3" t="n">
        <v>45.01</v>
      </c>
      <c r="G223" s="4" t="n">
        <v>0.0299</v>
      </c>
      <c r="H223" s="3" t="n">
        <v>43.66</v>
      </c>
      <c r="I223" s="3" t="n">
        <v>3449.14</v>
      </c>
      <c r="J223" s="3" t="n">
        <v>30.33</v>
      </c>
      <c r="K223" s="3" t="n">
        <v>2396.07</v>
      </c>
      <c r="L223" s="3" t="n">
        <v>1053.07</v>
      </c>
      <c r="M223" s="4" t="n">
        <v>0.3053</v>
      </c>
    </row>
    <row r="224">
      <c r="A224" s="2" t="inlineStr">
        <is>
          <t>SKL-00223</t>
        </is>
      </c>
      <c r="B224" s="2" t="inlineStr">
        <is>
          <t>SIP-0064</t>
        </is>
      </c>
      <c r="C224" s="2" t="inlineStr">
        <is>
          <t>YAREND-011</t>
        </is>
      </c>
      <c r="D224" s="5" t="n">
        <v>19</v>
      </c>
      <c r="E224" s="2" t="inlineStr">
        <is>
          <t>Adet</t>
        </is>
      </c>
      <c r="F224" s="3" t="n">
        <v>1076.01</v>
      </c>
      <c r="G224" s="4" t="n">
        <v>0.0901</v>
      </c>
      <c r="H224" s="3" t="n">
        <v>979.0599999999999</v>
      </c>
      <c r="I224" s="3" t="n">
        <v>18602.14</v>
      </c>
      <c r="J224" s="3" t="n">
        <v>777.02</v>
      </c>
      <c r="K224" s="3" t="n">
        <v>14763.38</v>
      </c>
      <c r="L224" s="3" t="n">
        <v>3838.76</v>
      </c>
      <c r="M224" s="4" t="n">
        <v>0.2064</v>
      </c>
    </row>
    <row r="225">
      <c r="A225" s="2" t="inlineStr">
        <is>
          <t>SKL-00224</t>
        </is>
      </c>
      <c r="B225" s="2" t="inlineStr">
        <is>
          <t>SIP-0064</t>
        </is>
      </c>
      <c r="C225" s="2" t="inlineStr">
        <is>
          <t>ENDVAN-019</t>
        </is>
      </c>
      <c r="D225" s="5" t="n">
        <v>22</v>
      </c>
      <c r="E225" s="2" t="inlineStr">
        <is>
          <t>Adet</t>
        </is>
      </c>
      <c r="F225" s="3" t="n">
        <v>771.72</v>
      </c>
      <c r="G225" s="4" t="n">
        <v>0.073</v>
      </c>
      <c r="H225" s="3" t="n">
        <v>715.38</v>
      </c>
      <c r="I225" s="3" t="n">
        <v>15738.36</v>
      </c>
      <c r="J225" s="3" t="n">
        <v>564.9400000000001</v>
      </c>
      <c r="K225" s="3" t="n">
        <v>12428.68</v>
      </c>
      <c r="L225" s="3" t="n">
        <v>3309.68</v>
      </c>
      <c r="M225" s="4" t="n">
        <v>0.2103</v>
      </c>
    </row>
    <row r="226">
      <c r="A226" s="2" t="inlineStr">
        <is>
          <t>SKL-00225</t>
        </is>
      </c>
      <c r="B226" s="2" t="inlineStr">
        <is>
          <t>SIP-0064</t>
        </is>
      </c>
      <c r="C226" s="2" t="inlineStr">
        <is>
          <t>FLAIZO-006</t>
        </is>
      </c>
      <c r="D226" s="5" t="n">
        <v>89</v>
      </c>
      <c r="E226" s="2" t="inlineStr">
        <is>
          <t>Set</t>
        </is>
      </c>
      <c r="F226" s="3" t="n">
        <v>60.39</v>
      </c>
      <c r="G226" s="4" t="n">
        <v>0.101</v>
      </c>
      <c r="H226" s="3" t="n">
        <v>54.29</v>
      </c>
      <c r="I226" s="3" t="n">
        <v>4831.81</v>
      </c>
      <c r="J226" s="3" t="n">
        <v>41.17</v>
      </c>
      <c r="K226" s="3" t="n">
        <v>3664.13</v>
      </c>
      <c r="L226" s="3" t="n">
        <v>1167.68</v>
      </c>
      <c r="M226" s="4" t="n">
        <v>0.2417</v>
      </c>
    </row>
    <row r="227">
      <c r="A227" s="2" t="inlineStr">
        <is>
          <t>SKL-00226</t>
        </is>
      </c>
      <c r="B227" s="2" t="inlineStr">
        <is>
          <t>SIP-0064</t>
        </is>
      </c>
      <c r="C227" s="2" t="inlineStr">
        <is>
          <t>ENDVAN-027</t>
        </is>
      </c>
      <c r="D227" s="5" t="n">
        <v>3</v>
      </c>
      <c r="E227" s="2" t="inlineStr">
        <is>
          <t>Adet</t>
        </is>
      </c>
      <c r="F227" s="3" t="n">
        <v>1677.04</v>
      </c>
      <c r="G227" s="4" t="n">
        <v>0.1098</v>
      </c>
      <c r="H227" s="3" t="n">
        <v>1492.9</v>
      </c>
      <c r="I227" s="3" t="n">
        <v>4478.7</v>
      </c>
      <c r="J227" s="3" t="n">
        <v>1041.65</v>
      </c>
      <c r="K227" s="3" t="n">
        <v>3124.95</v>
      </c>
      <c r="L227" s="3" t="n">
        <v>1353.75</v>
      </c>
      <c r="M227" s="4" t="n">
        <v>0.3023</v>
      </c>
    </row>
    <row r="228">
      <c r="A228" s="2" t="inlineStr">
        <is>
          <t>SKL-00227</t>
        </is>
      </c>
      <c r="B228" s="2" t="inlineStr">
        <is>
          <t>SIP-0065</t>
        </is>
      </c>
      <c r="C228" s="2" t="inlineStr">
        <is>
          <t>PROTAN-010</t>
        </is>
      </c>
      <c r="D228" s="5" t="n">
        <v>2</v>
      </c>
      <c r="E228" s="2" t="inlineStr">
        <is>
          <t>Adet</t>
        </is>
      </c>
      <c r="F228" s="3" t="n">
        <v>9790.780000000001</v>
      </c>
      <c r="G228" s="4" t="n">
        <v>0.08699999999999999</v>
      </c>
      <c r="H228" s="3" t="n">
        <v>8938.98</v>
      </c>
      <c r="I228" s="3" t="n">
        <v>17877.96</v>
      </c>
      <c r="J228" s="3" t="n">
        <v>8539.790000000001</v>
      </c>
      <c r="K228" s="3" t="n">
        <v>17079.58</v>
      </c>
      <c r="L228" s="3" t="n">
        <v>798.38</v>
      </c>
      <c r="M228" s="4" t="n">
        <v>0.0447</v>
      </c>
    </row>
    <row r="229">
      <c r="A229" s="2" t="inlineStr">
        <is>
          <t>SKL-00228</t>
        </is>
      </c>
      <c r="B229" s="2" t="inlineStr">
        <is>
          <t>SIP-0065</t>
        </is>
      </c>
      <c r="C229" s="2" t="inlineStr">
        <is>
          <t>ENDVAN-028</t>
        </is>
      </c>
      <c r="D229" s="5" t="n">
        <v>3</v>
      </c>
      <c r="E229" s="2" t="inlineStr">
        <is>
          <t>Adet</t>
        </is>
      </c>
      <c r="F229" s="3" t="n">
        <v>1152.32</v>
      </c>
      <c r="G229" s="4" t="n">
        <v>0.065</v>
      </c>
      <c r="H229" s="3" t="n">
        <v>1077.42</v>
      </c>
      <c r="I229" s="3" t="n">
        <v>3232.26</v>
      </c>
      <c r="J229" s="3" t="n">
        <v>812.05</v>
      </c>
      <c r="K229" s="3" t="n">
        <v>2436.15</v>
      </c>
      <c r="L229" s="3" t="n">
        <v>796.11</v>
      </c>
      <c r="M229" s="4" t="n">
        <v>0.2463</v>
      </c>
    </row>
    <row r="230">
      <c r="A230" s="2" t="inlineStr">
        <is>
          <t>SKL-00229</t>
        </is>
      </c>
      <c r="B230" s="2" t="inlineStr">
        <is>
          <t>SIP-0065</t>
        </is>
      </c>
      <c r="C230" s="2" t="inlineStr">
        <is>
          <t>ENDVAN-031</t>
        </is>
      </c>
      <c r="D230" s="5" t="n">
        <v>8</v>
      </c>
      <c r="E230" s="2" t="inlineStr">
        <is>
          <t>Adet</t>
        </is>
      </c>
      <c r="F230" s="3" t="n">
        <v>309.41</v>
      </c>
      <c r="G230" s="4" t="n">
        <v>0.0484</v>
      </c>
      <c r="H230" s="3" t="n">
        <v>294.43</v>
      </c>
      <c r="I230" s="3" t="n">
        <v>2355.44</v>
      </c>
      <c r="J230" s="3" t="n">
        <v>247.14</v>
      </c>
      <c r="K230" s="3" t="n">
        <v>1977.12</v>
      </c>
      <c r="L230" s="3" t="n">
        <v>378.32</v>
      </c>
      <c r="M230" s="4" t="n">
        <v>0.1606</v>
      </c>
    </row>
    <row r="231">
      <c r="A231" s="2" t="inlineStr">
        <is>
          <t>SKL-00230</t>
        </is>
      </c>
      <c r="B231" s="2" t="inlineStr">
        <is>
          <t>SIP-0066</t>
        </is>
      </c>
      <c r="C231" s="2" t="inlineStr">
        <is>
          <t>FLAIZO-007</t>
        </is>
      </c>
      <c r="D231" s="5" t="n">
        <v>87</v>
      </c>
      <c r="E231" s="2" t="inlineStr">
        <is>
          <t>Set</t>
        </is>
      </c>
      <c r="F231" s="3" t="n">
        <v>121.26</v>
      </c>
      <c r="G231" s="4" t="n">
        <v>0.0008</v>
      </c>
      <c r="H231" s="3" t="n">
        <v>121.16</v>
      </c>
      <c r="I231" s="3" t="n">
        <v>10540.92</v>
      </c>
      <c r="J231" s="3" t="n">
        <v>70.09</v>
      </c>
      <c r="K231" s="3" t="n">
        <v>6097.83</v>
      </c>
      <c r="L231" s="3" t="n">
        <v>4443.09</v>
      </c>
      <c r="M231" s="4" t="n">
        <v>0.4215</v>
      </c>
    </row>
    <row r="232">
      <c r="A232" s="2" t="inlineStr">
        <is>
          <t>SKL-00231</t>
        </is>
      </c>
      <c r="B232" s="2" t="inlineStr">
        <is>
          <t>SIP-0067</t>
        </is>
      </c>
      <c r="C232" s="2" t="inlineStr">
        <is>
          <t>ENDVAN-027</t>
        </is>
      </c>
      <c r="D232" s="5" t="n">
        <v>16</v>
      </c>
      <c r="E232" s="2" t="inlineStr">
        <is>
          <t>Adet</t>
        </is>
      </c>
      <c r="F232" s="3" t="n">
        <v>1608.53</v>
      </c>
      <c r="G232" s="4" t="n">
        <v>0.1091</v>
      </c>
      <c r="H232" s="3" t="n">
        <v>1433.04</v>
      </c>
      <c r="I232" s="3" t="n">
        <v>22928.64</v>
      </c>
      <c r="J232" s="3" t="n">
        <v>1041.65</v>
      </c>
      <c r="K232" s="3" t="n">
        <v>16666.4</v>
      </c>
      <c r="L232" s="3" t="n">
        <v>6262.24</v>
      </c>
      <c r="M232" s="4" t="n">
        <v>0.2731</v>
      </c>
    </row>
    <row r="233">
      <c r="A233" s="2" t="inlineStr">
        <is>
          <t>SKL-00232</t>
        </is>
      </c>
      <c r="B233" s="2" t="inlineStr">
        <is>
          <t>SIP-0067</t>
        </is>
      </c>
      <c r="C233" s="2" t="inlineStr">
        <is>
          <t>FLAIZO-007</t>
        </is>
      </c>
      <c r="D233" s="5" t="n">
        <v>37</v>
      </c>
      <c r="E233" s="2" t="inlineStr">
        <is>
          <t>Set</t>
        </is>
      </c>
      <c r="F233" s="3" t="n">
        <v>127.17</v>
      </c>
      <c r="G233" s="4" t="n">
        <v>0.0211</v>
      </c>
      <c r="H233" s="3" t="n">
        <v>124.49</v>
      </c>
      <c r="I233" s="3" t="n">
        <v>4606.13</v>
      </c>
      <c r="J233" s="3" t="n">
        <v>70.09</v>
      </c>
      <c r="K233" s="3" t="n">
        <v>2593.33</v>
      </c>
      <c r="L233" s="3" t="n">
        <v>2012.8</v>
      </c>
      <c r="M233" s="4" t="n">
        <v>0.437</v>
      </c>
    </row>
    <row r="234">
      <c r="A234" s="2" t="inlineStr">
        <is>
          <t>SKL-00233</t>
        </is>
      </c>
      <c r="B234" s="2" t="inlineStr">
        <is>
          <t>SIP-0067</t>
        </is>
      </c>
      <c r="C234" s="2" t="inlineStr">
        <is>
          <t>ENDVAN-010</t>
        </is>
      </c>
      <c r="D234" s="5" t="n">
        <v>10</v>
      </c>
      <c r="E234" s="2" t="inlineStr">
        <is>
          <t>Adet</t>
        </is>
      </c>
      <c r="F234" s="3" t="n">
        <v>1219.89</v>
      </c>
      <c r="G234" s="4" t="n">
        <v>0.0808</v>
      </c>
      <c r="H234" s="3" t="n">
        <v>1121.32</v>
      </c>
      <c r="I234" s="3" t="n">
        <v>11213.2</v>
      </c>
      <c r="J234" s="3" t="n">
        <v>891.17</v>
      </c>
      <c r="K234" s="3" t="n">
        <v>8911.700000000001</v>
      </c>
      <c r="L234" s="3" t="n">
        <v>2301.5</v>
      </c>
      <c r="M234" s="4" t="n">
        <v>0.2052</v>
      </c>
    </row>
    <row r="235">
      <c r="A235" s="2" t="inlineStr">
        <is>
          <t>SKL-00234</t>
        </is>
      </c>
      <c r="B235" s="2" t="inlineStr">
        <is>
          <t>SIP-0067</t>
        </is>
      </c>
      <c r="C235" s="2" t="inlineStr">
        <is>
          <t>YAREND-014</t>
        </is>
      </c>
      <c r="D235" s="5" t="n">
        <v>4</v>
      </c>
      <c r="E235" s="2" t="inlineStr">
        <is>
          <t>Adet</t>
        </is>
      </c>
      <c r="F235" s="3" t="n">
        <v>1289.2</v>
      </c>
      <c r="G235" s="4" t="n">
        <v>0.0332</v>
      </c>
      <c r="H235" s="3" t="n">
        <v>1246.4</v>
      </c>
      <c r="I235" s="3" t="n">
        <v>4985.6</v>
      </c>
      <c r="J235" s="3" t="n">
        <v>823.65</v>
      </c>
      <c r="K235" s="3" t="n">
        <v>3294.6</v>
      </c>
      <c r="L235" s="3" t="n">
        <v>1691</v>
      </c>
      <c r="M235" s="4" t="n">
        <v>0.3392</v>
      </c>
    </row>
    <row r="236">
      <c r="A236" s="2" t="inlineStr">
        <is>
          <t>SKL-00235</t>
        </is>
      </c>
      <c r="B236" s="2" t="inlineStr">
        <is>
          <t>SIP-0068</t>
        </is>
      </c>
      <c r="C236" s="2" t="inlineStr">
        <is>
          <t>PROTAN-004</t>
        </is>
      </c>
      <c r="D236" s="5" t="n">
        <v>1</v>
      </c>
      <c r="E236" s="2" t="inlineStr">
        <is>
          <t>Adet</t>
        </is>
      </c>
      <c r="F236" s="3" t="n">
        <v>16957.53</v>
      </c>
      <c r="G236" s="4" t="n">
        <v>0.0033</v>
      </c>
      <c r="H236" s="3" t="n">
        <v>16901.57</v>
      </c>
      <c r="I236" s="3" t="n">
        <v>16901.57</v>
      </c>
      <c r="J236" s="3" t="n">
        <v>12847.72</v>
      </c>
      <c r="K236" s="3" t="n">
        <v>12847.72</v>
      </c>
      <c r="L236" s="3" t="n">
        <v>4053.85</v>
      </c>
      <c r="M236" s="4" t="n">
        <v>0.2399</v>
      </c>
    </row>
    <row r="237">
      <c r="A237" s="2" t="inlineStr">
        <is>
          <t>SKL-00236</t>
        </is>
      </c>
      <c r="B237" s="2" t="inlineStr">
        <is>
          <t>SIP-0068</t>
        </is>
      </c>
      <c r="C237" s="2" t="inlineStr">
        <is>
          <t>ENDVAN-030</t>
        </is>
      </c>
      <c r="D237" s="5" t="n">
        <v>8</v>
      </c>
      <c r="E237" s="2" t="inlineStr">
        <is>
          <t>Adet</t>
        </is>
      </c>
      <c r="F237" s="3" t="n">
        <v>483.22</v>
      </c>
      <c r="G237" s="4" t="n">
        <v>0.0502</v>
      </c>
      <c r="H237" s="3" t="n">
        <v>458.96</v>
      </c>
      <c r="I237" s="3" t="n">
        <v>3671.68</v>
      </c>
      <c r="J237" s="3" t="n">
        <v>303.77</v>
      </c>
      <c r="K237" s="3" t="n">
        <v>2430.16</v>
      </c>
      <c r="L237" s="3" t="n">
        <v>1241.52</v>
      </c>
      <c r="M237" s="4" t="n">
        <v>0.3381</v>
      </c>
    </row>
    <row r="238">
      <c r="A238" s="2" t="inlineStr">
        <is>
          <t>SKL-00237</t>
        </is>
      </c>
      <c r="B238" s="2" t="inlineStr">
        <is>
          <t>SIP-0068</t>
        </is>
      </c>
      <c r="C238" s="2" t="inlineStr">
        <is>
          <t>ENDVAN-002</t>
        </is>
      </c>
      <c r="D238" s="5" t="n">
        <v>19</v>
      </c>
      <c r="E238" s="2" t="inlineStr">
        <is>
          <t>Adet</t>
        </is>
      </c>
      <c r="F238" s="3" t="n">
        <v>240.49</v>
      </c>
      <c r="G238" s="4" t="n">
        <v>0.0298</v>
      </c>
      <c r="H238" s="3" t="n">
        <v>233.32</v>
      </c>
      <c r="I238" s="3" t="n">
        <v>4433.08</v>
      </c>
      <c r="J238" s="3" t="n">
        <v>186.74</v>
      </c>
      <c r="K238" s="3" t="n">
        <v>3548.06</v>
      </c>
      <c r="L238" s="3" t="n">
        <v>885.02</v>
      </c>
      <c r="M238" s="4" t="n">
        <v>0.1996</v>
      </c>
    </row>
    <row r="239">
      <c r="A239" s="2" t="inlineStr">
        <is>
          <t>SKL-00238</t>
        </is>
      </c>
      <c r="B239" s="2" t="inlineStr">
        <is>
          <t>SIP-0068</t>
        </is>
      </c>
      <c r="C239" s="2" t="inlineStr">
        <is>
          <t>FLAIZO-014</t>
        </is>
      </c>
      <c r="D239" s="5" t="n">
        <v>37</v>
      </c>
      <c r="E239" s="2" t="inlineStr">
        <is>
          <t>Set</t>
        </is>
      </c>
      <c r="F239" s="3" t="n">
        <v>58.81</v>
      </c>
      <c r="G239" s="4" t="n">
        <v>0.0492</v>
      </c>
      <c r="H239" s="3" t="n">
        <v>55.92</v>
      </c>
      <c r="I239" s="3" t="n">
        <v>2069.04</v>
      </c>
      <c r="J239" s="3" t="n">
        <v>32.61</v>
      </c>
      <c r="K239" s="3" t="n">
        <v>1206.57</v>
      </c>
      <c r="L239" s="3" t="n">
        <v>862.47</v>
      </c>
      <c r="M239" s="4" t="n">
        <v>0.4168</v>
      </c>
    </row>
    <row r="240">
      <c r="A240" s="2" t="inlineStr">
        <is>
          <t>SKL-00239</t>
        </is>
      </c>
      <c r="B240" s="2" t="inlineStr">
        <is>
          <t>SIP-0068</t>
        </is>
      </c>
      <c r="C240" s="2" t="inlineStr">
        <is>
          <t>YAREND-007</t>
        </is>
      </c>
      <c r="D240" s="5" t="n">
        <v>10</v>
      </c>
      <c r="E240" s="2" t="inlineStr">
        <is>
          <t>Adet</t>
        </is>
      </c>
      <c r="F240" s="3" t="n">
        <v>659.08</v>
      </c>
      <c r="G240" s="4" t="n">
        <v>0.0371</v>
      </c>
      <c r="H240" s="3" t="n">
        <v>634.63</v>
      </c>
      <c r="I240" s="3" t="n">
        <v>6346.3</v>
      </c>
      <c r="J240" s="3" t="n">
        <v>459.17</v>
      </c>
      <c r="K240" s="3" t="n">
        <v>4591.7</v>
      </c>
      <c r="L240" s="3" t="n">
        <v>1754.6</v>
      </c>
      <c r="M240" s="4" t="n">
        <v>0.2765</v>
      </c>
    </row>
    <row r="241">
      <c r="A241" s="2" t="inlineStr">
        <is>
          <t>SKL-00240</t>
        </is>
      </c>
      <c r="B241" s="2" t="inlineStr">
        <is>
          <t>SIP-0068</t>
        </is>
      </c>
      <c r="C241" s="2" t="inlineStr">
        <is>
          <t>ENDVAN-004</t>
        </is>
      </c>
      <c r="D241" s="5" t="n">
        <v>12</v>
      </c>
      <c r="E241" s="2" t="inlineStr">
        <is>
          <t>Adet</t>
        </is>
      </c>
      <c r="F241" s="3" t="n">
        <v>276.26</v>
      </c>
      <c r="G241" s="4" t="n">
        <v>0.0551</v>
      </c>
      <c r="H241" s="3" t="n">
        <v>261.04</v>
      </c>
      <c r="I241" s="3" t="n">
        <v>3132.48</v>
      </c>
      <c r="J241" s="3" t="n">
        <v>212.53</v>
      </c>
      <c r="K241" s="3" t="n">
        <v>2550.36</v>
      </c>
      <c r="L241" s="3" t="n">
        <v>582.12</v>
      </c>
      <c r="M241" s="4" t="n">
        <v>0.1858</v>
      </c>
    </row>
    <row r="242">
      <c r="A242" s="2" t="inlineStr">
        <is>
          <t>SKL-00241</t>
        </is>
      </c>
      <c r="B242" s="2" t="inlineStr">
        <is>
          <t>SIP-0068</t>
        </is>
      </c>
      <c r="C242" s="2" t="inlineStr">
        <is>
          <t>MEKSIZ-011</t>
        </is>
      </c>
      <c r="D242" s="5" t="n">
        <v>5</v>
      </c>
      <c r="E242" s="2" t="inlineStr">
        <is>
          <t>Adet</t>
        </is>
      </c>
      <c r="F242" s="3" t="n">
        <v>452.2</v>
      </c>
      <c r="G242" s="4" t="n">
        <v>0.0353</v>
      </c>
      <c r="H242" s="3" t="n">
        <v>436.24</v>
      </c>
      <c r="I242" s="3" t="n">
        <v>2181.2</v>
      </c>
      <c r="J242" s="3" t="n">
        <v>258.54</v>
      </c>
      <c r="K242" s="3" t="n">
        <v>1292.7</v>
      </c>
      <c r="L242" s="3" t="n">
        <v>888.5</v>
      </c>
      <c r="M242" s="4" t="n">
        <v>0.4073</v>
      </c>
    </row>
    <row r="243">
      <c r="A243" s="2" t="inlineStr">
        <is>
          <t>SKL-00242</t>
        </is>
      </c>
      <c r="B243" s="2" t="inlineStr">
        <is>
          <t>SIP-0069</t>
        </is>
      </c>
      <c r="C243" s="2" t="inlineStr">
        <is>
          <t>FLAIZO-008</t>
        </is>
      </c>
      <c r="D243" s="5" t="n">
        <v>79</v>
      </c>
      <c r="E243" s="2" t="inlineStr">
        <is>
          <t>Set</t>
        </is>
      </c>
      <c r="F243" s="3" t="n">
        <v>137.29</v>
      </c>
      <c r="G243" s="4" t="n">
        <v>0.05</v>
      </c>
      <c r="H243" s="3" t="n">
        <v>130.43</v>
      </c>
      <c r="I243" s="3" t="n">
        <v>10303.97</v>
      </c>
      <c r="J243" s="3" t="n">
        <v>78.08</v>
      </c>
      <c r="K243" s="3" t="n">
        <v>6168.32</v>
      </c>
      <c r="L243" s="3" t="n">
        <v>4135.65</v>
      </c>
      <c r="M243" s="4" t="n">
        <v>0.4014</v>
      </c>
    </row>
    <row r="244">
      <c r="A244" s="2" t="inlineStr">
        <is>
          <t>SKL-00243</t>
        </is>
      </c>
      <c r="B244" s="2" t="inlineStr">
        <is>
          <t>SIP-0069</t>
        </is>
      </c>
      <c r="C244" s="2" t="inlineStr">
        <is>
          <t>ENDVAN-002</t>
        </is>
      </c>
      <c r="D244" s="5" t="n">
        <v>16</v>
      </c>
      <c r="E244" s="2" t="inlineStr">
        <is>
          <t>Adet</t>
        </is>
      </c>
      <c r="F244" s="3" t="n">
        <v>262.84</v>
      </c>
      <c r="G244" s="4" t="n">
        <v>0.08550000000000001</v>
      </c>
      <c r="H244" s="3" t="n">
        <v>240.37</v>
      </c>
      <c r="I244" s="3" t="n">
        <v>3845.92</v>
      </c>
      <c r="J244" s="3" t="n">
        <v>186.74</v>
      </c>
      <c r="K244" s="3" t="n">
        <v>2987.84</v>
      </c>
      <c r="L244" s="3" t="n">
        <v>858.08</v>
      </c>
      <c r="M244" s="4" t="n">
        <v>0.2231</v>
      </c>
    </row>
    <row r="245">
      <c r="A245" s="2" t="inlineStr">
        <is>
          <t>SKL-00244</t>
        </is>
      </c>
      <c r="B245" s="2" t="inlineStr">
        <is>
          <t>SIP-0069</t>
        </is>
      </c>
      <c r="C245" s="2" t="inlineStr">
        <is>
          <t>ENDVAN-025</t>
        </is>
      </c>
      <c r="D245" s="5" t="n">
        <v>3</v>
      </c>
      <c r="E245" s="2" t="inlineStr">
        <is>
          <t>Adet</t>
        </is>
      </c>
      <c r="F245" s="3" t="n">
        <v>282.72</v>
      </c>
      <c r="G245" s="4" t="n">
        <v>0.0195</v>
      </c>
      <c r="H245" s="3" t="n">
        <v>277.21</v>
      </c>
      <c r="I245" s="3" t="n">
        <v>831.63</v>
      </c>
      <c r="J245" s="3" t="n">
        <v>205.87</v>
      </c>
      <c r="K245" s="3" t="n">
        <v>617.61</v>
      </c>
      <c r="L245" s="3" t="n">
        <v>214.02</v>
      </c>
      <c r="M245" s="4" t="n">
        <v>0.2574</v>
      </c>
    </row>
    <row r="246">
      <c r="A246" s="2" t="inlineStr">
        <is>
          <t>SKL-00245</t>
        </is>
      </c>
      <c r="B246" s="2" t="inlineStr">
        <is>
          <t>SIP-0069</t>
        </is>
      </c>
      <c r="C246" s="2" t="inlineStr">
        <is>
          <t>ENDVAN-033</t>
        </is>
      </c>
      <c r="D246" s="5" t="n">
        <v>12</v>
      </c>
      <c r="E246" s="2" t="inlineStr">
        <is>
          <t>Adet</t>
        </is>
      </c>
      <c r="F246" s="3" t="n">
        <v>1783.55</v>
      </c>
      <c r="G246" s="4" t="n">
        <v>0.0795</v>
      </c>
      <c r="H246" s="3" t="n">
        <v>1641.76</v>
      </c>
      <c r="I246" s="3" t="n">
        <v>19701.12</v>
      </c>
      <c r="J246" s="3" t="n">
        <v>1125.6</v>
      </c>
      <c r="K246" s="3" t="n">
        <v>13507.2</v>
      </c>
      <c r="L246" s="3" t="n">
        <v>6193.92</v>
      </c>
      <c r="M246" s="4" t="n">
        <v>0.3144</v>
      </c>
    </row>
    <row r="247">
      <c r="A247" s="2" t="inlineStr">
        <is>
          <t>SKL-00246</t>
        </is>
      </c>
      <c r="B247" s="2" t="inlineStr">
        <is>
          <t>SIP-0069</t>
        </is>
      </c>
      <c r="C247" s="2" t="inlineStr">
        <is>
          <t>ENDVAN-020</t>
        </is>
      </c>
      <c r="D247" s="5" t="n">
        <v>6</v>
      </c>
      <c r="E247" s="2" t="inlineStr">
        <is>
          <t>Adet</t>
        </is>
      </c>
      <c r="F247" s="3" t="n">
        <v>606.58</v>
      </c>
      <c r="G247" s="4" t="n">
        <v>0.0708</v>
      </c>
      <c r="H247" s="3" t="n">
        <v>563.63</v>
      </c>
      <c r="I247" s="3" t="n">
        <v>3381.78</v>
      </c>
      <c r="J247" s="3" t="n">
        <v>433.62</v>
      </c>
      <c r="K247" s="3" t="n">
        <v>2601.72</v>
      </c>
      <c r="L247" s="3" t="n">
        <v>780.0599999999999</v>
      </c>
      <c r="M247" s="4" t="n">
        <v>0.2307</v>
      </c>
    </row>
    <row r="248">
      <c r="A248" s="2" t="inlineStr">
        <is>
          <t>SKL-00247</t>
        </is>
      </c>
      <c r="B248" s="2" t="inlineStr">
        <is>
          <t>SIP-0070</t>
        </is>
      </c>
      <c r="C248" s="2" t="inlineStr">
        <is>
          <t>YAREND-007</t>
        </is>
      </c>
      <c r="D248" s="5" t="n">
        <v>8</v>
      </c>
      <c r="E248" s="2" t="inlineStr">
        <is>
          <t>Adet</t>
        </is>
      </c>
      <c r="F248" s="3" t="n">
        <v>615.76</v>
      </c>
      <c r="G248" s="4" t="n">
        <v>0.0658</v>
      </c>
      <c r="H248" s="3" t="n">
        <v>575.24</v>
      </c>
      <c r="I248" s="3" t="n">
        <v>4601.92</v>
      </c>
      <c r="J248" s="3" t="n">
        <v>459.17</v>
      </c>
      <c r="K248" s="3" t="n">
        <v>3673.36</v>
      </c>
      <c r="L248" s="3" t="n">
        <v>928.5599999999999</v>
      </c>
      <c r="M248" s="4" t="n">
        <v>0.2018</v>
      </c>
    </row>
    <row r="249">
      <c r="A249" s="2" t="inlineStr">
        <is>
          <t>SKL-00248</t>
        </is>
      </c>
      <c r="B249" s="2" t="inlineStr">
        <is>
          <t>SIP-0070</t>
        </is>
      </c>
      <c r="C249" s="2" t="inlineStr">
        <is>
          <t>ENDVAN-029</t>
        </is>
      </c>
      <c r="D249" s="5" t="n">
        <v>8</v>
      </c>
      <c r="E249" s="2" t="inlineStr">
        <is>
          <t>Adet</t>
        </is>
      </c>
      <c r="F249" s="3" t="n">
        <v>464.63</v>
      </c>
      <c r="G249" s="4" t="n">
        <v>0.054</v>
      </c>
      <c r="H249" s="3" t="n">
        <v>439.54</v>
      </c>
      <c r="I249" s="3" t="n">
        <v>3516.32</v>
      </c>
      <c r="J249" s="3" t="n">
        <v>318.96</v>
      </c>
      <c r="K249" s="3" t="n">
        <v>2551.68</v>
      </c>
      <c r="L249" s="3" t="n">
        <v>964.64</v>
      </c>
      <c r="M249" s="4" t="n">
        <v>0.2743</v>
      </c>
    </row>
    <row r="250">
      <c r="A250" s="2" t="inlineStr">
        <is>
          <t>SKL-00249</t>
        </is>
      </c>
      <c r="B250" s="2" t="inlineStr">
        <is>
          <t>SIP-0070</t>
        </is>
      </c>
      <c r="C250" s="2" t="inlineStr">
        <is>
          <t>MEKSIZ-002</t>
        </is>
      </c>
      <c r="D250" s="5" t="n">
        <v>24</v>
      </c>
      <c r="E250" s="2" t="inlineStr">
        <is>
          <t>Adet</t>
        </is>
      </c>
      <c r="F250" s="3" t="n">
        <v>490.98</v>
      </c>
      <c r="G250" s="4" t="n">
        <v>0.0089</v>
      </c>
      <c r="H250" s="3" t="n">
        <v>486.61</v>
      </c>
      <c r="I250" s="3" t="n">
        <v>11678.64</v>
      </c>
      <c r="J250" s="3" t="n">
        <v>343.25</v>
      </c>
      <c r="K250" s="3" t="n">
        <v>8238</v>
      </c>
      <c r="L250" s="3" t="n">
        <v>3440.64</v>
      </c>
      <c r="M250" s="4" t="n">
        <v>0.2946</v>
      </c>
    </row>
    <row r="251">
      <c r="A251" s="2" t="inlineStr">
        <is>
          <t>SKL-00250</t>
        </is>
      </c>
      <c r="B251" s="2" t="inlineStr">
        <is>
          <t>SIP-0071</t>
        </is>
      </c>
      <c r="C251" s="2" t="inlineStr">
        <is>
          <t>ENDVAN-032</t>
        </is>
      </c>
      <c r="D251" s="5" t="n">
        <v>7</v>
      </c>
      <c r="E251" s="2" t="inlineStr">
        <is>
          <t>Adet</t>
        </is>
      </c>
      <c r="F251" s="3" t="n">
        <v>969.8</v>
      </c>
      <c r="G251" s="4" t="n">
        <v>0.0162</v>
      </c>
      <c r="H251" s="3" t="n">
        <v>954.09</v>
      </c>
      <c r="I251" s="3" t="n">
        <v>6678.63</v>
      </c>
      <c r="J251" s="3" t="n">
        <v>641.8099999999999</v>
      </c>
      <c r="K251" s="3" t="n">
        <v>4492.67</v>
      </c>
      <c r="L251" s="3" t="n">
        <v>2185.96</v>
      </c>
      <c r="M251" s="4" t="n">
        <v>0.3273</v>
      </c>
    </row>
    <row r="252">
      <c r="A252" s="2" t="inlineStr">
        <is>
          <t>SKL-00251</t>
        </is>
      </c>
      <c r="B252" s="2" t="inlineStr">
        <is>
          <t>SIP-0071</t>
        </is>
      </c>
      <c r="C252" s="2" t="inlineStr">
        <is>
          <t>FLAIZO-012</t>
        </is>
      </c>
      <c r="D252" s="5" t="n">
        <v>20</v>
      </c>
      <c r="E252" s="2" t="inlineStr">
        <is>
          <t>Set</t>
        </is>
      </c>
      <c r="F252" s="3" t="n">
        <v>48.23</v>
      </c>
      <c r="G252" s="4" t="n">
        <v>0.1054</v>
      </c>
      <c r="H252" s="3" t="n">
        <v>43.15</v>
      </c>
      <c r="I252" s="3" t="n">
        <v>863</v>
      </c>
      <c r="J252" s="3" t="n">
        <v>30.33</v>
      </c>
      <c r="K252" s="3" t="n">
        <v>606.6</v>
      </c>
      <c r="L252" s="3" t="n">
        <v>256.4</v>
      </c>
      <c r="M252" s="4" t="n">
        <v>0.2971</v>
      </c>
    </row>
    <row r="253">
      <c r="A253" s="2" t="inlineStr">
        <is>
          <t>SKL-00252</t>
        </is>
      </c>
      <c r="B253" s="2" t="inlineStr">
        <is>
          <t>SIP-0071</t>
        </is>
      </c>
      <c r="C253" s="2" t="inlineStr">
        <is>
          <t>ENDVAN-021</t>
        </is>
      </c>
      <c r="D253" s="5" t="n">
        <v>14</v>
      </c>
      <c r="E253" s="2" t="inlineStr">
        <is>
          <t>Adet</t>
        </is>
      </c>
      <c r="F253" s="3" t="n">
        <v>1005.42</v>
      </c>
      <c r="G253" s="4" t="n">
        <v>0.0621</v>
      </c>
      <c r="H253" s="3" t="n">
        <v>942.98</v>
      </c>
      <c r="I253" s="3" t="n">
        <v>13201.72</v>
      </c>
      <c r="J253" s="3" t="n">
        <v>736.7</v>
      </c>
      <c r="K253" s="3" t="n">
        <v>10313.8</v>
      </c>
      <c r="L253" s="3" t="n">
        <v>2887.92</v>
      </c>
      <c r="M253" s="4" t="n">
        <v>0.2188</v>
      </c>
    </row>
    <row r="254">
      <c r="A254" s="2" t="inlineStr">
        <is>
          <t>SKL-00253</t>
        </is>
      </c>
      <c r="B254" s="2" t="inlineStr">
        <is>
          <t>SIP-0072</t>
        </is>
      </c>
      <c r="C254" s="2" t="inlineStr">
        <is>
          <t>ENDVAN-007</t>
        </is>
      </c>
      <c r="D254" s="5" t="n">
        <v>2</v>
      </c>
      <c r="E254" s="2" t="inlineStr">
        <is>
          <t>Adet</t>
        </is>
      </c>
      <c r="F254" s="3" t="n">
        <v>201.84</v>
      </c>
      <c r="G254" s="4" t="n">
        <v>0.0814</v>
      </c>
      <c r="H254" s="3" t="n">
        <v>185.41</v>
      </c>
      <c r="I254" s="3" t="n">
        <v>370.82</v>
      </c>
      <c r="J254" s="3" t="n">
        <v>126.94</v>
      </c>
      <c r="K254" s="3" t="n">
        <v>253.88</v>
      </c>
      <c r="L254" s="3" t="n">
        <v>116.94</v>
      </c>
      <c r="M254" s="4" t="n">
        <v>0.3154</v>
      </c>
    </row>
    <row r="255">
      <c r="A255" s="2" t="inlineStr">
        <is>
          <t>SKL-00254</t>
        </is>
      </c>
      <c r="B255" s="2" t="inlineStr">
        <is>
          <t>SIP-0072</t>
        </is>
      </c>
      <c r="C255" s="2" t="inlineStr">
        <is>
          <t>ENDVAN-008</t>
        </is>
      </c>
      <c r="D255" s="5" t="n">
        <v>13</v>
      </c>
      <c r="E255" s="2" t="inlineStr">
        <is>
          <t>Adet</t>
        </is>
      </c>
      <c r="F255" s="3" t="n">
        <v>567.28</v>
      </c>
      <c r="G255" s="4" t="n">
        <v>0.058</v>
      </c>
      <c r="H255" s="3" t="n">
        <v>534.38</v>
      </c>
      <c r="I255" s="3" t="n">
        <v>6946.94</v>
      </c>
      <c r="J255" s="3" t="n">
        <v>429.42</v>
      </c>
      <c r="K255" s="3" t="n">
        <v>5582.46</v>
      </c>
      <c r="L255" s="3" t="n">
        <v>1364.48</v>
      </c>
      <c r="M255" s="4" t="n">
        <v>0.1964</v>
      </c>
    </row>
    <row r="256">
      <c r="A256" s="2" t="inlineStr">
        <is>
          <t>SKL-00255</t>
        </is>
      </c>
      <c r="B256" s="2" t="inlineStr">
        <is>
          <t>SIP-0072</t>
        </is>
      </c>
      <c r="C256" s="2" t="inlineStr">
        <is>
          <t>YAREND-001</t>
        </is>
      </c>
      <c r="D256" s="5" t="n">
        <v>5</v>
      </c>
      <c r="E256" s="2" t="inlineStr">
        <is>
          <t>Adet</t>
        </is>
      </c>
      <c r="F256" s="3" t="n">
        <v>1445.85</v>
      </c>
      <c r="G256" s="4" t="n">
        <v>0.0128</v>
      </c>
      <c r="H256" s="3" t="n">
        <v>1427.34</v>
      </c>
      <c r="I256" s="3" t="n">
        <v>7136.7</v>
      </c>
      <c r="J256" s="3" t="n">
        <v>945.3099999999999</v>
      </c>
      <c r="K256" s="3" t="n">
        <v>4726.55</v>
      </c>
      <c r="L256" s="3" t="n">
        <v>2410.15</v>
      </c>
      <c r="M256" s="4" t="n">
        <v>0.3377</v>
      </c>
    </row>
    <row r="257">
      <c r="A257" s="2" t="inlineStr">
        <is>
          <t>SKL-00256</t>
        </is>
      </c>
      <c r="B257" s="2" t="inlineStr">
        <is>
          <t>SIP-0072</t>
        </is>
      </c>
      <c r="C257" s="2" t="inlineStr">
        <is>
          <t>ENDVAN-014</t>
        </is>
      </c>
      <c r="D257" s="5" t="n">
        <v>20</v>
      </c>
      <c r="E257" s="2" t="inlineStr">
        <is>
          <t>Adet</t>
        </is>
      </c>
      <c r="F257" s="3" t="n">
        <v>1621.86</v>
      </c>
      <c r="G257" s="4" t="n">
        <v>0.0402</v>
      </c>
      <c r="H257" s="3" t="n">
        <v>1556.66</v>
      </c>
      <c r="I257" s="3" t="n">
        <v>31133.2</v>
      </c>
      <c r="J257" s="3" t="n">
        <v>1025.06</v>
      </c>
      <c r="K257" s="3" t="n">
        <v>20501.2</v>
      </c>
      <c r="L257" s="3" t="n">
        <v>10632</v>
      </c>
      <c r="M257" s="4" t="n">
        <v>0.3415</v>
      </c>
    </row>
    <row r="258">
      <c r="A258" s="2" t="inlineStr">
        <is>
          <t>SKL-00257</t>
        </is>
      </c>
      <c r="B258" s="2" t="inlineStr">
        <is>
          <t>SIP-0073</t>
        </is>
      </c>
      <c r="C258" s="2" t="inlineStr">
        <is>
          <t>ENDVAN-022</t>
        </is>
      </c>
      <c r="D258" s="5" t="n">
        <v>13</v>
      </c>
      <c r="E258" s="2" t="inlineStr">
        <is>
          <t>Adet</t>
        </is>
      </c>
      <c r="F258" s="3" t="n">
        <v>209.44</v>
      </c>
      <c r="G258" s="4" t="n">
        <v>0.073</v>
      </c>
      <c r="H258" s="3" t="n">
        <v>194.15</v>
      </c>
      <c r="I258" s="3" t="n">
        <v>2523.95</v>
      </c>
      <c r="J258" s="3" t="n">
        <v>163.9</v>
      </c>
      <c r="K258" s="3" t="n">
        <v>2130.7</v>
      </c>
      <c r="L258" s="3" t="n">
        <v>393.25</v>
      </c>
      <c r="M258" s="4" t="n">
        <v>0.1558</v>
      </c>
    </row>
    <row r="259">
      <c r="A259" s="2" t="inlineStr">
        <is>
          <t>SKL-00258</t>
        </is>
      </c>
      <c r="B259" s="2" t="inlineStr">
        <is>
          <t>SIP-0073</t>
        </is>
      </c>
      <c r="C259" s="2" t="inlineStr">
        <is>
          <t>MEKSIZ-005</t>
        </is>
      </c>
      <c r="D259" s="5" t="n">
        <v>25</v>
      </c>
      <c r="E259" s="2" t="inlineStr">
        <is>
          <t>Adet</t>
        </is>
      </c>
      <c r="F259" s="3" t="n">
        <v>663.23</v>
      </c>
      <c r="G259" s="4" t="n">
        <v>0.09229999999999999</v>
      </c>
      <c r="H259" s="3" t="n">
        <v>602.01</v>
      </c>
      <c r="I259" s="3" t="n">
        <v>15050.25</v>
      </c>
      <c r="J259" s="3" t="n">
        <v>370.26</v>
      </c>
      <c r="K259" s="3" t="n">
        <v>9256.5</v>
      </c>
      <c r="L259" s="3" t="n">
        <v>5793.75</v>
      </c>
      <c r="M259" s="4" t="n">
        <v>0.385</v>
      </c>
    </row>
    <row r="260">
      <c r="A260" s="2" t="inlineStr">
        <is>
          <t>SKL-00259</t>
        </is>
      </c>
      <c r="B260" s="2" t="inlineStr">
        <is>
          <t>SIP-0073</t>
        </is>
      </c>
      <c r="C260" s="2" t="inlineStr">
        <is>
          <t>FLAIZO-004</t>
        </is>
      </c>
      <c r="D260" s="5" t="n">
        <v>57</v>
      </c>
      <c r="E260" s="2" t="inlineStr">
        <is>
          <t>Set</t>
        </is>
      </c>
      <c r="F260" s="3" t="n">
        <v>49.29</v>
      </c>
      <c r="G260" s="4" t="n">
        <v>0.1067</v>
      </c>
      <c r="H260" s="3" t="n">
        <v>44.03</v>
      </c>
      <c r="I260" s="3" t="n">
        <v>2509.71</v>
      </c>
      <c r="J260" s="3" t="n">
        <v>25.08</v>
      </c>
      <c r="K260" s="3" t="n">
        <v>1429.56</v>
      </c>
      <c r="L260" s="3" t="n">
        <v>1080.15</v>
      </c>
      <c r="M260" s="4" t="n">
        <v>0.4304</v>
      </c>
    </row>
    <row r="261">
      <c r="A261" s="2" t="inlineStr">
        <is>
          <t>SKL-00260</t>
        </is>
      </c>
      <c r="B261" s="2" t="inlineStr">
        <is>
          <t>SIP-0073</t>
        </is>
      </c>
      <c r="C261" s="2" t="inlineStr">
        <is>
          <t>KAR/-002</t>
        </is>
      </c>
      <c r="D261" s="5" t="n">
        <v>4</v>
      </c>
      <c r="E261" s="2" t="inlineStr">
        <is>
          <t>Adet</t>
        </is>
      </c>
      <c r="F261" s="3" t="n">
        <v>12583.88</v>
      </c>
      <c r="G261" s="4" t="n">
        <v>0.0134</v>
      </c>
      <c r="H261" s="3" t="n">
        <v>12415.26</v>
      </c>
      <c r="I261" s="3" t="n">
        <v>49661.04</v>
      </c>
      <c r="J261" s="3" t="n">
        <v>9102.83</v>
      </c>
      <c r="K261" s="3" t="n">
        <v>36411.32</v>
      </c>
      <c r="L261" s="3" t="n">
        <v>13249.72</v>
      </c>
      <c r="M261" s="4" t="n">
        <v>0.2668</v>
      </c>
    </row>
    <row r="262">
      <c r="A262" s="2" t="inlineStr">
        <is>
          <t>SKL-00261</t>
        </is>
      </c>
      <c r="B262" s="2" t="inlineStr">
        <is>
          <t>SIP-0074</t>
        </is>
      </c>
      <c r="C262" s="2" t="inlineStr">
        <is>
          <t>ENDVAN-029</t>
        </is>
      </c>
      <c r="D262" s="5" t="n">
        <v>13</v>
      </c>
      <c r="E262" s="2" t="inlineStr">
        <is>
          <t>Adet</t>
        </is>
      </c>
      <c r="F262" s="3" t="n">
        <v>510.34</v>
      </c>
      <c r="G262" s="4" t="n">
        <v>0.0741</v>
      </c>
      <c r="H262" s="3" t="n">
        <v>472.52</v>
      </c>
      <c r="I262" s="3" t="n">
        <v>6142.76</v>
      </c>
      <c r="J262" s="3" t="n">
        <v>318.96</v>
      </c>
      <c r="K262" s="3" t="n">
        <v>4146.48</v>
      </c>
      <c r="L262" s="3" t="n">
        <v>1996.28</v>
      </c>
      <c r="M262" s="4" t="n">
        <v>0.325</v>
      </c>
    </row>
    <row r="263">
      <c r="A263" s="2" t="inlineStr">
        <is>
          <t>SKL-00262</t>
        </is>
      </c>
      <c r="B263" s="2" t="inlineStr">
        <is>
          <t>SIP-0075</t>
        </is>
      </c>
      <c r="C263" s="2" t="inlineStr">
        <is>
          <t>ENDVAN-019</t>
        </is>
      </c>
      <c r="D263" s="5" t="n">
        <v>16</v>
      </c>
      <c r="E263" s="2" t="inlineStr">
        <is>
          <t>Adet</t>
        </is>
      </c>
      <c r="F263" s="3" t="n">
        <v>774.2</v>
      </c>
      <c r="G263" s="4" t="n">
        <v>0.0401</v>
      </c>
      <c r="H263" s="3" t="n">
        <v>743.15</v>
      </c>
      <c r="I263" s="3" t="n">
        <v>11890.4</v>
      </c>
      <c r="J263" s="3" t="n">
        <v>564.9400000000001</v>
      </c>
      <c r="K263" s="3" t="n">
        <v>9039.040000000001</v>
      </c>
      <c r="L263" s="3" t="n">
        <v>2851.36</v>
      </c>
      <c r="M263" s="4" t="n">
        <v>0.2398</v>
      </c>
    </row>
    <row r="264">
      <c r="A264" s="2" t="inlineStr">
        <is>
          <t>SKL-00263</t>
        </is>
      </c>
      <c r="B264" s="2" t="inlineStr">
        <is>
          <t>SIP-0075</t>
        </is>
      </c>
      <c r="C264" s="2" t="inlineStr">
        <is>
          <t>ENDVAN-029</t>
        </is>
      </c>
      <c r="D264" s="5" t="n">
        <v>3</v>
      </c>
      <c r="E264" s="2" t="inlineStr">
        <is>
          <t>Adet</t>
        </is>
      </c>
      <c r="F264" s="3" t="n">
        <v>519.47</v>
      </c>
      <c r="G264" s="4" t="n">
        <v>0.09520000000000001</v>
      </c>
      <c r="H264" s="3" t="n">
        <v>470.02</v>
      </c>
      <c r="I264" s="3" t="n">
        <v>1410.06</v>
      </c>
      <c r="J264" s="3" t="n">
        <v>318.96</v>
      </c>
      <c r="K264" s="3" t="n">
        <v>956.88</v>
      </c>
      <c r="L264" s="3" t="n">
        <v>453.18</v>
      </c>
      <c r="M264" s="4" t="n">
        <v>0.3214</v>
      </c>
    </row>
    <row r="265">
      <c r="A265" s="2" t="inlineStr">
        <is>
          <t>SKL-00264</t>
        </is>
      </c>
      <c r="B265" s="2" t="inlineStr">
        <is>
          <t>SIP-0076</t>
        </is>
      </c>
      <c r="C265" s="2" t="inlineStr">
        <is>
          <t>YAREND-005</t>
        </is>
      </c>
      <c r="D265" s="5" t="n">
        <v>3</v>
      </c>
      <c r="E265" s="2" t="inlineStr">
        <is>
          <t>Adet</t>
        </is>
      </c>
      <c r="F265" s="3" t="n">
        <v>926.95</v>
      </c>
      <c r="G265" s="4" t="n">
        <v>0.0955</v>
      </c>
      <c r="H265" s="3" t="n">
        <v>838.4299999999999</v>
      </c>
      <c r="I265" s="3" t="n">
        <v>2515.29</v>
      </c>
      <c r="J265" s="3" t="n">
        <v>729.01</v>
      </c>
      <c r="K265" s="3" t="n">
        <v>2187.03</v>
      </c>
      <c r="L265" s="3" t="n">
        <v>328.26</v>
      </c>
      <c r="M265" s="4" t="n">
        <v>0.1305</v>
      </c>
    </row>
    <row r="266">
      <c r="A266" s="2" t="inlineStr">
        <is>
          <t>SKL-00265</t>
        </is>
      </c>
      <c r="B266" s="2" t="inlineStr">
        <is>
          <t>SIP-0076</t>
        </is>
      </c>
      <c r="C266" s="2" t="inlineStr">
        <is>
          <t>ENDVAN-006</t>
        </is>
      </c>
      <c r="D266" s="5" t="n">
        <v>15</v>
      </c>
      <c r="E266" s="2" t="inlineStr">
        <is>
          <t>Adet</t>
        </is>
      </c>
      <c r="F266" s="3" t="n">
        <v>1593.93</v>
      </c>
      <c r="G266" s="4" t="n">
        <v>0.0083</v>
      </c>
      <c r="H266" s="3" t="n">
        <v>1580.7</v>
      </c>
      <c r="I266" s="3" t="n">
        <v>23710.5</v>
      </c>
      <c r="J266" s="3" t="n">
        <v>1160.99</v>
      </c>
      <c r="K266" s="3" t="n">
        <v>17414.85</v>
      </c>
      <c r="L266" s="3" t="n">
        <v>6295.65</v>
      </c>
      <c r="M266" s="4" t="n">
        <v>0.2655</v>
      </c>
    </row>
    <row r="267">
      <c r="A267" s="2" t="inlineStr">
        <is>
          <t>SKL-00266</t>
        </is>
      </c>
      <c r="B267" s="2" t="inlineStr">
        <is>
          <t>SIP-0076</t>
        </is>
      </c>
      <c r="C267" s="2" t="inlineStr">
        <is>
          <t>ENDVAN-010</t>
        </is>
      </c>
      <c r="D267" s="5" t="n">
        <v>14</v>
      </c>
      <c r="E267" s="2" t="inlineStr">
        <is>
          <t>Adet</t>
        </is>
      </c>
      <c r="F267" s="3" t="n">
        <v>1206.36</v>
      </c>
      <c r="G267" s="4" t="n">
        <v>0.0269</v>
      </c>
      <c r="H267" s="3" t="n">
        <v>1173.91</v>
      </c>
      <c r="I267" s="3" t="n">
        <v>16434.74</v>
      </c>
      <c r="J267" s="3" t="n">
        <v>891.17</v>
      </c>
      <c r="K267" s="3" t="n">
        <v>12476.38</v>
      </c>
      <c r="L267" s="3" t="n">
        <v>3958.36</v>
      </c>
      <c r="M267" s="4" t="n">
        <v>0.2409</v>
      </c>
    </row>
    <row r="268">
      <c r="A268" s="2" t="inlineStr">
        <is>
          <t>SKL-00267</t>
        </is>
      </c>
      <c r="B268" s="2" t="inlineStr">
        <is>
          <t>SIP-0076</t>
        </is>
      </c>
      <c r="C268" s="2" t="inlineStr">
        <is>
          <t>ENDVAN-010</t>
        </is>
      </c>
      <c r="D268" s="5" t="n">
        <v>3</v>
      </c>
      <c r="E268" s="2" t="inlineStr">
        <is>
          <t>Adet</t>
        </is>
      </c>
      <c r="F268" s="3" t="n">
        <v>1227.72</v>
      </c>
      <c r="G268" s="4" t="n">
        <v>0.0269</v>
      </c>
      <c r="H268" s="3" t="n">
        <v>1194.69</v>
      </c>
      <c r="I268" s="3" t="n">
        <v>3584.07</v>
      </c>
      <c r="J268" s="3" t="n">
        <v>891.17</v>
      </c>
      <c r="K268" s="3" t="n">
        <v>2673.51</v>
      </c>
      <c r="L268" s="3" t="n">
        <v>910.5599999999999</v>
      </c>
      <c r="M268" s="4" t="n">
        <v>0.2541</v>
      </c>
    </row>
    <row r="269">
      <c r="A269" s="2" t="inlineStr">
        <is>
          <t>SKL-00268</t>
        </is>
      </c>
      <c r="B269" s="2" t="inlineStr">
        <is>
          <t>SIP-0077</t>
        </is>
      </c>
      <c r="C269" s="2" t="inlineStr">
        <is>
          <t>ENDVAN-008</t>
        </is>
      </c>
      <c r="D269" s="5" t="n">
        <v>16</v>
      </c>
      <c r="E269" s="2" t="inlineStr">
        <is>
          <t>Adet</t>
        </is>
      </c>
      <c r="F269" s="3" t="n">
        <v>584.62</v>
      </c>
      <c r="G269" s="4" t="n">
        <v>0.0828</v>
      </c>
      <c r="H269" s="3" t="n">
        <v>536.21</v>
      </c>
      <c r="I269" s="3" t="n">
        <v>8579.360000000001</v>
      </c>
      <c r="J269" s="3" t="n">
        <v>429.42</v>
      </c>
      <c r="K269" s="3" t="n">
        <v>6870.72</v>
      </c>
      <c r="L269" s="3" t="n">
        <v>1708.64</v>
      </c>
      <c r="M269" s="4" t="n">
        <v>0.1992</v>
      </c>
    </row>
    <row r="270">
      <c r="A270" s="2" t="inlineStr">
        <is>
          <t>SKL-00269</t>
        </is>
      </c>
      <c r="B270" s="2" t="inlineStr">
        <is>
          <t>SIP-0077</t>
        </is>
      </c>
      <c r="C270" s="2" t="inlineStr">
        <is>
          <t>FLAIZO-014</t>
        </is>
      </c>
      <c r="D270" s="5" t="n">
        <v>67</v>
      </c>
      <c r="E270" s="2" t="inlineStr">
        <is>
          <t>Set</t>
        </is>
      </c>
      <c r="F270" s="3" t="n">
        <v>60.2</v>
      </c>
      <c r="G270" s="4" t="n">
        <v>0.0603</v>
      </c>
      <c r="H270" s="3" t="n">
        <v>56.57</v>
      </c>
      <c r="I270" s="3" t="n">
        <v>3790.19</v>
      </c>
      <c r="J270" s="3" t="n">
        <v>32.61</v>
      </c>
      <c r="K270" s="3" t="n">
        <v>2184.87</v>
      </c>
      <c r="L270" s="3" t="n">
        <v>1605.32</v>
      </c>
      <c r="M270" s="4" t="n">
        <v>0.4235</v>
      </c>
    </row>
    <row r="271">
      <c r="A271" s="2" t="inlineStr">
        <is>
          <t>SKL-00270</t>
        </is>
      </c>
      <c r="B271" s="2" t="inlineStr">
        <is>
          <t>SIP-0077</t>
        </is>
      </c>
      <c r="C271" s="2" t="inlineStr">
        <is>
          <t>MEKSIZ-013</t>
        </is>
      </c>
      <c r="D271" s="5" t="n">
        <v>24</v>
      </c>
      <c r="E271" s="2" t="inlineStr">
        <is>
          <t>Adet</t>
        </is>
      </c>
      <c r="F271" s="3" t="n">
        <v>66.98999999999999</v>
      </c>
      <c r="G271" s="4" t="n">
        <v>0.07389999999999999</v>
      </c>
      <c r="H271" s="3" t="n">
        <v>62.04</v>
      </c>
      <c r="I271" s="3" t="n">
        <v>1488.96</v>
      </c>
      <c r="J271" s="3" t="n">
        <v>45.62</v>
      </c>
      <c r="K271" s="3" t="n">
        <v>1094.88</v>
      </c>
      <c r="L271" s="3" t="n">
        <v>394.08</v>
      </c>
      <c r="M271" s="4" t="n">
        <v>0.2647</v>
      </c>
    </row>
    <row r="272">
      <c r="A272" s="2" t="inlineStr">
        <is>
          <t>SKL-00271</t>
        </is>
      </c>
      <c r="B272" s="2" t="inlineStr">
        <is>
          <t>SIP-0077</t>
        </is>
      </c>
      <c r="C272" s="2" t="inlineStr">
        <is>
          <t>MEKSIZ-004</t>
        </is>
      </c>
      <c r="D272" s="5" t="n">
        <v>17</v>
      </c>
      <c r="E272" s="2" t="inlineStr">
        <is>
          <t>Adet</t>
        </is>
      </c>
      <c r="F272" s="3" t="n">
        <v>267.28</v>
      </c>
      <c r="G272" s="4" t="n">
        <v>0.0602</v>
      </c>
      <c r="H272" s="3" t="n">
        <v>251.19</v>
      </c>
      <c r="I272" s="3" t="n">
        <v>4270.23</v>
      </c>
      <c r="J272" s="3" t="n">
        <v>164.52</v>
      </c>
      <c r="K272" s="3" t="n">
        <v>2796.84</v>
      </c>
      <c r="L272" s="3" t="n">
        <v>1473.39</v>
      </c>
      <c r="M272" s="4" t="n">
        <v>0.345</v>
      </c>
    </row>
    <row r="273">
      <c r="A273" s="2" t="inlineStr">
        <is>
          <t>SKL-00272</t>
        </is>
      </c>
      <c r="B273" s="2" t="inlineStr">
        <is>
          <t>SIP-0077</t>
        </is>
      </c>
      <c r="C273" s="2" t="inlineStr">
        <is>
          <t>ENDVAN-027</t>
        </is>
      </c>
      <c r="D273" s="5" t="n">
        <v>3</v>
      </c>
      <c r="E273" s="2" t="inlineStr">
        <is>
          <t>Adet</t>
        </is>
      </c>
      <c r="F273" s="3" t="n">
        <v>1575.63</v>
      </c>
      <c r="G273" s="4" t="n">
        <v>0.0377</v>
      </c>
      <c r="H273" s="3" t="n">
        <v>1516.23</v>
      </c>
      <c r="I273" s="3" t="n">
        <v>4548.69</v>
      </c>
      <c r="J273" s="3" t="n">
        <v>1041.65</v>
      </c>
      <c r="K273" s="3" t="n">
        <v>3124.95</v>
      </c>
      <c r="L273" s="3" t="n">
        <v>1423.74</v>
      </c>
      <c r="M273" s="4" t="n">
        <v>0.313</v>
      </c>
    </row>
    <row r="274">
      <c r="A274" s="2" t="inlineStr">
        <is>
          <t>SKL-00273</t>
        </is>
      </c>
      <c r="B274" s="2" t="inlineStr">
        <is>
          <t>SIP-0077</t>
        </is>
      </c>
      <c r="C274" s="2" t="inlineStr">
        <is>
          <t>PROTAN-005</t>
        </is>
      </c>
      <c r="D274" s="5" t="n">
        <v>1</v>
      </c>
      <c r="E274" s="2" t="inlineStr">
        <is>
          <t>Adet</t>
        </is>
      </c>
      <c r="F274" s="3" t="n">
        <v>19260.87</v>
      </c>
      <c r="G274" s="4" t="n">
        <v>0.0249</v>
      </c>
      <c r="H274" s="3" t="n">
        <v>18781.27</v>
      </c>
      <c r="I274" s="3" t="n">
        <v>18781.27</v>
      </c>
      <c r="J274" s="3" t="n">
        <v>14932.43</v>
      </c>
      <c r="K274" s="3" t="n">
        <v>14932.43</v>
      </c>
      <c r="L274" s="3" t="n">
        <v>3848.84</v>
      </c>
      <c r="M274" s="4" t="n">
        <v>0.2049</v>
      </c>
    </row>
    <row r="275">
      <c r="A275" s="2" t="inlineStr">
        <is>
          <t>SKL-00274</t>
        </is>
      </c>
      <c r="B275" s="2" t="inlineStr">
        <is>
          <t>SIP-0078</t>
        </is>
      </c>
      <c r="C275" s="2" t="inlineStr">
        <is>
          <t>MEKSIZ-014</t>
        </is>
      </c>
      <c r="D275" s="5" t="n">
        <v>16</v>
      </c>
      <c r="E275" s="2" t="inlineStr">
        <is>
          <t>Adet</t>
        </is>
      </c>
      <c r="F275" s="3" t="n">
        <v>420.12</v>
      </c>
      <c r="G275" s="4" t="n">
        <v>0.0498</v>
      </c>
      <c r="H275" s="3" t="n">
        <v>399.2</v>
      </c>
      <c r="I275" s="3" t="n">
        <v>6387.2</v>
      </c>
      <c r="J275" s="3" t="n">
        <v>242.32</v>
      </c>
      <c r="K275" s="3" t="n">
        <v>3877.12</v>
      </c>
      <c r="L275" s="3" t="n">
        <v>2510.08</v>
      </c>
      <c r="M275" s="4" t="n">
        <v>0.393</v>
      </c>
    </row>
    <row r="276">
      <c r="A276" s="2" t="inlineStr">
        <is>
          <t>SKL-00275</t>
        </is>
      </c>
      <c r="B276" s="2" t="inlineStr">
        <is>
          <t>SIP-0079</t>
        </is>
      </c>
      <c r="C276" s="2" t="inlineStr">
        <is>
          <t>ENDVAN-005</t>
        </is>
      </c>
      <c r="D276" s="5" t="n">
        <v>3</v>
      </c>
      <c r="E276" s="2" t="inlineStr">
        <is>
          <t>Adet</t>
        </is>
      </c>
      <c r="F276" s="3" t="n">
        <v>920.84</v>
      </c>
      <c r="G276" s="4" t="n">
        <v>0.0092</v>
      </c>
      <c r="H276" s="3" t="n">
        <v>912.37</v>
      </c>
      <c r="I276" s="3" t="n">
        <v>2737.11</v>
      </c>
      <c r="J276" s="3" t="n">
        <v>653.55</v>
      </c>
      <c r="K276" s="3" t="n">
        <v>1960.65</v>
      </c>
      <c r="L276" s="3" t="n">
        <v>776.46</v>
      </c>
      <c r="M276" s="4" t="n">
        <v>0.2837</v>
      </c>
    </row>
    <row r="277">
      <c r="A277" s="2" t="inlineStr">
        <is>
          <t>SKL-00276</t>
        </is>
      </c>
      <c r="B277" s="2" t="inlineStr">
        <is>
          <t>SIP-0079</t>
        </is>
      </c>
      <c r="C277" s="2" t="inlineStr">
        <is>
          <t>ENDVAN-007</t>
        </is>
      </c>
      <c r="D277" s="5" t="n">
        <v>12</v>
      </c>
      <c r="E277" s="2" t="inlineStr">
        <is>
          <t>Adet</t>
        </is>
      </c>
      <c r="F277" s="3" t="n">
        <v>205.02</v>
      </c>
      <c r="G277" s="4" t="n">
        <v>0.0114</v>
      </c>
      <c r="H277" s="3" t="n">
        <v>202.68</v>
      </c>
      <c r="I277" s="3" t="n">
        <v>2432.16</v>
      </c>
      <c r="J277" s="3" t="n">
        <v>126.94</v>
      </c>
      <c r="K277" s="3" t="n">
        <v>1523.28</v>
      </c>
      <c r="L277" s="3" t="n">
        <v>908.88</v>
      </c>
      <c r="M277" s="4" t="n">
        <v>0.3737</v>
      </c>
    </row>
    <row r="278">
      <c r="A278" s="2" t="inlineStr">
        <is>
          <t>SKL-00277</t>
        </is>
      </c>
      <c r="B278" s="2" t="inlineStr">
        <is>
          <t>SIP-0079</t>
        </is>
      </c>
      <c r="C278" s="2" t="inlineStr">
        <is>
          <t>ENDVAN-005</t>
        </is>
      </c>
      <c r="D278" s="5" t="n">
        <v>4</v>
      </c>
      <c r="E278" s="2" t="inlineStr">
        <is>
          <t>Adet</t>
        </is>
      </c>
      <c r="F278" s="3" t="n">
        <v>942.5700000000001</v>
      </c>
      <c r="G278" s="4" t="n">
        <v>0.0098</v>
      </c>
      <c r="H278" s="3" t="n">
        <v>933.33</v>
      </c>
      <c r="I278" s="3" t="n">
        <v>3733.32</v>
      </c>
      <c r="J278" s="3" t="n">
        <v>653.55</v>
      </c>
      <c r="K278" s="3" t="n">
        <v>2614.2</v>
      </c>
      <c r="L278" s="3" t="n">
        <v>1119.12</v>
      </c>
      <c r="M278" s="4" t="n">
        <v>0.2998</v>
      </c>
    </row>
    <row r="279">
      <c r="A279" s="2" t="inlineStr">
        <is>
          <t>SKL-00278</t>
        </is>
      </c>
      <c r="B279" s="2" t="inlineStr">
        <is>
          <t>SIP-0079</t>
        </is>
      </c>
      <c r="C279" s="2" t="inlineStr">
        <is>
          <t>KAR/-010</t>
        </is>
      </c>
      <c r="D279" s="5" t="n">
        <v>4</v>
      </c>
      <c r="E279" s="2" t="inlineStr">
        <is>
          <t>Adet</t>
        </is>
      </c>
      <c r="F279" s="3" t="n">
        <v>8391.459999999999</v>
      </c>
      <c r="G279" s="4" t="n">
        <v>0.0445</v>
      </c>
      <c r="H279" s="3" t="n">
        <v>8018.04</v>
      </c>
      <c r="I279" s="3" t="n">
        <v>32072.16</v>
      </c>
      <c r="J279" s="3" t="n">
        <v>6787.7</v>
      </c>
      <c r="K279" s="3" t="n">
        <v>27150.8</v>
      </c>
      <c r="L279" s="3" t="n">
        <v>4921.36</v>
      </c>
      <c r="M279" s="4" t="n">
        <v>0.1534</v>
      </c>
    </row>
    <row r="280">
      <c r="A280" s="2" t="inlineStr">
        <is>
          <t>SKL-00279</t>
        </is>
      </c>
      <c r="B280" s="2" t="inlineStr">
        <is>
          <t>SIP-0080</t>
        </is>
      </c>
      <c r="C280" s="2" t="inlineStr">
        <is>
          <t>ENDVAN-024</t>
        </is>
      </c>
      <c r="D280" s="5" t="n">
        <v>16</v>
      </c>
      <c r="E280" s="2" t="inlineStr">
        <is>
          <t>Adet</t>
        </is>
      </c>
      <c r="F280" s="3" t="n">
        <v>1693.05</v>
      </c>
      <c r="G280" s="4" t="n">
        <v>0.0107</v>
      </c>
      <c r="H280" s="3" t="n">
        <v>1674.93</v>
      </c>
      <c r="I280" s="3" t="n">
        <v>26798.88</v>
      </c>
      <c r="J280" s="3" t="n">
        <v>1156.64</v>
      </c>
      <c r="K280" s="3" t="n">
        <v>18506.24</v>
      </c>
      <c r="L280" s="3" t="n">
        <v>8292.639999999999</v>
      </c>
      <c r="M280" s="4" t="n">
        <v>0.3094</v>
      </c>
    </row>
    <row r="281">
      <c r="A281" s="2" t="inlineStr">
        <is>
          <t>SKL-00280</t>
        </is>
      </c>
      <c r="B281" s="2" t="inlineStr">
        <is>
          <t>SIP-0080</t>
        </is>
      </c>
      <c r="C281" s="2" t="inlineStr">
        <is>
          <t>ENDVAN-025</t>
        </is>
      </c>
      <c r="D281" s="5" t="n">
        <v>8</v>
      </c>
      <c r="E281" s="2" t="inlineStr">
        <is>
          <t>Adet</t>
        </is>
      </c>
      <c r="F281" s="3" t="n">
        <v>281.38</v>
      </c>
      <c r="G281" s="4" t="n">
        <v>0.0124</v>
      </c>
      <c r="H281" s="3" t="n">
        <v>277.89</v>
      </c>
      <c r="I281" s="3" t="n">
        <v>2223.12</v>
      </c>
      <c r="J281" s="3" t="n">
        <v>205.87</v>
      </c>
      <c r="K281" s="3" t="n">
        <v>1646.96</v>
      </c>
      <c r="L281" s="3" t="n">
        <v>576.16</v>
      </c>
      <c r="M281" s="4" t="n">
        <v>0.2592</v>
      </c>
    </row>
    <row r="282">
      <c r="A282" s="2" t="inlineStr">
        <is>
          <t>SKL-00281</t>
        </is>
      </c>
      <c r="B282" s="2" t="inlineStr">
        <is>
          <t>SIP-0080</t>
        </is>
      </c>
      <c r="C282" s="2" t="inlineStr">
        <is>
          <t>ENDVAN-027</t>
        </is>
      </c>
      <c r="D282" s="5" t="n">
        <v>3</v>
      </c>
      <c r="E282" s="2" t="inlineStr">
        <is>
          <t>Adet</t>
        </is>
      </c>
      <c r="F282" s="3" t="n">
        <v>1658.67</v>
      </c>
      <c r="G282" s="4" t="n">
        <v>0.027</v>
      </c>
      <c r="H282" s="3" t="n">
        <v>1613.89</v>
      </c>
      <c r="I282" s="3" t="n">
        <v>4841.67</v>
      </c>
      <c r="J282" s="3" t="n">
        <v>1041.65</v>
      </c>
      <c r="K282" s="3" t="n">
        <v>3124.95</v>
      </c>
      <c r="L282" s="3" t="n">
        <v>1716.72</v>
      </c>
      <c r="M282" s="4" t="n">
        <v>0.3546</v>
      </c>
    </row>
    <row r="283">
      <c r="A283" s="2" t="inlineStr">
        <is>
          <t>SKL-00282</t>
        </is>
      </c>
      <c r="B283" s="2" t="inlineStr">
        <is>
          <t>SIP-0080</t>
        </is>
      </c>
      <c r="C283" s="2" t="inlineStr">
        <is>
          <t>FLAIZO-014</t>
        </is>
      </c>
      <c r="D283" s="5" t="n">
        <v>29</v>
      </c>
      <c r="E283" s="2" t="inlineStr">
        <is>
          <t>Set</t>
        </is>
      </c>
      <c r="F283" s="3" t="n">
        <v>63.47</v>
      </c>
      <c r="G283" s="4" t="n">
        <v>0.0063</v>
      </c>
      <c r="H283" s="3" t="n">
        <v>63.07</v>
      </c>
      <c r="I283" s="3" t="n">
        <v>1829.03</v>
      </c>
      <c r="J283" s="3" t="n">
        <v>32.61</v>
      </c>
      <c r="K283" s="3" t="n">
        <v>945.6900000000001</v>
      </c>
      <c r="L283" s="3" t="n">
        <v>883.34</v>
      </c>
      <c r="M283" s="4" t="n">
        <v>0.483</v>
      </c>
    </row>
    <row r="284">
      <c r="A284" s="2" t="inlineStr">
        <is>
          <t>SKL-00283</t>
        </is>
      </c>
      <c r="B284" s="2" t="inlineStr">
        <is>
          <t>SIP-0080</t>
        </is>
      </c>
      <c r="C284" s="2" t="inlineStr">
        <is>
          <t>FLAIZO-002</t>
        </is>
      </c>
      <c r="D284" s="5" t="n">
        <v>32</v>
      </c>
      <c r="E284" s="2" t="inlineStr">
        <is>
          <t>Set</t>
        </is>
      </c>
      <c r="F284" s="3" t="n">
        <v>103.09</v>
      </c>
      <c r="G284" s="4" t="n">
        <v>0.0051</v>
      </c>
      <c r="H284" s="3" t="n">
        <v>102.56</v>
      </c>
      <c r="I284" s="3" t="n">
        <v>3281.92</v>
      </c>
      <c r="J284" s="3" t="n">
        <v>54.73</v>
      </c>
      <c r="K284" s="3" t="n">
        <v>1751.36</v>
      </c>
      <c r="L284" s="3" t="n">
        <v>1530.56</v>
      </c>
      <c r="M284" s="4" t="n">
        <v>0.4664</v>
      </c>
    </row>
    <row r="285">
      <c r="A285" s="2" t="inlineStr">
        <is>
          <t>SKL-00284</t>
        </is>
      </c>
      <c r="B285" s="2" t="inlineStr">
        <is>
          <t>SIP-0080</t>
        </is>
      </c>
      <c r="C285" s="2" t="inlineStr">
        <is>
          <t>ENDVAN-014</t>
        </is>
      </c>
      <c r="D285" s="5" t="n">
        <v>18</v>
      </c>
      <c r="E285" s="2" t="inlineStr">
        <is>
          <t>Adet</t>
        </is>
      </c>
      <c r="F285" s="3" t="n">
        <v>1692.96</v>
      </c>
      <c r="G285" s="4" t="n">
        <v>0.0094</v>
      </c>
      <c r="H285" s="3" t="n">
        <v>1677.05</v>
      </c>
      <c r="I285" s="3" t="n">
        <v>30186.9</v>
      </c>
      <c r="J285" s="3" t="n">
        <v>1025.06</v>
      </c>
      <c r="K285" s="3" t="n">
        <v>18451.08</v>
      </c>
      <c r="L285" s="3" t="n">
        <v>11735.82</v>
      </c>
      <c r="M285" s="4" t="n">
        <v>0.3888</v>
      </c>
    </row>
    <row r="286">
      <c r="A286" s="2" t="inlineStr">
        <is>
          <t>SKL-00285</t>
        </is>
      </c>
      <c r="B286" s="2" t="inlineStr">
        <is>
          <t>SIP-0080</t>
        </is>
      </c>
      <c r="C286" s="2" t="inlineStr">
        <is>
          <t>ENDVAN-025</t>
        </is>
      </c>
      <c r="D286" s="5" t="n">
        <v>8</v>
      </c>
      <c r="E286" s="2" t="inlineStr">
        <is>
          <t>Adet</t>
        </is>
      </c>
      <c r="F286" s="3" t="n">
        <v>303.45</v>
      </c>
      <c r="G286" s="4" t="n">
        <v>0.0936</v>
      </c>
      <c r="H286" s="3" t="n">
        <v>275.05</v>
      </c>
      <c r="I286" s="3" t="n">
        <v>2200.4</v>
      </c>
      <c r="J286" s="3" t="n">
        <v>205.87</v>
      </c>
      <c r="K286" s="3" t="n">
        <v>1646.96</v>
      </c>
      <c r="L286" s="3" t="n">
        <v>553.4400000000001</v>
      </c>
      <c r="M286" s="4" t="n">
        <v>0.2515</v>
      </c>
    </row>
    <row r="287">
      <c r="A287" s="2" t="inlineStr">
        <is>
          <t>SKL-00286</t>
        </is>
      </c>
      <c r="B287" s="2" t="inlineStr">
        <is>
          <t>SIP-0080</t>
        </is>
      </c>
      <c r="C287" s="2" t="inlineStr">
        <is>
          <t>PROTAN-009</t>
        </is>
      </c>
      <c r="D287" s="5" t="n">
        <v>2</v>
      </c>
      <c r="E287" s="2" t="inlineStr">
        <is>
          <t>Adet</t>
        </is>
      </c>
      <c r="F287" s="3" t="n">
        <v>15460.55</v>
      </c>
      <c r="G287" s="4" t="n">
        <v>0.0603</v>
      </c>
      <c r="H287" s="3" t="n">
        <v>14528.28</v>
      </c>
      <c r="I287" s="3" t="n">
        <v>29056.56</v>
      </c>
      <c r="J287" s="3" t="n">
        <v>12443.59</v>
      </c>
      <c r="K287" s="3" t="n">
        <v>24887.18</v>
      </c>
      <c r="L287" s="3" t="n">
        <v>4169.38</v>
      </c>
      <c r="M287" s="4" t="n">
        <v>0.1435</v>
      </c>
    </row>
    <row r="288">
      <c r="A288" s="2" t="inlineStr">
        <is>
          <t>SKL-00287</t>
        </is>
      </c>
      <c r="B288" s="2" t="inlineStr">
        <is>
          <t>SIP-0081</t>
        </is>
      </c>
      <c r="C288" s="2" t="inlineStr">
        <is>
          <t>ENDVAN-032</t>
        </is>
      </c>
      <c r="D288" s="5" t="n">
        <v>10</v>
      </c>
      <c r="E288" s="2" t="inlineStr">
        <is>
          <t>Adet</t>
        </is>
      </c>
      <c r="F288" s="3" t="n">
        <v>973.1799999999999</v>
      </c>
      <c r="G288" s="4" t="n">
        <v>0.0435</v>
      </c>
      <c r="H288" s="3" t="n">
        <v>930.85</v>
      </c>
      <c r="I288" s="3" t="n">
        <v>9308.5</v>
      </c>
      <c r="J288" s="3" t="n">
        <v>641.8099999999999</v>
      </c>
      <c r="K288" s="3" t="n">
        <v>6418.1</v>
      </c>
      <c r="L288" s="3" t="n">
        <v>2890.4</v>
      </c>
      <c r="M288" s="4" t="n">
        <v>0.3105</v>
      </c>
    </row>
    <row r="289">
      <c r="A289" s="2" t="inlineStr">
        <is>
          <t>SKL-00288</t>
        </is>
      </c>
      <c r="B289" s="2" t="inlineStr">
        <is>
          <t>SIP-0081</t>
        </is>
      </c>
      <c r="C289" s="2" t="inlineStr">
        <is>
          <t>FLAIZO-005</t>
        </is>
      </c>
      <c r="D289" s="5" t="n">
        <v>51</v>
      </c>
      <c r="E289" s="2" t="inlineStr">
        <is>
          <t>Set</t>
        </is>
      </c>
      <c r="F289" s="3" t="n">
        <v>231.25</v>
      </c>
      <c r="G289" s="4" t="n">
        <v>0.0366</v>
      </c>
      <c r="H289" s="3" t="n">
        <v>222.79</v>
      </c>
      <c r="I289" s="3" t="n">
        <v>11362.29</v>
      </c>
      <c r="J289" s="3" t="n">
        <v>120.26</v>
      </c>
      <c r="K289" s="3" t="n">
        <v>6133.26</v>
      </c>
      <c r="L289" s="3" t="n">
        <v>5229.03</v>
      </c>
      <c r="M289" s="4" t="n">
        <v>0.4602</v>
      </c>
    </row>
    <row r="290">
      <c r="A290" s="2" t="inlineStr">
        <is>
          <t>SKL-00289</t>
        </is>
      </c>
      <c r="B290" s="2" t="inlineStr">
        <is>
          <t>SIP-0081</t>
        </is>
      </c>
      <c r="C290" s="2" t="inlineStr">
        <is>
          <t>ENDVAN-006</t>
        </is>
      </c>
      <c r="D290" s="5" t="n">
        <v>18</v>
      </c>
      <c r="E290" s="2" t="inlineStr">
        <is>
          <t>Adet</t>
        </is>
      </c>
      <c r="F290" s="3" t="n">
        <v>1549.56</v>
      </c>
      <c r="G290" s="4" t="n">
        <v>0.1036</v>
      </c>
      <c r="H290" s="3" t="n">
        <v>1389.03</v>
      </c>
      <c r="I290" s="3" t="n">
        <v>25002.54</v>
      </c>
      <c r="J290" s="3" t="n">
        <v>1160.99</v>
      </c>
      <c r="K290" s="3" t="n">
        <v>20897.82</v>
      </c>
      <c r="L290" s="3" t="n">
        <v>4104.72</v>
      </c>
      <c r="M290" s="4" t="n">
        <v>0.1642</v>
      </c>
    </row>
    <row r="291">
      <c r="A291" s="2" t="inlineStr">
        <is>
          <t>SKL-00290</t>
        </is>
      </c>
      <c r="B291" s="2" t="inlineStr">
        <is>
          <t>SIP-0082</t>
        </is>
      </c>
      <c r="C291" s="2" t="inlineStr">
        <is>
          <t>YAREND-006</t>
        </is>
      </c>
      <c r="D291" s="5" t="n">
        <v>7</v>
      </c>
      <c r="E291" s="2" t="inlineStr">
        <is>
          <t>Adet</t>
        </is>
      </c>
      <c r="F291" s="3" t="n">
        <v>499.08</v>
      </c>
      <c r="G291" s="4" t="n">
        <v>0.0977</v>
      </c>
      <c r="H291" s="3" t="n">
        <v>450.32</v>
      </c>
      <c r="I291" s="3" t="n">
        <v>3152.24</v>
      </c>
      <c r="J291" s="3" t="n">
        <v>363.57</v>
      </c>
      <c r="K291" s="3" t="n">
        <v>2544.99</v>
      </c>
      <c r="L291" s="3" t="n">
        <v>607.25</v>
      </c>
      <c r="M291" s="4" t="n">
        <v>0.1926</v>
      </c>
    </row>
    <row r="292">
      <c r="A292" s="2" t="inlineStr">
        <is>
          <t>SKL-00291</t>
        </is>
      </c>
      <c r="B292" s="2" t="inlineStr">
        <is>
          <t>SIP-0082</t>
        </is>
      </c>
      <c r="C292" s="2" t="inlineStr">
        <is>
          <t>ENDVAN-011</t>
        </is>
      </c>
      <c r="D292" s="5" t="n">
        <v>7</v>
      </c>
      <c r="E292" s="2" t="inlineStr">
        <is>
          <t>Adet</t>
        </is>
      </c>
      <c r="F292" s="3" t="n">
        <v>956.9</v>
      </c>
      <c r="G292" s="4" t="n">
        <v>0.1057</v>
      </c>
      <c r="H292" s="3" t="n">
        <v>855.76</v>
      </c>
      <c r="I292" s="3" t="n">
        <v>5990.32</v>
      </c>
      <c r="J292" s="3" t="n">
        <v>615.55</v>
      </c>
      <c r="K292" s="3" t="n">
        <v>4308.85</v>
      </c>
      <c r="L292" s="3" t="n">
        <v>1681.47</v>
      </c>
      <c r="M292" s="4" t="n">
        <v>0.2807</v>
      </c>
    </row>
    <row r="293">
      <c r="A293" s="2" t="inlineStr">
        <is>
          <t>SKL-00292</t>
        </is>
      </c>
      <c r="B293" s="2" t="inlineStr">
        <is>
          <t>SIP-0082</t>
        </is>
      </c>
      <c r="C293" s="2" t="inlineStr">
        <is>
          <t>FLAIZO-013</t>
        </is>
      </c>
      <c r="D293" s="5" t="n">
        <v>89</v>
      </c>
      <c r="E293" s="2" t="inlineStr">
        <is>
          <t>Set</t>
        </is>
      </c>
      <c r="F293" s="3" t="n">
        <v>34.38</v>
      </c>
      <c r="G293" s="4" t="n">
        <v>0.0742</v>
      </c>
      <c r="H293" s="3" t="n">
        <v>31.83</v>
      </c>
      <c r="I293" s="3" t="n">
        <v>2832.87</v>
      </c>
      <c r="J293" s="3" t="n">
        <v>19.05</v>
      </c>
      <c r="K293" s="3" t="n">
        <v>1695.45</v>
      </c>
      <c r="L293" s="3" t="n">
        <v>1137.42</v>
      </c>
      <c r="M293" s="4" t="n">
        <v>0.4015</v>
      </c>
    </row>
    <row r="294">
      <c r="A294" s="2" t="inlineStr">
        <is>
          <t>SKL-00293</t>
        </is>
      </c>
      <c r="B294" s="2" t="inlineStr">
        <is>
          <t>SIP-0082</t>
        </is>
      </c>
      <c r="C294" s="2" t="inlineStr">
        <is>
          <t>ENDVAN-015</t>
        </is>
      </c>
      <c r="D294" s="5" t="n">
        <v>5</v>
      </c>
      <c r="E294" s="2" t="inlineStr">
        <is>
          <t>Adet</t>
        </is>
      </c>
      <c r="F294" s="3" t="n">
        <v>1654.47</v>
      </c>
      <c r="G294" s="4" t="n">
        <v>0.0901</v>
      </c>
      <c r="H294" s="3" t="n">
        <v>1505.4</v>
      </c>
      <c r="I294" s="3" t="n">
        <v>7527</v>
      </c>
      <c r="J294" s="3" t="n">
        <v>1019.05</v>
      </c>
      <c r="K294" s="3" t="n">
        <v>5095.25</v>
      </c>
      <c r="L294" s="3" t="n">
        <v>2431.75</v>
      </c>
      <c r="M294" s="4" t="n">
        <v>0.3231</v>
      </c>
    </row>
    <row r="295">
      <c r="A295" s="2" t="inlineStr">
        <is>
          <t>SKL-00294</t>
        </is>
      </c>
      <c r="B295" s="2" t="inlineStr">
        <is>
          <t>SIP-0083</t>
        </is>
      </c>
      <c r="C295" s="2" t="inlineStr">
        <is>
          <t>FLAIZO-012</t>
        </is>
      </c>
      <c r="D295" s="5" t="n">
        <v>17</v>
      </c>
      <c r="E295" s="2" t="inlineStr">
        <is>
          <t>Set</t>
        </is>
      </c>
      <c r="F295" s="3" t="n">
        <v>46.28</v>
      </c>
      <c r="G295" s="4" t="n">
        <v>0.0819</v>
      </c>
      <c r="H295" s="3" t="n">
        <v>42.49</v>
      </c>
      <c r="I295" s="3" t="n">
        <v>722.33</v>
      </c>
      <c r="J295" s="3" t="n">
        <v>30.33</v>
      </c>
      <c r="K295" s="3" t="n">
        <v>515.61</v>
      </c>
      <c r="L295" s="3" t="n">
        <v>206.72</v>
      </c>
      <c r="M295" s="4" t="n">
        <v>0.2862</v>
      </c>
    </row>
    <row r="296">
      <c r="A296" s="2" t="inlineStr">
        <is>
          <t>SKL-00295</t>
        </is>
      </c>
      <c r="B296" s="2" t="inlineStr">
        <is>
          <t>SIP-0083</t>
        </is>
      </c>
      <c r="C296" s="2" t="inlineStr">
        <is>
          <t>FLAIZO-007</t>
        </is>
      </c>
      <c r="D296" s="5" t="n">
        <v>79</v>
      </c>
      <c r="E296" s="2" t="inlineStr">
        <is>
          <t>Set</t>
        </is>
      </c>
      <c r="F296" s="3" t="n">
        <v>127.78</v>
      </c>
      <c r="G296" s="4" t="n">
        <v>0.0381</v>
      </c>
      <c r="H296" s="3" t="n">
        <v>122.91</v>
      </c>
      <c r="I296" s="3" t="n">
        <v>9709.889999999999</v>
      </c>
      <c r="J296" s="3" t="n">
        <v>70.09</v>
      </c>
      <c r="K296" s="3" t="n">
        <v>5537.11</v>
      </c>
      <c r="L296" s="3" t="n">
        <v>4172.78</v>
      </c>
      <c r="M296" s="4" t="n">
        <v>0.4297</v>
      </c>
    </row>
    <row r="297">
      <c r="A297" s="2" t="inlineStr">
        <is>
          <t>SKL-00296</t>
        </is>
      </c>
      <c r="B297" s="2" t="inlineStr">
        <is>
          <t>SIP-0083</t>
        </is>
      </c>
      <c r="C297" s="2" t="inlineStr">
        <is>
          <t>KAR/-008</t>
        </is>
      </c>
      <c r="D297" s="5" t="n">
        <v>4</v>
      </c>
      <c r="E297" s="2" t="inlineStr">
        <is>
          <t>Adet</t>
        </is>
      </c>
      <c r="F297" s="3" t="n">
        <v>4740.86</v>
      </c>
      <c r="G297" s="4" t="n">
        <v>0.0606</v>
      </c>
      <c r="H297" s="3" t="n">
        <v>4453.56</v>
      </c>
      <c r="I297" s="3" t="n">
        <v>17814.24</v>
      </c>
      <c r="J297" s="3" t="n">
        <v>3361.51</v>
      </c>
      <c r="K297" s="3" t="n">
        <v>13446.04</v>
      </c>
      <c r="L297" s="3" t="n">
        <v>4368.2</v>
      </c>
      <c r="M297" s="4" t="n">
        <v>0.2452</v>
      </c>
    </row>
    <row r="298">
      <c r="A298" s="2" t="inlineStr">
        <is>
          <t>SKL-00297</t>
        </is>
      </c>
      <c r="B298" s="2" t="inlineStr">
        <is>
          <t>SIP-0084</t>
        </is>
      </c>
      <c r="C298" s="2" t="inlineStr">
        <is>
          <t>MEKSIZ-001</t>
        </is>
      </c>
      <c r="D298" s="5" t="n">
        <v>19</v>
      </c>
      <c r="E298" s="2" t="inlineStr">
        <is>
          <t>Adet</t>
        </is>
      </c>
      <c r="F298" s="3" t="n">
        <v>593.05</v>
      </c>
      <c r="G298" s="4" t="n">
        <v>0.1007</v>
      </c>
      <c r="H298" s="3" t="n">
        <v>533.33</v>
      </c>
      <c r="I298" s="3" t="n">
        <v>10133.27</v>
      </c>
      <c r="J298" s="3" t="n">
        <v>372.57</v>
      </c>
      <c r="K298" s="3" t="n">
        <v>7078.83</v>
      </c>
      <c r="L298" s="3" t="n">
        <v>3054.44</v>
      </c>
      <c r="M298" s="4" t="n">
        <v>0.3014</v>
      </c>
    </row>
    <row r="299">
      <c r="A299" s="2" t="inlineStr">
        <is>
          <t>SKL-00298</t>
        </is>
      </c>
      <c r="B299" s="2" t="inlineStr">
        <is>
          <t>SIP-0084</t>
        </is>
      </c>
      <c r="C299" s="2" t="inlineStr">
        <is>
          <t>ENDVAN-033</t>
        </is>
      </c>
      <c r="D299" s="5" t="n">
        <v>8</v>
      </c>
      <c r="E299" s="2" t="inlineStr">
        <is>
          <t>Adet</t>
        </is>
      </c>
      <c r="F299" s="3" t="n">
        <v>1761.33</v>
      </c>
      <c r="G299" s="4" t="n">
        <v>0.0512</v>
      </c>
      <c r="H299" s="3" t="n">
        <v>1671.15</v>
      </c>
      <c r="I299" s="3" t="n">
        <v>13369.2</v>
      </c>
      <c r="J299" s="3" t="n">
        <v>1125.6</v>
      </c>
      <c r="K299" s="3" t="n">
        <v>9004.799999999999</v>
      </c>
      <c r="L299" s="3" t="n">
        <v>4364.4</v>
      </c>
      <c r="M299" s="4" t="n">
        <v>0.3265</v>
      </c>
    </row>
    <row r="300">
      <c r="A300" s="2" t="inlineStr">
        <is>
          <t>SKL-00299</t>
        </is>
      </c>
      <c r="B300" s="2" t="inlineStr">
        <is>
          <t>SIP-0085</t>
        </is>
      </c>
      <c r="C300" s="2" t="inlineStr">
        <is>
          <t>YAREND-001</t>
        </is>
      </c>
      <c r="D300" s="5" t="n">
        <v>18</v>
      </c>
      <c r="E300" s="2" t="inlineStr">
        <is>
          <t>Adet</t>
        </is>
      </c>
      <c r="F300" s="3" t="n">
        <v>1593.95</v>
      </c>
      <c r="G300" s="4" t="n">
        <v>0.0639</v>
      </c>
      <c r="H300" s="3" t="n">
        <v>1492.1</v>
      </c>
      <c r="I300" s="3" t="n">
        <v>26857.8</v>
      </c>
      <c r="J300" s="3" t="n">
        <v>945.3099999999999</v>
      </c>
      <c r="K300" s="3" t="n">
        <v>17015.58</v>
      </c>
      <c r="L300" s="3" t="n">
        <v>9842.219999999999</v>
      </c>
      <c r="M300" s="4" t="n">
        <v>0.3665</v>
      </c>
    </row>
    <row r="301">
      <c r="A301" s="2" t="inlineStr">
        <is>
          <t>SKL-00300</t>
        </is>
      </c>
      <c r="B301" s="2" t="inlineStr">
        <is>
          <t>SIP-0085</t>
        </is>
      </c>
      <c r="C301" s="2" t="inlineStr">
        <is>
          <t>YAREND-015</t>
        </is>
      </c>
      <c r="D301" s="5" t="n">
        <v>9</v>
      </c>
      <c r="E301" s="2" t="inlineStr">
        <is>
          <t>Adet</t>
        </is>
      </c>
      <c r="F301" s="3" t="n">
        <v>158.87</v>
      </c>
      <c r="G301" s="4" t="n">
        <v>0.08069999999999999</v>
      </c>
      <c r="H301" s="3" t="n">
        <v>146.05</v>
      </c>
      <c r="I301" s="3" t="n">
        <v>1314.45</v>
      </c>
      <c r="J301" s="3" t="n">
        <v>114.22</v>
      </c>
      <c r="K301" s="3" t="n">
        <v>1027.98</v>
      </c>
      <c r="L301" s="3" t="n">
        <v>286.47</v>
      </c>
      <c r="M301" s="4" t="n">
        <v>0.2179</v>
      </c>
    </row>
    <row r="302">
      <c r="A302" s="2" t="inlineStr">
        <is>
          <t>SKL-00301</t>
        </is>
      </c>
      <c r="B302" s="2" t="inlineStr">
        <is>
          <t>SIP-0085</t>
        </is>
      </c>
      <c r="C302" s="2" t="inlineStr">
        <is>
          <t>YAREND-010</t>
        </is>
      </c>
      <c r="D302" s="5" t="n">
        <v>3</v>
      </c>
      <c r="E302" s="2" t="inlineStr">
        <is>
          <t>Adet</t>
        </is>
      </c>
      <c r="F302" s="3" t="n">
        <v>938.73</v>
      </c>
      <c r="G302" s="4" t="n">
        <v>0.09859999999999999</v>
      </c>
      <c r="H302" s="3" t="n">
        <v>846.17</v>
      </c>
      <c r="I302" s="3" t="n">
        <v>2538.51</v>
      </c>
      <c r="J302" s="3" t="n">
        <v>593.24</v>
      </c>
      <c r="K302" s="3" t="n">
        <v>1779.72</v>
      </c>
      <c r="L302" s="3" t="n">
        <v>758.79</v>
      </c>
      <c r="M302" s="4" t="n">
        <v>0.2989</v>
      </c>
    </row>
    <row r="303">
      <c r="A303" s="2" t="inlineStr">
        <is>
          <t>SKL-00302</t>
        </is>
      </c>
      <c r="B303" s="2" t="inlineStr">
        <is>
          <t>SIP-0085</t>
        </is>
      </c>
      <c r="C303" s="2" t="inlineStr">
        <is>
          <t>ENDVAN-033</t>
        </is>
      </c>
      <c r="D303" s="5" t="n">
        <v>4</v>
      </c>
      <c r="E303" s="2" t="inlineStr">
        <is>
          <t>Adet</t>
        </is>
      </c>
      <c r="F303" s="3" t="n">
        <v>1788.04</v>
      </c>
      <c r="G303" s="4" t="n">
        <v>0.091</v>
      </c>
      <c r="H303" s="3" t="n">
        <v>1625.33</v>
      </c>
      <c r="I303" s="3" t="n">
        <v>6501.32</v>
      </c>
      <c r="J303" s="3" t="n">
        <v>1125.6</v>
      </c>
      <c r="K303" s="3" t="n">
        <v>4502.4</v>
      </c>
      <c r="L303" s="3" t="n">
        <v>1998.92</v>
      </c>
      <c r="M303" s="4" t="n">
        <v>0.3075</v>
      </c>
    </row>
    <row r="304">
      <c r="A304" s="2" t="inlineStr">
        <is>
          <t>SKL-00303</t>
        </is>
      </c>
      <c r="B304" s="2" t="inlineStr">
        <is>
          <t>SIP-0086</t>
        </is>
      </c>
      <c r="C304" s="2" t="inlineStr">
        <is>
          <t>YAREND-013</t>
        </is>
      </c>
      <c r="D304" s="5" t="n">
        <v>8</v>
      </c>
      <c r="E304" s="2" t="inlineStr">
        <is>
          <t>Adet</t>
        </is>
      </c>
      <c r="F304" s="3" t="n">
        <v>573.86</v>
      </c>
      <c r="G304" s="4" t="n">
        <v>0.0539</v>
      </c>
      <c r="H304" s="3" t="n">
        <v>542.9299999999999</v>
      </c>
      <c r="I304" s="3" t="n">
        <v>4343.44</v>
      </c>
      <c r="J304" s="3" t="n">
        <v>387.77</v>
      </c>
      <c r="K304" s="3" t="n">
        <v>3102.16</v>
      </c>
      <c r="L304" s="3" t="n">
        <v>1241.28</v>
      </c>
      <c r="M304" s="4" t="n">
        <v>0.2858</v>
      </c>
    </row>
    <row r="305">
      <c r="A305" s="2" t="inlineStr">
        <is>
          <t>SKL-00304</t>
        </is>
      </c>
      <c r="B305" s="2" t="inlineStr">
        <is>
          <t>SIP-0086</t>
        </is>
      </c>
      <c r="C305" s="2" t="inlineStr">
        <is>
          <t>MEKSIZ-014</t>
        </is>
      </c>
      <c r="D305" s="5" t="n">
        <v>5</v>
      </c>
      <c r="E305" s="2" t="inlineStr">
        <is>
          <t>Adet</t>
        </is>
      </c>
      <c r="F305" s="3" t="n">
        <v>414.68</v>
      </c>
      <c r="G305" s="4" t="n">
        <v>0.0956</v>
      </c>
      <c r="H305" s="3" t="n">
        <v>375.04</v>
      </c>
      <c r="I305" s="3" t="n">
        <v>1875.2</v>
      </c>
      <c r="J305" s="3" t="n">
        <v>242.32</v>
      </c>
      <c r="K305" s="3" t="n">
        <v>1211.6</v>
      </c>
      <c r="L305" s="3" t="n">
        <v>663.6</v>
      </c>
      <c r="M305" s="4" t="n">
        <v>0.3539</v>
      </c>
    </row>
    <row r="306">
      <c r="A306" s="2" t="inlineStr">
        <is>
          <t>SKL-00305</t>
        </is>
      </c>
      <c r="B306" s="2" t="inlineStr">
        <is>
          <t>SIP-0086</t>
        </is>
      </c>
      <c r="C306" s="2" t="inlineStr">
        <is>
          <t>FLAIZO-005</t>
        </is>
      </c>
      <c r="D306" s="5" t="n">
        <v>67</v>
      </c>
      <c r="E306" s="2" t="inlineStr">
        <is>
          <t>Set</t>
        </is>
      </c>
      <c r="F306" s="3" t="n">
        <v>219.32</v>
      </c>
      <c r="G306" s="4" t="n">
        <v>0.009299999999999999</v>
      </c>
      <c r="H306" s="3" t="n">
        <v>217.28</v>
      </c>
      <c r="I306" s="3" t="n">
        <v>14557.76</v>
      </c>
      <c r="J306" s="3" t="n">
        <v>120.26</v>
      </c>
      <c r="K306" s="3" t="n">
        <v>8057.42</v>
      </c>
      <c r="L306" s="3" t="n">
        <v>6500.34</v>
      </c>
      <c r="M306" s="4" t="n">
        <v>0.4465</v>
      </c>
    </row>
    <row r="307">
      <c r="A307" s="2" t="inlineStr">
        <is>
          <t>SKL-00306</t>
        </is>
      </c>
      <c r="B307" s="2" t="inlineStr">
        <is>
          <t>SIP-0086</t>
        </is>
      </c>
      <c r="C307" s="2" t="inlineStr">
        <is>
          <t>KAR/-008</t>
        </is>
      </c>
      <c r="D307" s="5" t="n">
        <v>1</v>
      </c>
      <c r="E307" s="2" t="inlineStr">
        <is>
          <t>Adet</t>
        </is>
      </c>
      <c r="F307" s="3" t="n">
        <v>4325.75</v>
      </c>
      <c r="G307" s="4" t="n">
        <v>0.0374</v>
      </c>
      <c r="H307" s="3" t="n">
        <v>4163.97</v>
      </c>
      <c r="I307" s="3" t="n">
        <v>4163.97</v>
      </c>
      <c r="J307" s="3" t="n">
        <v>3361.51</v>
      </c>
      <c r="K307" s="3" t="n">
        <v>3361.51</v>
      </c>
      <c r="L307" s="3" t="n">
        <v>802.46</v>
      </c>
      <c r="M307" s="4" t="n">
        <v>0.1927</v>
      </c>
    </row>
    <row r="308">
      <c r="A308" s="2" t="inlineStr">
        <is>
          <t>SKL-00307</t>
        </is>
      </c>
      <c r="B308" s="2" t="inlineStr">
        <is>
          <t>SIP-0086</t>
        </is>
      </c>
      <c r="C308" s="2" t="inlineStr">
        <is>
          <t>ENDVAN-029</t>
        </is>
      </c>
      <c r="D308" s="5" t="n">
        <v>5</v>
      </c>
      <c r="E308" s="2" t="inlineStr">
        <is>
          <t>Adet</t>
        </is>
      </c>
      <c r="F308" s="3" t="n">
        <v>470.33</v>
      </c>
      <c r="G308" s="4" t="n">
        <v>0.0202</v>
      </c>
      <c r="H308" s="3" t="n">
        <v>460.83</v>
      </c>
      <c r="I308" s="3" t="n">
        <v>2304.15</v>
      </c>
      <c r="J308" s="3" t="n">
        <v>318.96</v>
      </c>
      <c r="K308" s="3" t="n">
        <v>1594.8</v>
      </c>
      <c r="L308" s="3" t="n">
        <v>709.35</v>
      </c>
      <c r="M308" s="4" t="n">
        <v>0.3079</v>
      </c>
    </row>
    <row r="309">
      <c r="A309" s="2" t="inlineStr">
        <is>
          <t>SKL-00308</t>
        </is>
      </c>
      <c r="B309" s="2" t="inlineStr">
        <is>
          <t>SIP-0086</t>
        </is>
      </c>
      <c r="C309" s="2" t="inlineStr">
        <is>
          <t>YAREND-001</t>
        </is>
      </c>
      <c r="D309" s="5" t="n">
        <v>17</v>
      </c>
      <c r="E309" s="2" t="inlineStr">
        <is>
          <t>Adet</t>
        </is>
      </c>
      <c r="F309" s="3" t="n">
        <v>1522.84</v>
      </c>
      <c r="G309" s="4" t="n">
        <v>0.0614</v>
      </c>
      <c r="H309" s="3" t="n">
        <v>1429.34</v>
      </c>
      <c r="I309" s="3" t="n">
        <v>24298.78</v>
      </c>
      <c r="J309" s="3" t="n">
        <v>945.3099999999999</v>
      </c>
      <c r="K309" s="3" t="n">
        <v>16070.27</v>
      </c>
      <c r="L309" s="3" t="n">
        <v>8228.51</v>
      </c>
      <c r="M309" s="4" t="n">
        <v>0.3386</v>
      </c>
    </row>
    <row r="310">
      <c r="A310" s="2" t="inlineStr">
        <is>
          <t>SKL-00309</t>
        </is>
      </c>
      <c r="B310" s="2" t="inlineStr">
        <is>
          <t>SIP-0086</t>
        </is>
      </c>
      <c r="C310" s="2" t="inlineStr">
        <is>
          <t>ENDVAN-034</t>
        </is>
      </c>
      <c r="D310" s="5" t="n">
        <v>25</v>
      </c>
      <c r="E310" s="2" t="inlineStr">
        <is>
          <t>Adet</t>
        </is>
      </c>
      <c r="F310" s="3" t="n">
        <v>829.5599999999999</v>
      </c>
      <c r="G310" s="4" t="n">
        <v>0.08210000000000001</v>
      </c>
      <c r="H310" s="3" t="n">
        <v>761.45</v>
      </c>
      <c r="I310" s="3" t="n">
        <v>19036.25</v>
      </c>
      <c r="J310" s="3" t="n">
        <v>595.41</v>
      </c>
      <c r="K310" s="3" t="n">
        <v>14885.25</v>
      </c>
      <c r="L310" s="3" t="n">
        <v>4151</v>
      </c>
      <c r="M310" s="4" t="n">
        <v>0.2181</v>
      </c>
    </row>
    <row r="311">
      <c r="A311" s="2" t="inlineStr">
        <is>
          <t>SKL-00310</t>
        </is>
      </c>
      <c r="B311" s="2" t="inlineStr">
        <is>
          <t>SIP-0087</t>
        </is>
      </c>
      <c r="C311" s="2" t="inlineStr">
        <is>
          <t>MEKSIZ-014</t>
        </is>
      </c>
      <c r="D311" s="5" t="n">
        <v>24</v>
      </c>
      <c r="E311" s="2" t="inlineStr">
        <is>
          <t>Adet</t>
        </is>
      </c>
      <c r="F311" s="3" t="n">
        <v>412.44</v>
      </c>
      <c r="G311" s="4" t="n">
        <v>0.08599999999999999</v>
      </c>
      <c r="H311" s="3" t="n">
        <v>376.97</v>
      </c>
      <c r="I311" s="3" t="n">
        <v>9047.280000000001</v>
      </c>
      <c r="J311" s="3" t="n">
        <v>242.32</v>
      </c>
      <c r="K311" s="3" t="n">
        <v>5815.68</v>
      </c>
      <c r="L311" s="3" t="n">
        <v>3231.6</v>
      </c>
      <c r="M311" s="4" t="n">
        <v>0.3572</v>
      </c>
    </row>
    <row r="312">
      <c r="A312" s="2" t="inlineStr">
        <is>
          <t>SKL-00311</t>
        </is>
      </c>
      <c r="B312" s="2" t="inlineStr">
        <is>
          <t>SIP-0087</t>
        </is>
      </c>
      <c r="C312" s="2" t="inlineStr">
        <is>
          <t>ENDVAN-018</t>
        </is>
      </c>
      <c r="D312" s="5" t="n">
        <v>6</v>
      </c>
      <c r="E312" s="2" t="inlineStr">
        <is>
          <t>Adet</t>
        </is>
      </c>
      <c r="F312" s="3" t="n">
        <v>1072.62</v>
      </c>
      <c r="G312" s="4" t="n">
        <v>0.0789</v>
      </c>
      <c r="H312" s="3" t="n">
        <v>987.99</v>
      </c>
      <c r="I312" s="3" t="n">
        <v>5927.94</v>
      </c>
      <c r="J312" s="3" t="n">
        <v>781.12</v>
      </c>
      <c r="K312" s="3" t="n">
        <v>4686.72</v>
      </c>
      <c r="L312" s="3" t="n">
        <v>1241.22</v>
      </c>
      <c r="M312" s="4" t="n">
        <v>0.2094</v>
      </c>
    </row>
    <row r="313">
      <c r="A313" s="2" t="inlineStr">
        <is>
          <t>SKL-00312</t>
        </is>
      </c>
      <c r="B313" s="2" t="inlineStr">
        <is>
          <t>SIP-0087</t>
        </is>
      </c>
      <c r="C313" s="2" t="inlineStr">
        <is>
          <t>ENDVAN-016</t>
        </is>
      </c>
      <c r="D313" s="5" t="n">
        <v>2</v>
      </c>
      <c r="E313" s="2" t="inlineStr">
        <is>
          <t>Adet</t>
        </is>
      </c>
      <c r="F313" s="3" t="n">
        <v>919.92</v>
      </c>
      <c r="G313" s="4" t="n">
        <v>0.0968</v>
      </c>
      <c r="H313" s="3" t="n">
        <v>830.87</v>
      </c>
      <c r="I313" s="3" t="n">
        <v>1661.74</v>
      </c>
      <c r="J313" s="3" t="n">
        <v>674.97</v>
      </c>
      <c r="K313" s="3" t="n">
        <v>1349.94</v>
      </c>
      <c r="L313" s="3" t="n">
        <v>311.8</v>
      </c>
      <c r="M313" s="4" t="n">
        <v>0.1876</v>
      </c>
    </row>
    <row r="314">
      <c r="A314" s="2" t="inlineStr">
        <is>
          <t>SKL-00313</t>
        </is>
      </c>
      <c r="B314" s="2" t="inlineStr">
        <is>
          <t>SIP-0087</t>
        </is>
      </c>
      <c r="C314" s="2" t="inlineStr">
        <is>
          <t>ENDVAN-002</t>
        </is>
      </c>
      <c r="D314" s="5" t="n">
        <v>5</v>
      </c>
      <c r="E314" s="2" t="inlineStr">
        <is>
          <t>Adet</t>
        </is>
      </c>
      <c r="F314" s="3" t="n">
        <v>268.55</v>
      </c>
      <c r="G314" s="4" t="n">
        <v>0.0561</v>
      </c>
      <c r="H314" s="3" t="n">
        <v>253.48</v>
      </c>
      <c r="I314" s="3" t="n">
        <v>1267.4</v>
      </c>
      <c r="J314" s="3" t="n">
        <v>186.74</v>
      </c>
      <c r="K314" s="3" t="n">
        <v>933.7</v>
      </c>
      <c r="L314" s="3" t="n">
        <v>333.7</v>
      </c>
      <c r="M314" s="4" t="n">
        <v>0.2633</v>
      </c>
    </row>
    <row r="315">
      <c r="A315" s="2" t="inlineStr">
        <is>
          <t>SKL-00314</t>
        </is>
      </c>
      <c r="B315" s="2" t="inlineStr">
        <is>
          <t>SIP-0087</t>
        </is>
      </c>
      <c r="C315" s="2" t="inlineStr">
        <is>
          <t>ENDVAN-006</t>
        </is>
      </c>
      <c r="D315" s="5" t="n">
        <v>3</v>
      </c>
      <c r="E315" s="2" t="inlineStr">
        <is>
          <t>Adet</t>
        </is>
      </c>
      <c r="F315" s="3" t="n">
        <v>1637.01</v>
      </c>
      <c r="G315" s="4" t="n">
        <v>0.0005999999999999999</v>
      </c>
      <c r="H315" s="3" t="n">
        <v>1636.03</v>
      </c>
      <c r="I315" s="3" t="n">
        <v>4908.09</v>
      </c>
      <c r="J315" s="3" t="n">
        <v>1160.99</v>
      </c>
      <c r="K315" s="3" t="n">
        <v>3482.97</v>
      </c>
      <c r="L315" s="3" t="n">
        <v>1425.12</v>
      </c>
      <c r="M315" s="4" t="n">
        <v>0.2904</v>
      </c>
    </row>
    <row r="316">
      <c r="A316" s="2" t="inlineStr">
        <is>
          <t>SKL-00315</t>
        </is>
      </c>
      <c r="B316" s="2" t="inlineStr">
        <is>
          <t>SIP-0087</t>
        </is>
      </c>
      <c r="C316" s="2" t="inlineStr">
        <is>
          <t>KAR/-004</t>
        </is>
      </c>
      <c r="D316" s="5" t="n">
        <v>2</v>
      </c>
      <c r="E316" s="2" t="inlineStr">
        <is>
          <t>Adet</t>
        </is>
      </c>
      <c r="F316" s="3" t="n">
        <v>4717.71</v>
      </c>
      <c r="G316" s="4" t="n">
        <v>0.0764</v>
      </c>
      <c r="H316" s="3" t="n">
        <v>4357.28</v>
      </c>
      <c r="I316" s="3" t="n">
        <v>8714.559999999999</v>
      </c>
      <c r="J316" s="3" t="n">
        <v>3492.79</v>
      </c>
      <c r="K316" s="3" t="n">
        <v>6985.58</v>
      </c>
      <c r="L316" s="3" t="n">
        <v>1728.98</v>
      </c>
      <c r="M316" s="4" t="n">
        <v>0.1984</v>
      </c>
    </row>
    <row r="317">
      <c r="A317" s="2" t="inlineStr">
        <is>
          <t>SKL-00316</t>
        </is>
      </c>
      <c r="B317" s="2" t="inlineStr">
        <is>
          <t>SIP-0087</t>
        </is>
      </c>
      <c r="C317" s="2" t="inlineStr">
        <is>
          <t>MEKSIZ-012</t>
        </is>
      </c>
      <c r="D317" s="5" t="n">
        <v>7</v>
      </c>
      <c r="E317" s="2" t="inlineStr">
        <is>
          <t>Adet</t>
        </is>
      </c>
      <c r="F317" s="3" t="n">
        <v>490.2</v>
      </c>
      <c r="G317" s="4" t="n">
        <v>0.0449</v>
      </c>
      <c r="H317" s="3" t="n">
        <v>468.19</v>
      </c>
      <c r="I317" s="3" t="n">
        <v>3277.33</v>
      </c>
      <c r="J317" s="3" t="n">
        <v>282.12</v>
      </c>
      <c r="K317" s="3" t="n">
        <v>1974.84</v>
      </c>
      <c r="L317" s="3" t="n">
        <v>1302.49</v>
      </c>
      <c r="M317" s="4" t="n">
        <v>0.3974</v>
      </c>
    </row>
    <row r="318">
      <c r="A318" s="2" t="inlineStr">
        <is>
          <t>SKL-00317</t>
        </is>
      </c>
      <c r="B318" s="2" t="inlineStr">
        <is>
          <t>SIP-0088</t>
        </is>
      </c>
      <c r="C318" s="2" t="inlineStr">
        <is>
          <t>ENDVAN-005</t>
        </is>
      </c>
      <c r="D318" s="5" t="n">
        <v>8</v>
      </c>
      <c r="E318" s="2" t="inlineStr">
        <is>
          <t>Adet</t>
        </is>
      </c>
      <c r="F318" s="3" t="n">
        <v>953.77</v>
      </c>
      <c r="G318" s="4" t="n">
        <v>0.0876</v>
      </c>
      <c r="H318" s="3" t="n">
        <v>870.22</v>
      </c>
      <c r="I318" s="3" t="n">
        <v>6961.76</v>
      </c>
      <c r="J318" s="3" t="n">
        <v>653.55</v>
      </c>
      <c r="K318" s="3" t="n">
        <v>5228.4</v>
      </c>
      <c r="L318" s="3" t="n">
        <v>1733.36</v>
      </c>
      <c r="M318" s="4" t="n">
        <v>0.249</v>
      </c>
    </row>
    <row r="319">
      <c r="A319" s="2" t="inlineStr">
        <is>
          <t>SKL-00318</t>
        </is>
      </c>
      <c r="B319" s="2" t="inlineStr">
        <is>
          <t>SIP-0088</t>
        </is>
      </c>
      <c r="C319" s="2" t="inlineStr">
        <is>
          <t>MEKSIZ-002</t>
        </is>
      </c>
      <c r="D319" s="5" t="n">
        <v>9</v>
      </c>
      <c r="E319" s="2" t="inlineStr">
        <is>
          <t>Adet</t>
        </is>
      </c>
      <c r="F319" s="3" t="n">
        <v>511.87</v>
      </c>
      <c r="G319" s="4" t="n">
        <v>0.0509</v>
      </c>
      <c r="H319" s="3" t="n">
        <v>485.82</v>
      </c>
      <c r="I319" s="3" t="n">
        <v>4372.38</v>
      </c>
      <c r="J319" s="3" t="n">
        <v>343.25</v>
      </c>
      <c r="K319" s="3" t="n">
        <v>3089.25</v>
      </c>
      <c r="L319" s="3" t="n">
        <v>1283.13</v>
      </c>
      <c r="M319" s="4" t="n">
        <v>0.2935</v>
      </c>
    </row>
    <row r="320">
      <c r="A320" s="2" t="inlineStr">
        <is>
          <t>SKL-00319</t>
        </is>
      </c>
      <c r="B320" s="2" t="inlineStr">
        <is>
          <t>SIP-0089</t>
        </is>
      </c>
      <c r="C320" s="2" t="inlineStr">
        <is>
          <t>MEKSIZ-005</t>
        </is>
      </c>
      <c r="D320" s="5" t="n">
        <v>22</v>
      </c>
      <c r="E320" s="2" t="inlineStr">
        <is>
          <t>Adet</t>
        </is>
      </c>
      <c r="F320" s="3" t="n">
        <v>697.04</v>
      </c>
      <c r="G320" s="4" t="n">
        <v>0.0384</v>
      </c>
      <c r="H320" s="3" t="n">
        <v>670.27</v>
      </c>
      <c r="I320" s="3" t="n">
        <v>14745.94</v>
      </c>
      <c r="J320" s="3" t="n">
        <v>370.26</v>
      </c>
      <c r="K320" s="3" t="n">
        <v>8145.72</v>
      </c>
      <c r="L320" s="3" t="n">
        <v>6600.22</v>
      </c>
      <c r="M320" s="4" t="n">
        <v>0.4476</v>
      </c>
    </row>
    <row r="321">
      <c r="A321" s="2" t="inlineStr">
        <is>
          <t>SKL-00320</t>
        </is>
      </c>
      <c r="B321" s="2" t="inlineStr">
        <is>
          <t>SIP-0090</t>
        </is>
      </c>
      <c r="C321" s="2" t="inlineStr">
        <is>
          <t>FLAIZO-007</t>
        </is>
      </c>
      <c r="D321" s="5" t="n">
        <v>82</v>
      </c>
      <c r="E321" s="2" t="inlineStr">
        <is>
          <t>Set</t>
        </is>
      </c>
      <c r="F321" s="3" t="n">
        <v>128.41</v>
      </c>
      <c r="G321" s="4" t="n">
        <v>0.1009</v>
      </c>
      <c r="H321" s="3" t="n">
        <v>115.45</v>
      </c>
      <c r="I321" s="3" t="n">
        <v>9466.9</v>
      </c>
      <c r="J321" s="3" t="n">
        <v>70.09</v>
      </c>
      <c r="K321" s="3" t="n">
        <v>5747.38</v>
      </c>
      <c r="L321" s="3" t="n">
        <v>3719.52</v>
      </c>
      <c r="M321" s="4" t="n">
        <v>0.3929</v>
      </c>
    </row>
    <row r="322">
      <c r="A322" s="2" t="inlineStr">
        <is>
          <t>SKL-00321</t>
        </is>
      </c>
      <c r="B322" s="2" t="inlineStr">
        <is>
          <t>SIP-0090</t>
        </is>
      </c>
      <c r="C322" s="2" t="inlineStr">
        <is>
          <t>ENDVAN-029</t>
        </is>
      </c>
      <c r="D322" s="5" t="n">
        <v>13</v>
      </c>
      <c r="E322" s="2" t="inlineStr">
        <is>
          <t>Adet</t>
        </is>
      </c>
      <c r="F322" s="3" t="n">
        <v>511.28</v>
      </c>
      <c r="G322" s="4" t="n">
        <v>0.0856</v>
      </c>
      <c r="H322" s="3" t="n">
        <v>467.51</v>
      </c>
      <c r="I322" s="3" t="n">
        <v>6077.63</v>
      </c>
      <c r="J322" s="3" t="n">
        <v>318.96</v>
      </c>
      <c r="K322" s="3" t="n">
        <v>4146.48</v>
      </c>
      <c r="L322" s="3" t="n">
        <v>1931.15</v>
      </c>
      <c r="M322" s="4" t="n">
        <v>0.3177</v>
      </c>
    </row>
    <row r="323">
      <c r="A323" s="2" t="inlineStr">
        <is>
          <t>SKL-00322</t>
        </is>
      </c>
      <c r="B323" s="2" t="inlineStr">
        <is>
          <t>SIP-0090</t>
        </is>
      </c>
      <c r="C323" s="2" t="inlineStr">
        <is>
          <t>ENDVAN-024</t>
        </is>
      </c>
      <c r="D323" s="5" t="n">
        <v>13</v>
      </c>
      <c r="E323" s="2" t="inlineStr">
        <is>
          <t>Adet</t>
        </is>
      </c>
      <c r="F323" s="3" t="n">
        <v>1834.39</v>
      </c>
      <c r="G323" s="4" t="n">
        <v>0.09619999999999999</v>
      </c>
      <c r="H323" s="3" t="n">
        <v>1657.92</v>
      </c>
      <c r="I323" s="3" t="n">
        <v>21552.96</v>
      </c>
      <c r="J323" s="3" t="n">
        <v>1156.64</v>
      </c>
      <c r="K323" s="3" t="n">
        <v>15036.32</v>
      </c>
      <c r="L323" s="3" t="n">
        <v>6516.64</v>
      </c>
      <c r="M323" s="4" t="n">
        <v>0.3024</v>
      </c>
    </row>
    <row r="324">
      <c r="A324" s="2" t="inlineStr">
        <is>
          <t>SKL-00323</t>
        </is>
      </c>
      <c r="B324" s="2" t="inlineStr">
        <is>
          <t>SIP-0090</t>
        </is>
      </c>
      <c r="C324" s="2" t="inlineStr">
        <is>
          <t>ENDVAN-007</t>
        </is>
      </c>
      <c r="D324" s="5" t="n">
        <v>4</v>
      </c>
      <c r="E324" s="2" t="inlineStr">
        <is>
          <t>Adet</t>
        </is>
      </c>
      <c r="F324" s="3" t="n">
        <v>197.25</v>
      </c>
      <c r="G324" s="4" t="n">
        <v>0.1088</v>
      </c>
      <c r="H324" s="3" t="n">
        <v>175.79</v>
      </c>
      <c r="I324" s="3" t="n">
        <v>703.16</v>
      </c>
      <c r="J324" s="3" t="n">
        <v>126.94</v>
      </c>
      <c r="K324" s="3" t="n">
        <v>507.76</v>
      </c>
      <c r="L324" s="3" t="n">
        <v>195.4</v>
      </c>
      <c r="M324" s="4" t="n">
        <v>0.2779</v>
      </c>
    </row>
    <row r="325">
      <c r="A325" s="2" t="inlineStr">
        <is>
          <t>SKL-00324</t>
        </is>
      </c>
      <c r="B325" s="2" t="inlineStr">
        <is>
          <t>SIP-0091</t>
        </is>
      </c>
      <c r="C325" s="2" t="inlineStr">
        <is>
          <t>FLAIZO-002</t>
        </is>
      </c>
      <c r="D325" s="5" t="n">
        <v>41</v>
      </c>
      <c r="E325" s="2" t="inlineStr">
        <is>
          <t>Set</t>
        </is>
      </c>
      <c r="F325" s="3" t="n">
        <v>98.42</v>
      </c>
      <c r="G325" s="4" t="n">
        <v>0.1037</v>
      </c>
      <c r="H325" s="3" t="n">
        <v>88.20999999999999</v>
      </c>
      <c r="I325" s="3" t="n">
        <v>3616.61</v>
      </c>
      <c r="J325" s="3" t="n">
        <v>54.73</v>
      </c>
      <c r="K325" s="3" t="n">
        <v>2243.93</v>
      </c>
      <c r="L325" s="3" t="n">
        <v>1372.68</v>
      </c>
      <c r="M325" s="4" t="n">
        <v>0.3795</v>
      </c>
    </row>
    <row r="326">
      <c r="A326" s="2" t="inlineStr">
        <is>
          <t>SKL-00325</t>
        </is>
      </c>
      <c r="B326" s="2" t="inlineStr">
        <is>
          <t>SIP-0091</t>
        </is>
      </c>
      <c r="C326" s="2" t="inlineStr">
        <is>
          <t>MEKSIZ-007</t>
        </is>
      </c>
      <c r="D326" s="5" t="n">
        <v>22</v>
      </c>
      <c r="E326" s="2" t="inlineStr">
        <is>
          <t>Adet</t>
        </is>
      </c>
      <c r="F326" s="3" t="n">
        <v>457.63</v>
      </c>
      <c r="G326" s="4" t="n">
        <v>0.0073</v>
      </c>
      <c r="H326" s="3" t="n">
        <v>454.29</v>
      </c>
      <c r="I326" s="3" t="n">
        <v>9994.379999999999</v>
      </c>
      <c r="J326" s="3" t="n">
        <v>301.85</v>
      </c>
      <c r="K326" s="3" t="n">
        <v>6640.7</v>
      </c>
      <c r="L326" s="3" t="n">
        <v>3353.68</v>
      </c>
      <c r="M326" s="4" t="n">
        <v>0.3356</v>
      </c>
    </row>
    <row r="327">
      <c r="A327" s="2" t="inlineStr">
        <is>
          <t>SKL-00326</t>
        </is>
      </c>
      <c r="B327" s="2" t="inlineStr">
        <is>
          <t>SIP-0092</t>
        </is>
      </c>
      <c r="C327" s="2" t="inlineStr">
        <is>
          <t>ENDVAN-031</t>
        </is>
      </c>
      <c r="D327" s="5" t="n">
        <v>7</v>
      </c>
      <c r="E327" s="2" t="inlineStr">
        <is>
          <t>Adet</t>
        </is>
      </c>
      <c r="F327" s="3" t="n">
        <v>343.66</v>
      </c>
      <c r="G327" s="4" t="n">
        <v>0.053</v>
      </c>
      <c r="H327" s="3" t="n">
        <v>325.45</v>
      </c>
      <c r="I327" s="3" t="n">
        <v>2278.15</v>
      </c>
      <c r="J327" s="3" t="n">
        <v>247.14</v>
      </c>
      <c r="K327" s="3" t="n">
        <v>1729.98</v>
      </c>
      <c r="L327" s="3" t="n">
        <v>548.17</v>
      </c>
      <c r="M327" s="4" t="n">
        <v>0.2406</v>
      </c>
    </row>
    <row r="328">
      <c r="A328" s="2" t="inlineStr">
        <is>
          <t>SKL-00327</t>
        </is>
      </c>
      <c r="B328" s="2" t="inlineStr">
        <is>
          <t>SIP-0092</t>
        </is>
      </c>
      <c r="C328" s="2" t="inlineStr">
        <is>
          <t>ENDVAN-009</t>
        </is>
      </c>
      <c r="D328" s="5" t="n">
        <v>7</v>
      </c>
      <c r="E328" s="2" t="inlineStr">
        <is>
          <t>Adet</t>
        </is>
      </c>
      <c r="F328" s="3" t="n">
        <v>545.24</v>
      </c>
      <c r="G328" s="4" t="n">
        <v>0.06519999999999999</v>
      </c>
      <c r="H328" s="3" t="n">
        <v>509.69</v>
      </c>
      <c r="I328" s="3" t="n">
        <v>3567.83</v>
      </c>
      <c r="J328" s="3" t="n">
        <v>411.64</v>
      </c>
      <c r="K328" s="3" t="n">
        <v>2881.48</v>
      </c>
      <c r="L328" s="3" t="n">
        <v>686.35</v>
      </c>
      <c r="M328" s="4" t="n">
        <v>0.1924</v>
      </c>
    </row>
    <row r="329">
      <c r="A329" s="2" t="inlineStr">
        <is>
          <t>SKL-00328</t>
        </is>
      </c>
      <c r="B329" s="2" t="inlineStr">
        <is>
          <t>SIP-0092</t>
        </is>
      </c>
      <c r="C329" s="2" t="inlineStr">
        <is>
          <t>ENDVAN-029</t>
        </is>
      </c>
      <c r="D329" s="5" t="n">
        <v>7</v>
      </c>
      <c r="E329" s="2" t="inlineStr">
        <is>
          <t>Adet</t>
        </is>
      </c>
      <c r="F329" s="3" t="n">
        <v>479.6</v>
      </c>
      <c r="G329" s="4" t="n">
        <v>0.08</v>
      </c>
      <c r="H329" s="3" t="n">
        <v>441.23</v>
      </c>
      <c r="I329" s="3" t="n">
        <v>3088.61</v>
      </c>
      <c r="J329" s="3" t="n">
        <v>318.96</v>
      </c>
      <c r="K329" s="3" t="n">
        <v>2232.72</v>
      </c>
      <c r="L329" s="3" t="n">
        <v>855.89</v>
      </c>
      <c r="M329" s="4" t="n">
        <v>0.2771</v>
      </c>
    </row>
    <row r="330">
      <c r="A330" s="2" t="inlineStr">
        <is>
          <t>SKL-00329</t>
        </is>
      </c>
      <c r="B330" s="2" t="inlineStr">
        <is>
          <t>SIP-0092</t>
        </is>
      </c>
      <c r="C330" s="2" t="inlineStr">
        <is>
          <t>ENDVAN-025</t>
        </is>
      </c>
      <c r="D330" s="5" t="n">
        <v>7</v>
      </c>
      <c r="E330" s="2" t="inlineStr">
        <is>
          <t>Adet</t>
        </is>
      </c>
      <c r="F330" s="3" t="n">
        <v>307.63</v>
      </c>
      <c r="G330" s="4" t="n">
        <v>0.0648</v>
      </c>
      <c r="H330" s="3" t="n">
        <v>287.7</v>
      </c>
      <c r="I330" s="3" t="n">
        <v>2013.9</v>
      </c>
      <c r="J330" s="3" t="n">
        <v>205.87</v>
      </c>
      <c r="K330" s="3" t="n">
        <v>1441.09</v>
      </c>
      <c r="L330" s="3" t="n">
        <v>572.8099999999999</v>
      </c>
      <c r="M330" s="4" t="n">
        <v>0.2844</v>
      </c>
    </row>
    <row r="331">
      <c r="A331" s="2" t="inlineStr">
        <is>
          <t>SKL-00330</t>
        </is>
      </c>
      <c r="B331" s="2" t="inlineStr">
        <is>
          <t>SIP-0093</t>
        </is>
      </c>
      <c r="C331" s="2" t="inlineStr">
        <is>
          <t>ENDVAN-017</t>
        </is>
      </c>
      <c r="D331" s="5" t="n">
        <v>24</v>
      </c>
      <c r="E331" s="2" t="inlineStr">
        <is>
          <t>Adet</t>
        </is>
      </c>
      <c r="F331" s="3" t="n">
        <v>771.36</v>
      </c>
      <c r="G331" s="4" t="n">
        <v>0.0569</v>
      </c>
      <c r="H331" s="3" t="n">
        <v>727.47</v>
      </c>
      <c r="I331" s="3" t="n">
        <v>17459.28</v>
      </c>
      <c r="J331" s="3" t="n">
        <v>518.3099999999999</v>
      </c>
      <c r="K331" s="3" t="n">
        <v>12439.44</v>
      </c>
      <c r="L331" s="3" t="n">
        <v>5019.84</v>
      </c>
      <c r="M331" s="4" t="n">
        <v>0.2875</v>
      </c>
    </row>
    <row r="332">
      <c r="A332" s="2" t="inlineStr">
        <is>
          <t>SKL-00331</t>
        </is>
      </c>
      <c r="B332" s="2" t="inlineStr">
        <is>
          <t>SIP-0093</t>
        </is>
      </c>
      <c r="C332" s="2" t="inlineStr">
        <is>
          <t>ENDVAN-027</t>
        </is>
      </c>
      <c r="D332" s="5" t="n">
        <v>10</v>
      </c>
      <c r="E332" s="2" t="inlineStr">
        <is>
          <t>Adet</t>
        </is>
      </c>
      <c r="F332" s="3" t="n">
        <v>1574.18</v>
      </c>
      <c r="G332" s="4" t="n">
        <v>0.0591</v>
      </c>
      <c r="H332" s="3" t="n">
        <v>1481.15</v>
      </c>
      <c r="I332" s="3" t="n">
        <v>14811.5</v>
      </c>
      <c r="J332" s="3" t="n">
        <v>1041.65</v>
      </c>
      <c r="K332" s="3" t="n">
        <v>10416.5</v>
      </c>
      <c r="L332" s="3" t="n">
        <v>4395</v>
      </c>
      <c r="M332" s="4" t="n">
        <v>0.2967</v>
      </c>
    </row>
    <row r="333">
      <c r="A333" s="2" t="inlineStr">
        <is>
          <t>SKL-00332</t>
        </is>
      </c>
      <c r="B333" s="2" t="inlineStr">
        <is>
          <t>SIP-0094</t>
        </is>
      </c>
      <c r="C333" s="2" t="inlineStr">
        <is>
          <t>ENDVAN-017</t>
        </is>
      </c>
      <c r="D333" s="5" t="n">
        <v>9</v>
      </c>
      <c r="E333" s="2" t="inlineStr">
        <is>
          <t>Adet</t>
        </is>
      </c>
      <c r="F333" s="3" t="n">
        <v>695.72</v>
      </c>
      <c r="G333" s="4" t="n">
        <v>0.0965</v>
      </c>
      <c r="H333" s="3" t="n">
        <v>628.58</v>
      </c>
      <c r="I333" s="3" t="n">
        <v>5657.22</v>
      </c>
      <c r="J333" s="3" t="n">
        <v>518.3099999999999</v>
      </c>
      <c r="K333" s="3" t="n">
        <v>4664.79</v>
      </c>
      <c r="L333" s="3" t="n">
        <v>992.4299999999999</v>
      </c>
      <c r="M333" s="4" t="n">
        <v>0.1754</v>
      </c>
    </row>
    <row r="334">
      <c r="A334" s="2" t="inlineStr">
        <is>
          <t>SKL-00333</t>
        </is>
      </c>
      <c r="B334" s="2" t="inlineStr">
        <is>
          <t>SIP-0094</t>
        </is>
      </c>
      <c r="C334" s="2" t="inlineStr">
        <is>
          <t>ENDVAN-030</t>
        </is>
      </c>
      <c r="D334" s="5" t="n">
        <v>4</v>
      </c>
      <c r="E334" s="2" t="inlineStr">
        <is>
          <t>Adet</t>
        </is>
      </c>
      <c r="F334" s="3" t="n">
        <v>436.06</v>
      </c>
      <c r="G334" s="4" t="n">
        <v>0.0674</v>
      </c>
      <c r="H334" s="3" t="n">
        <v>406.67</v>
      </c>
      <c r="I334" s="3" t="n">
        <v>1626.68</v>
      </c>
      <c r="J334" s="3" t="n">
        <v>303.77</v>
      </c>
      <c r="K334" s="3" t="n">
        <v>1215.08</v>
      </c>
      <c r="L334" s="3" t="n">
        <v>411.6</v>
      </c>
      <c r="M334" s="4" t="n">
        <v>0.253</v>
      </c>
    </row>
    <row r="335">
      <c r="A335" s="2" t="inlineStr">
        <is>
          <t>SKL-00334</t>
        </is>
      </c>
      <c r="B335" s="2" t="inlineStr">
        <is>
          <t>SIP-0094</t>
        </is>
      </c>
      <c r="C335" s="2" t="inlineStr">
        <is>
          <t>ENDVAN-014</t>
        </is>
      </c>
      <c r="D335" s="5" t="n">
        <v>17</v>
      </c>
      <c r="E335" s="2" t="inlineStr">
        <is>
          <t>Adet</t>
        </is>
      </c>
      <c r="F335" s="3" t="n">
        <v>1567.97</v>
      </c>
      <c r="G335" s="4" t="n">
        <v>0.0095</v>
      </c>
      <c r="H335" s="3" t="n">
        <v>1553.07</v>
      </c>
      <c r="I335" s="3" t="n">
        <v>26402.19</v>
      </c>
      <c r="J335" s="3" t="n">
        <v>1025.06</v>
      </c>
      <c r="K335" s="3" t="n">
        <v>17426.02</v>
      </c>
      <c r="L335" s="3" t="n">
        <v>8976.17</v>
      </c>
      <c r="M335" s="4" t="n">
        <v>0.34</v>
      </c>
    </row>
    <row r="336">
      <c r="A336" s="2" t="inlineStr">
        <is>
          <t>SKL-00335</t>
        </is>
      </c>
      <c r="B336" s="2" t="inlineStr">
        <is>
          <t>SIP-0094</t>
        </is>
      </c>
      <c r="C336" s="2" t="inlineStr">
        <is>
          <t>MEKSIZ-013</t>
        </is>
      </c>
      <c r="D336" s="5" t="n">
        <v>22</v>
      </c>
      <c r="E336" s="2" t="inlineStr">
        <is>
          <t>Adet</t>
        </is>
      </c>
      <c r="F336" s="3" t="n">
        <v>70.09999999999999</v>
      </c>
      <c r="G336" s="4" t="n">
        <v>0.1053</v>
      </c>
      <c r="H336" s="3" t="n">
        <v>62.72</v>
      </c>
      <c r="I336" s="3" t="n">
        <v>1379.84</v>
      </c>
      <c r="J336" s="3" t="n">
        <v>45.62</v>
      </c>
      <c r="K336" s="3" t="n">
        <v>1003.64</v>
      </c>
      <c r="L336" s="3" t="n">
        <v>376.2</v>
      </c>
      <c r="M336" s="4" t="n">
        <v>0.2726</v>
      </c>
    </row>
    <row r="337">
      <c r="A337" s="2" t="inlineStr">
        <is>
          <t>SKL-00336</t>
        </is>
      </c>
      <c r="B337" s="2" t="inlineStr">
        <is>
          <t>SIP-0094</t>
        </is>
      </c>
      <c r="C337" s="2" t="inlineStr">
        <is>
          <t>YAREND-004</t>
        </is>
      </c>
      <c r="D337" s="5" t="n">
        <v>13</v>
      </c>
      <c r="E337" s="2" t="inlineStr">
        <is>
          <t>Adet</t>
        </is>
      </c>
      <c r="F337" s="3" t="n">
        <v>1130.01</v>
      </c>
      <c r="G337" s="4" t="n">
        <v>0.0257</v>
      </c>
      <c r="H337" s="3" t="n">
        <v>1100.97</v>
      </c>
      <c r="I337" s="3" t="n">
        <v>14312.61</v>
      </c>
      <c r="J337" s="3" t="n">
        <v>774.26</v>
      </c>
      <c r="K337" s="3" t="n">
        <v>10065.38</v>
      </c>
      <c r="L337" s="3" t="n">
        <v>4247.23</v>
      </c>
      <c r="M337" s="4" t="n">
        <v>0.2967</v>
      </c>
    </row>
    <row r="338">
      <c r="A338" s="2" t="inlineStr">
        <is>
          <t>SKL-00337</t>
        </is>
      </c>
      <c r="B338" s="2" t="inlineStr">
        <is>
          <t>SIP-0095</t>
        </is>
      </c>
      <c r="C338" s="2" t="inlineStr">
        <is>
          <t>ENDVAN-024</t>
        </is>
      </c>
      <c r="D338" s="5" t="n">
        <v>22</v>
      </c>
      <c r="E338" s="2" t="inlineStr">
        <is>
          <t>Adet</t>
        </is>
      </c>
      <c r="F338" s="3" t="n">
        <v>1654.95</v>
      </c>
      <c r="G338" s="4" t="n">
        <v>0.1003</v>
      </c>
      <c r="H338" s="3" t="n">
        <v>1488.96</v>
      </c>
      <c r="I338" s="3" t="n">
        <v>32757.12</v>
      </c>
      <c r="J338" s="3" t="n">
        <v>1156.64</v>
      </c>
      <c r="K338" s="3" t="n">
        <v>25446.08</v>
      </c>
      <c r="L338" s="3" t="n">
        <v>7311.04</v>
      </c>
      <c r="M338" s="4" t="n">
        <v>0.2232</v>
      </c>
    </row>
    <row r="339">
      <c r="A339" s="2" t="inlineStr">
        <is>
          <t>SKL-00338</t>
        </is>
      </c>
      <c r="B339" s="2" t="inlineStr">
        <is>
          <t>SIP-0095</t>
        </is>
      </c>
      <c r="C339" s="2" t="inlineStr">
        <is>
          <t>MEKSIZ-004</t>
        </is>
      </c>
      <c r="D339" s="5" t="n">
        <v>11</v>
      </c>
      <c r="E339" s="2" t="inlineStr">
        <is>
          <t>Adet</t>
        </is>
      </c>
      <c r="F339" s="3" t="n">
        <v>256.24</v>
      </c>
      <c r="G339" s="4" t="n">
        <v>0.007900000000000001</v>
      </c>
      <c r="H339" s="3" t="n">
        <v>254.22</v>
      </c>
      <c r="I339" s="3" t="n">
        <v>2796.42</v>
      </c>
      <c r="J339" s="3" t="n">
        <v>164.52</v>
      </c>
      <c r="K339" s="3" t="n">
        <v>1809.72</v>
      </c>
      <c r="L339" s="3" t="n">
        <v>986.7</v>
      </c>
      <c r="M339" s="4" t="n">
        <v>0.3528</v>
      </c>
    </row>
    <row r="340">
      <c r="A340" s="2" t="inlineStr">
        <is>
          <t>SKL-00339</t>
        </is>
      </c>
      <c r="B340" s="2" t="inlineStr">
        <is>
          <t>SIP-0095</t>
        </is>
      </c>
      <c r="C340" s="2" t="inlineStr">
        <is>
          <t>MEKSIZ-003</t>
        </is>
      </c>
      <c r="D340" s="5" t="n">
        <v>20</v>
      </c>
      <c r="E340" s="2" t="inlineStr">
        <is>
          <t>Adet</t>
        </is>
      </c>
      <c r="F340" s="3" t="n">
        <v>497.82</v>
      </c>
      <c r="G340" s="4" t="n">
        <v>0.07729999999999999</v>
      </c>
      <c r="H340" s="3" t="n">
        <v>459.34</v>
      </c>
      <c r="I340" s="3" t="n">
        <v>9186.799999999999</v>
      </c>
      <c r="J340" s="3" t="n">
        <v>341.68</v>
      </c>
      <c r="K340" s="3" t="n">
        <v>6833.6</v>
      </c>
      <c r="L340" s="3" t="n">
        <v>2353.2</v>
      </c>
      <c r="M340" s="4" t="n">
        <v>0.2562</v>
      </c>
    </row>
    <row r="341">
      <c r="A341" s="2" t="inlineStr">
        <is>
          <t>SKL-00340</t>
        </is>
      </c>
      <c r="B341" s="2" t="inlineStr">
        <is>
          <t>SIP-0095</t>
        </is>
      </c>
      <c r="C341" s="2" t="inlineStr">
        <is>
          <t>ENDVAN-031</t>
        </is>
      </c>
      <c r="D341" s="5" t="n">
        <v>4</v>
      </c>
      <c r="E341" s="2" t="inlineStr">
        <is>
          <t>Adet</t>
        </is>
      </c>
      <c r="F341" s="3" t="n">
        <v>320.23</v>
      </c>
      <c r="G341" s="4" t="n">
        <v>0.06469999999999999</v>
      </c>
      <c r="H341" s="3" t="n">
        <v>299.51</v>
      </c>
      <c r="I341" s="3" t="n">
        <v>1198.04</v>
      </c>
      <c r="J341" s="3" t="n">
        <v>247.14</v>
      </c>
      <c r="K341" s="3" t="n">
        <v>988.5599999999999</v>
      </c>
      <c r="L341" s="3" t="n">
        <v>209.48</v>
      </c>
      <c r="M341" s="4" t="n">
        <v>0.1749</v>
      </c>
    </row>
    <row r="342">
      <c r="A342" s="2" t="inlineStr">
        <is>
          <t>SKL-00341</t>
        </is>
      </c>
      <c r="B342" s="2" t="inlineStr">
        <is>
          <t>SIP-0096</t>
        </is>
      </c>
      <c r="C342" s="2" t="inlineStr">
        <is>
          <t>ENDVAN-001</t>
        </is>
      </c>
      <c r="D342" s="5" t="n">
        <v>11</v>
      </c>
      <c r="E342" s="2" t="inlineStr">
        <is>
          <t>Adet</t>
        </is>
      </c>
      <c r="F342" s="3" t="n">
        <v>270.49</v>
      </c>
      <c r="G342" s="4" t="n">
        <v>0.0921</v>
      </c>
      <c r="H342" s="3" t="n">
        <v>245.58</v>
      </c>
      <c r="I342" s="3" t="n">
        <v>2701.38</v>
      </c>
      <c r="J342" s="3" t="n">
        <v>192.02</v>
      </c>
      <c r="K342" s="3" t="n">
        <v>2112.22</v>
      </c>
      <c r="L342" s="3" t="n">
        <v>589.16</v>
      </c>
      <c r="M342" s="4" t="n">
        <v>0.2181</v>
      </c>
    </row>
    <row r="343">
      <c r="A343" s="2" t="inlineStr">
        <is>
          <t>SKL-00342</t>
        </is>
      </c>
      <c r="B343" s="2" t="inlineStr">
        <is>
          <t>SIP-0096</t>
        </is>
      </c>
      <c r="C343" s="2" t="inlineStr">
        <is>
          <t>ENDVAN-013</t>
        </is>
      </c>
      <c r="D343" s="5" t="n">
        <v>20</v>
      </c>
      <c r="E343" s="2" t="inlineStr">
        <is>
          <t>Adet</t>
        </is>
      </c>
      <c r="F343" s="3" t="n">
        <v>1664.52</v>
      </c>
      <c r="G343" s="4" t="n">
        <v>0.0136</v>
      </c>
      <c r="H343" s="3" t="n">
        <v>1641.88</v>
      </c>
      <c r="I343" s="3" t="n">
        <v>32837.6</v>
      </c>
      <c r="J343" s="3" t="n">
        <v>1133.86</v>
      </c>
      <c r="K343" s="3" t="n">
        <v>22677.2</v>
      </c>
      <c r="L343" s="3" t="n">
        <v>10160.4</v>
      </c>
      <c r="M343" s="4" t="n">
        <v>0.3094</v>
      </c>
    </row>
    <row r="344">
      <c r="A344" s="2" t="inlineStr">
        <is>
          <t>SKL-00343</t>
        </is>
      </c>
      <c r="B344" s="2" t="inlineStr">
        <is>
          <t>SIP-0096</t>
        </is>
      </c>
      <c r="C344" s="2" t="inlineStr">
        <is>
          <t>FLAIZO-008</t>
        </is>
      </c>
      <c r="D344" s="5" t="n">
        <v>26</v>
      </c>
      <c r="E344" s="2" t="inlineStr">
        <is>
          <t>Set</t>
        </is>
      </c>
      <c r="F344" s="3" t="n">
        <v>139.83</v>
      </c>
      <c r="G344" s="4" t="n">
        <v>0.0359</v>
      </c>
      <c r="H344" s="3" t="n">
        <v>134.81</v>
      </c>
      <c r="I344" s="3" t="n">
        <v>3505.06</v>
      </c>
      <c r="J344" s="3" t="n">
        <v>78.08</v>
      </c>
      <c r="K344" s="3" t="n">
        <v>2030.08</v>
      </c>
      <c r="L344" s="3" t="n">
        <v>1474.98</v>
      </c>
      <c r="M344" s="4" t="n">
        <v>0.4208</v>
      </c>
    </row>
    <row r="345">
      <c r="A345" s="2" t="inlineStr">
        <is>
          <t>SKL-00344</t>
        </is>
      </c>
      <c r="B345" s="2" t="inlineStr">
        <is>
          <t>SIP-0096</t>
        </is>
      </c>
      <c r="C345" s="2" t="inlineStr">
        <is>
          <t>ENDVAN-024</t>
        </is>
      </c>
      <c r="D345" s="5" t="n">
        <v>21</v>
      </c>
      <c r="E345" s="2" t="inlineStr">
        <is>
          <t>Adet</t>
        </is>
      </c>
      <c r="F345" s="3" t="n">
        <v>1654.68</v>
      </c>
      <c r="G345" s="4" t="n">
        <v>0.0298</v>
      </c>
      <c r="H345" s="3" t="n">
        <v>1605.37</v>
      </c>
      <c r="I345" s="3" t="n">
        <v>33712.77</v>
      </c>
      <c r="J345" s="3" t="n">
        <v>1156.64</v>
      </c>
      <c r="K345" s="3" t="n">
        <v>24289.44</v>
      </c>
      <c r="L345" s="3" t="n">
        <v>9423.33</v>
      </c>
      <c r="M345" s="4" t="n">
        <v>0.2795</v>
      </c>
    </row>
    <row r="346">
      <c r="A346" s="2" t="inlineStr">
        <is>
          <t>SKL-00345</t>
        </is>
      </c>
      <c r="B346" s="2" t="inlineStr">
        <is>
          <t>SIP-0097</t>
        </is>
      </c>
      <c r="C346" s="2" t="inlineStr">
        <is>
          <t>ENDVAN-002</t>
        </is>
      </c>
      <c r="D346" s="5" t="n">
        <v>21</v>
      </c>
      <c r="E346" s="2" t="inlineStr">
        <is>
          <t>Adet</t>
        </is>
      </c>
      <c r="F346" s="3" t="n">
        <v>260.33</v>
      </c>
      <c r="G346" s="4" t="n">
        <v>0.0345</v>
      </c>
      <c r="H346" s="3" t="n">
        <v>251.35</v>
      </c>
      <c r="I346" s="3" t="n">
        <v>5278.35</v>
      </c>
      <c r="J346" s="3" t="n">
        <v>186.74</v>
      </c>
      <c r="K346" s="3" t="n">
        <v>3921.54</v>
      </c>
      <c r="L346" s="3" t="n">
        <v>1356.81</v>
      </c>
      <c r="M346" s="4" t="n">
        <v>0.2571</v>
      </c>
    </row>
    <row r="347">
      <c r="A347" s="2" t="inlineStr">
        <is>
          <t>SKL-00346</t>
        </is>
      </c>
      <c r="B347" s="2" t="inlineStr">
        <is>
          <t>SIP-0097</t>
        </is>
      </c>
      <c r="C347" s="2" t="inlineStr">
        <is>
          <t>YAREND-009</t>
        </is>
      </c>
      <c r="D347" s="5" t="n">
        <v>1</v>
      </c>
      <c r="E347" s="2" t="inlineStr">
        <is>
          <t>Adet</t>
        </is>
      </c>
      <c r="F347" s="3" t="n">
        <v>1188.3</v>
      </c>
      <c r="G347" s="4" t="n">
        <v>0.0248</v>
      </c>
      <c r="H347" s="3" t="n">
        <v>1158.83</v>
      </c>
      <c r="I347" s="3" t="n">
        <v>1158.83</v>
      </c>
      <c r="J347" s="3" t="n">
        <v>873.73</v>
      </c>
      <c r="K347" s="3" t="n">
        <v>873.73</v>
      </c>
      <c r="L347" s="3" t="n">
        <v>285.1</v>
      </c>
      <c r="M347" s="4" t="n">
        <v>0.246</v>
      </c>
    </row>
    <row r="348">
      <c r="A348" s="2" t="inlineStr">
        <is>
          <t>SKL-00347</t>
        </is>
      </c>
      <c r="B348" s="2" t="inlineStr">
        <is>
          <t>SIP-0098</t>
        </is>
      </c>
      <c r="C348" s="2" t="inlineStr">
        <is>
          <t>ENDVAN-011</t>
        </is>
      </c>
      <c r="D348" s="5" t="n">
        <v>15</v>
      </c>
      <c r="E348" s="2" t="inlineStr">
        <is>
          <t>Adet</t>
        </is>
      </c>
      <c r="F348" s="3" t="n">
        <v>999.58</v>
      </c>
      <c r="G348" s="4" t="n">
        <v>0.0067</v>
      </c>
      <c r="H348" s="3" t="n">
        <v>992.88</v>
      </c>
      <c r="I348" s="3" t="n">
        <v>14893.2</v>
      </c>
      <c r="J348" s="3" t="n">
        <v>615.55</v>
      </c>
      <c r="K348" s="3" t="n">
        <v>9233.25</v>
      </c>
      <c r="L348" s="3" t="n">
        <v>5659.95</v>
      </c>
      <c r="M348" s="4" t="n">
        <v>0.38</v>
      </c>
    </row>
    <row r="349">
      <c r="A349" s="2" t="inlineStr">
        <is>
          <t>SKL-00348</t>
        </is>
      </c>
      <c r="B349" s="2" t="inlineStr">
        <is>
          <t>SIP-0098</t>
        </is>
      </c>
      <c r="C349" s="2" t="inlineStr">
        <is>
          <t>MEKSIZ-009</t>
        </is>
      </c>
      <c r="D349" s="5" t="n">
        <v>12</v>
      </c>
      <c r="E349" s="2" t="inlineStr">
        <is>
          <t>Adet</t>
        </is>
      </c>
      <c r="F349" s="3" t="n">
        <v>819.13</v>
      </c>
      <c r="G349" s="4" t="n">
        <v>0.0106</v>
      </c>
      <c r="H349" s="3" t="n">
        <v>810.45</v>
      </c>
      <c r="I349" s="3" t="n">
        <v>9725.4</v>
      </c>
      <c r="J349" s="3" t="n">
        <v>458.31</v>
      </c>
      <c r="K349" s="3" t="n">
        <v>5499.72</v>
      </c>
      <c r="L349" s="3" t="n">
        <v>4225.68</v>
      </c>
      <c r="M349" s="4" t="n">
        <v>0.4345</v>
      </c>
    </row>
    <row r="350">
      <c r="A350" s="2" t="inlineStr">
        <is>
          <t>SKL-00349</t>
        </is>
      </c>
      <c r="B350" s="2" t="inlineStr">
        <is>
          <t>SIP-0098</t>
        </is>
      </c>
      <c r="C350" s="2" t="inlineStr">
        <is>
          <t>ENDVAN-001</t>
        </is>
      </c>
      <c r="D350" s="5" t="n">
        <v>8</v>
      </c>
      <c r="E350" s="2" t="inlineStr">
        <is>
          <t>Adet</t>
        </is>
      </c>
      <c r="F350" s="3" t="n">
        <v>286.25</v>
      </c>
      <c r="G350" s="4" t="n">
        <v>0.1098</v>
      </c>
      <c r="H350" s="3" t="n">
        <v>254.82</v>
      </c>
      <c r="I350" s="3" t="n">
        <v>2038.56</v>
      </c>
      <c r="J350" s="3" t="n">
        <v>192.02</v>
      </c>
      <c r="K350" s="3" t="n">
        <v>1536.16</v>
      </c>
      <c r="L350" s="3" t="n">
        <v>502.4</v>
      </c>
      <c r="M350" s="4" t="n">
        <v>0.2464</v>
      </c>
    </row>
    <row r="351">
      <c r="A351" s="2" t="inlineStr">
        <is>
          <t>SKL-00350</t>
        </is>
      </c>
      <c r="B351" s="2" t="inlineStr">
        <is>
          <t>SIP-0098</t>
        </is>
      </c>
      <c r="C351" s="2" t="inlineStr">
        <is>
          <t>MEKSIZ-011</t>
        </is>
      </c>
      <c r="D351" s="5" t="n">
        <v>11</v>
      </c>
      <c r="E351" s="2" t="inlineStr">
        <is>
          <t>Adet</t>
        </is>
      </c>
      <c r="F351" s="3" t="n">
        <v>470.17</v>
      </c>
      <c r="G351" s="4" t="n">
        <v>0.06279999999999999</v>
      </c>
      <c r="H351" s="3" t="n">
        <v>440.64</v>
      </c>
      <c r="I351" s="3" t="n">
        <v>4847.04</v>
      </c>
      <c r="J351" s="3" t="n">
        <v>258.54</v>
      </c>
      <c r="K351" s="3" t="n">
        <v>2843.94</v>
      </c>
      <c r="L351" s="3" t="n">
        <v>2003.1</v>
      </c>
      <c r="M351" s="4" t="n">
        <v>0.4133</v>
      </c>
    </row>
    <row r="352">
      <c r="A352" s="2" t="inlineStr">
        <is>
          <t>SKL-00351</t>
        </is>
      </c>
      <c r="B352" s="2" t="inlineStr">
        <is>
          <t>SIP-0099</t>
        </is>
      </c>
      <c r="C352" s="2" t="inlineStr">
        <is>
          <t>PROTAN-005</t>
        </is>
      </c>
      <c r="D352" s="5" t="n">
        <v>2</v>
      </c>
      <c r="E352" s="2" t="inlineStr">
        <is>
          <t>Adet</t>
        </is>
      </c>
      <c r="F352" s="3" t="n">
        <v>19829.05</v>
      </c>
      <c r="G352" s="4" t="n">
        <v>0.1052</v>
      </c>
      <c r="H352" s="3" t="n">
        <v>17743.03</v>
      </c>
      <c r="I352" s="3" t="n">
        <v>35486.06</v>
      </c>
      <c r="J352" s="3" t="n">
        <v>14932.43</v>
      </c>
      <c r="K352" s="3" t="n">
        <v>29864.86</v>
      </c>
      <c r="L352" s="3" t="n">
        <v>5621.2</v>
      </c>
      <c r="M352" s="4" t="n">
        <v>0.1584</v>
      </c>
    </row>
    <row r="353">
      <c r="A353" s="2" t="inlineStr">
        <is>
          <t>SKL-00352</t>
        </is>
      </c>
      <c r="B353" s="2" t="inlineStr">
        <is>
          <t>SIP-0099</t>
        </is>
      </c>
      <c r="C353" s="2" t="inlineStr">
        <is>
          <t>ENDVAN-004</t>
        </is>
      </c>
      <c r="D353" s="5" t="n">
        <v>3</v>
      </c>
      <c r="E353" s="2" t="inlineStr">
        <is>
          <t>Adet</t>
        </is>
      </c>
      <c r="F353" s="3" t="n">
        <v>284.52</v>
      </c>
      <c r="G353" s="4" t="n">
        <v>0.06950000000000001</v>
      </c>
      <c r="H353" s="3" t="n">
        <v>264.75</v>
      </c>
      <c r="I353" s="3" t="n">
        <v>794.25</v>
      </c>
      <c r="J353" s="3" t="n">
        <v>212.53</v>
      </c>
      <c r="K353" s="3" t="n">
        <v>637.59</v>
      </c>
      <c r="L353" s="3" t="n">
        <v>156.66</v>
      </c>
      <c r="M353" s="4" t="n">
        <v>0.1972</v>
      </c>
    </row>
    <row r="354">
      <c r="A354" s="2" t="inlineStr">
        <is>
          <t>SKL-00353</t>
        </is>
      </c>
      <c r="B354" s="2" t="inlineStr">
        <is>
          <t>SIP-0099</t>
        </is>
      </c>
      <c r="C354" s="2" t="inlineStr">
        <is>
          <t>ENDVAN-032</t>
        </is>
      </c>
      <c r="D354" s="5" t="n">
        <v>20</v>
      </c>
      <c r="E354" s="2" t="inlineStr">
        <is>
          <t>Adet</t>
        </is>
      </c>
      <c r="F354" s="3" t="n">
        <v>991.53</v>
      </c>
      <c r="G354" s="4" t="n">
        <v>0.0392</v>
      </c>
      <c r="H354" s="3" t="n">
        <v>952.66</v>
      </c>
      <c r="I354" s="3" t="n">
        <v>19053.2</v>
      </c>
      <c r="J354" s="3" t="n">
        <v>641.8099999999999</v>
      </c>
      <c r="K354" s="3" t="n">
        <v>12836.2</v>
      </c>
      <c r="L354" s="3" t="n">
        <v>6217</v>
      </c>
      <c r="M354" s="4" t="n">
        <v>0.3263</v>
      </c>
    </row>
    <row r="355">
      <c r="A355" s="2" t="inlineStr">
        <is>
          <t>SKL-00354</t>
        </is>
      </c>
      <c r="B355" s="2" t="inlineStr">
        <is>
          <t>SIP-0100</t>
        </is>
      </c>
      <c r="C355" s="2" t="inlineStr">
        <is>
          <t>ENDVAN-011</t>
        </is>
      </c>
      <c r="D355" s="5" t="n">
        <v>15</v>
      </c>
      <c r="E355" s="2" t="inlineStr">
        <is>
          <t>Adet</t>
        </is>
      </c>
      <c r="F355" s="3" t="n">
        <v>999.89</v>
      </c>
      <c r="G355" s="4" t="n">
        <v>0.0983</v>
      </c>
      <c r="H355" s="3" t="n">
        <v>901.6</v>
      </c>
      <c r="I355" s="3" t="n">
        <v>13524</v>
      </c>
      <c r="J355" s="3" t="n">
        <v>615.55</v>
      </c>
      <c r="K355" s="3" t="n">
        <v>9233.25</v>
      </c>
      <c r="L355" s="3" t="n">
        <v>4290.75</v>
      </c>
      <c r="M355" s="4" t="n">
        <v>0.3173</v>
      </c>
    </row>
    <row r="356">
      <c r="A356" s="2" t="inlineStr">
        <is>
          <t>SKL-00355</t>
        </is>
      </c>
      <c r="B356" s="2" t="inlineStr">
        <is>
          <t>SIP-0100</t>
        </is>
      </c>
      <c r="C356" s="2" t="inlineStr">
        <is>
          <t>ENDVAN-008</t>
        </is>
      </c>
      <c r="D356" s="5" t="n">
        <v>18</v>
      </c>
      <c r="E356" s="2" t="inlineStr">
        <is>
          <t>Adet</t>
        </is>
      </c>
      <c r="F356" s="3" t="n">
        <v>579.15</v>
      </c>
      <c r="G356" s="4" t="n">
        <v>0.0975</v>
      </c>
      <c r="H356" s="3" t="n">
        <v>522.6799999999999</v>
      </c>
      <c r="I356" s="3" t="n">
        <v>9408.24</v>
      </c>
      <c r="J356" s="3" t="n">
        <v>429.42</v>
      </c>
      <c r="K356" s="3" t="n">
        <v>7729.56</v>
      </c>
      <c r="L356" s="3" t="n">
        <v>1678.68</v>
      </c>
      <c r="M356" s="4" t="n">
        <v>0.1784</v>
      </c>
    </row>
    <row r="357">
      <c r="A357" s="2" t="inlineStr">
        <is>
          <t>SKL-00356</t>
        </is>
      </c>
      <c r="B357" s="2" t="inlineStr">
        <is>
          <t>SIP-0100</t>
        </is>
      </c>
      <c r="C357" s="2" t="inlineStr">
        <is>
          <t>PROTAN-008</t>
        </is>
      </c>
      <c r="D357" s="5" t="n">
        <v>1</v>
      </c>
      <c r="E357" s="2" t="inlineStr">
        <is>
          <t>Adet</t>
        </is>
      </c>
      <c r="F357" s="3" t="n">
        <v>20913.5</v>
      </c>
      <c r="G357" s="4" t="n">
        <v>0.1007</v>
      </c>
      <c r="H357" s="3" t="n">
        <v>18807.51</v>
      </c>
      <c r="I357" s="3" t="n">
        <v>18807.51</v>
      </c>
      <c r="J357" s="3" t="n">
        <v>17073.45</v>
      </c>
      <c r="K357" s="3" t="n">
        <v>17073.45</v>
      </c>
      <c r="L357" s="3" t="n">
        <v>1734.06</v>
      </c>
      <c r="M357" s="4" t="n">
        <v>0.0922</v>
      </c>
    </row>
    <row r="358">
      <c r="A358" s="2" t="inlineStr">
        <is>
          <t>SKL-00357</t>
        </is>
      </c>
      <c r="B358" s="2" t="inlineStr">
        <is>
          <t>SIP-0100</t>
        </is>
      </c>
      <c r="C358" s="2" t="inlineStr">
        <is>
          <t>ENDVAN-024</t>
        </is>
      </c>
      <c r="D358" s="5" t="n">
        <v>19</v>
      </c>
      <c r="E358" s="2" t="inlineStr">
        <is>
          <t>Adet</t>
        </is>
      </c>
      <c r="F358" s="3" t="n">
        <v>1741.85</v>
      </c>
      <c r="G358" s="4" t="n">
        <v>0.1026</v>
      </c>
      <c r="H358" s="3" t="n">
        <v>1563.14</v>
      </c>
      <c r="I358" s="3" t="n">
        <v>29699.66</v>
      </c>
      <c r="J358" s="3" t="n">
        <v>1156.64</v>
      </c>
      <c r="K358" s="3" t="n">
        <v>21976.16</v>
      </c>
      <c r="L358" s="3" t="n">
        <v>7723.5</v>
      </c>
      <c r="M358" s="4" t="n">
        <v>0.2601</v>
      </c>
    </row>
    <row r="359">
      <c r="A359" s="2" t="inlineStr">
        <is>
          <t>SKL-00358</t>
        </is>
      </c>
      <c r="B359" s="2" t="inlineStr">
        <is>
          <t>SIP-0101</t>
        </is>
      </c>
      <c r="C359" s="2" t="inlineStr">
        <is>
          <t>FLAIZO-004</t>
        </is>
      </c>
      <c r="D359" s="5" t="n">
        <v>76</v>
      </c>
      <c r="E359" s="2" t="inlineStr">
        <is>
          <t>Set</t>
        </is>
      </c>
      <c r="F359" s="3" t="n">
        <v>46.56</v>
      </c>
      <c r="G359" s="4" t="n">
        <v>0.0207</v>
      </c>
      <c r="H359" s="3" t="n">
        <v>45.6</v>
      </c>
      <c r="I359" s="3" t="n">
        <v>3465.6</v>
      </c>
      <c r="J359" s="3" t="n">
        <v>25.08</v>
      </c>
      <c r="K359" s="3" t="n">
        <v>1906.08</v>
      </c>
      <c r="L359" s="3" t="n">
        <v>1559.52</v>
      </c>
      <c r="M359" s="4" t="n">
        <v>0.45</v>
      </c>
    </row>
    <row r="360">
      <c r="A360" s="2" t="inlineStr">
        <is>
          <t>SKL-00359</t>
        </is>
      </c>
      <c r="B360" s="2" t="inlineStr">
        <is>
          <t>SIP-0101</t>
        </is>
      </c>
      <c r="C360" s="2" t="inlineStr">
        <is>
          <t>MEKSIZ-002</t>
        </is>
      </c>
      <c r="D360" s="5" t="n">
        <v>19</v>
      </c>
      <c r="E360" s="2" t="inlineStr">
        <is>
          <t>Adet</t>
        </is>
      </c>
      <c r="F360" s="3" t="n">
        <v>478.92</v>
      </c>
      <c r="G360" s="4" t="n">
        <v>0.09520000000000001</v>
      </c>
      <c r="H360" s="3" t="n">
        <v>433.33</v>
      </c>
      <c r="I360" s="3" t="n">
        <v>8233.27</v>
      </c>
      <c r="J360" s="3" t="n">
        <v>343.25</v>
      </c>
      <c r="K360" s="3" t="n">
        <v>6521.75</v>
      </c>
      <c r="L360" s="3" t="n">
        <v>1711.52</v>
      </c>
      <c r="M360" s="4" t="n">
        <v>0.2079</v>
      </c>
    </row>
    <row r="361">
      <c r="A361" s="2" t="inlineStr">
        <is>
          <t>SKL-00360</t>
        </is>
      </c>
      <c r="B361" s="2" t="inlineStr">
        <is>
          <t>SIP-0101</t>
        </is>
      </c>
      <c r="C361" s="2" t="inlineStr">
        <is>
          <t>YAREND-006</t>
        </is>
      </c>
      <c r="D361" s="5" t="n">
        <v>2</v>
      </c>
      <c r="E361" s="2" t="inlineStr">
        <is>
          <t>Adet</t>
        </is>
      </c>
      <c r="F361" s="3" t="n">
        <v>525.51</v>
      </c>
      <c r="G361" s="4" t="n">
        <v>0.0983</v>
      </c>
      <c r="H361" s="3" t="n">
        <v>473.85</v>
      </c>
      <c r="I361" s="3" t="n">
        <v>947.7</v>
      </c>
      <c r="J361" s="3" t="n">
        <v>363.57</v>
      </c>
      <c r="K361" s="3" t="n">
        <v>727.14</v>
      </c>
      <c r="L361" s="3" t="n">
        <v>220.56</v>
      </c>
      <c r="M361" s="4" t="n">
        <v>0.2327</v>
      </c>
    </row>
    <row r="362">
      <c r="A362" s="2" t="inlineStr">
        <is>
          <t>SKL-00361</t>
        </is>
      </c>
      <c r="B362" s="2" t="inlineStr">
        <is>
          <t>SIP-0102</t>
        </is>
      </c>
      <c r="C362" s="2" t="inlineStr">
        <is>
          <t>ENDVAN-024</t>
        </is>
      </c>
      <c r="D362" s="5" t="n">
        <v>18</v>
      </c>
      <c r="E362" s="2" t="inlineStr">
        <is>
          <t>Adet</t>
        </is>
      </c>
      <c r="F362" s="3" t="n">
        <v>1752.95</v>
      </c>
      <c r="G362" s="4" t="n">
        <v>0.0228</v>
      </c>
      <c r="H362" s="3" t="n">
        <v>1712.98</v>
      </c>
      <c r="I362" s="3" t="n">
        <v>30833.64</v>
      </c>
      <c r="J362" s="3" t="n">
        <v>1156.64</v>
      </c>
      <c r="K362" s="3" t="n">
        <v>20819.52</v>
      </c>
      <c r="L362" s="3" t="n">
        <v>10014.12</v>
      </c>
      <c r="M362" s="4" t="n">
        <v>0.3248</v>
      </c>
    </row>
    <row r="363">
      <c r="A363" s="2" t="inlineStr">
        <is>
          <t>SKL-00362</t>
        </is>
      </c>
      <c r="B363" s="2" t="inlineStr">
        <is>
          <t>SIP-0102</t>
        </is>
      </c>
      <c r="C363" s="2" t="inlineStr">
        <is>
          <t>MEKSIZ-014</t>
        </is>
      </c>
      <c r="D363" s="5" t="n">
        <v>12</v>
      </c>
      <c r="E363" s="2" t="inlineStr">
        <is>
          <t>Adet</t>
        </is>
      </c>
      <c r="F363" s="3" t="n">
        <v>404.93</v>
      </c>
      <c r="G363" s="4" t="n">
        <v>0.0371</v>
      </c>
      <c r="H363" s="3" t="n">
        <v>389.91</v>
      </c>
      <c r="I363" s="3" t="n">
        <v>4678.92</v>
      </c>
      <c r="J363" s="3" t="n">
        <v>242.32</v>
      </c>
      <c r="K363" s="3" t="n">
        <v>2907.84</v>
      </c>
      <c r="L363" s="3" t="n">
        <v>1771.08</v>
      </c>
      <c r="M363" s="4" t="n">
        <v>0.3785</v>
      </c>
    </row>
    <row r="364">
      <c r="A364" s="2" t="inlineStr">
        <is>
          <t>SKL-00363</t>
        </is>
      </c>
      <c r="B364" s="2" t="inlineStr">
        <is>
          <t>SIP-0103</t>
        </is>
      </c>
      <c r="C364" s="2" t="inlineStr">
        <is>
          <t>MEKSIZ-010</t>
        </is>
      </c>
      <c r="D364" s="5" t="n">
        <v>19</v>
      </c>
      <c r="E364" s="2" t="inlineStr">
        <is>
          <t>Adet</t>
        </is>
      </c>
      <c r="F364" s="3" t="n">
        <v>731.05</v>
      </c>
      <c r="G364" s="4" t="n">
        <v>0.1035</v>
      </c>
      <c r="H364" s="3" t="n">
        <v>655.39</v>
      </c>
      <c r="I364" s="3" t="n">
        <v>12452.41</v>
      </c>
      <c r="J364" s="3" t="n">
        <v>421.08</v>
      </c>
      <c r="K364" s="3" t="n">
        <v>8000.52</v>
      </c>
      <c r="L364" s="3" t="n">
        <v>4451.89</v>
      </c>
      <c r="M364" s="4" t="n">
        <v>0.3575</v>
      </c>
    </row>
    <row r="365">
      <c r="A365" s="2" t="inlineStr">
        <is>
          <t>SKL-00364</t>
        </is>
      </c>
      <c r="B365" s="2" t="inlineStr">
        <is>
          <t>SIP-0103</t>
        </is>
      </c>
      <c r="C365" s="2" t="inlineStr">
        <is>
          <t>ENDVAN-027</t>
        </is>
      </c>
      <c r="D365" s="5" t="n">
        <v>9</v>
      </c>
      <c r="E365" s="2" t="inlineStr">
        <is>
          <t>Adet</t>
        </is>
      </c>
      <c r="F365" s="3" t="n">
        <v>1628.96</v>
      </c>
      <c r="G365" s="4" t="n">
        <v>0.0332</v>
      </c>
      <c r="H365" s="3" t="n">
        <v>1574.88</v>
      </c>
      <c r="I365" s="3" t="n">
        <v>14173.92</v>
      </c>
      <c r="J365" s="3" t="n">
        <v>1041.65</v>
      </c>
      <c r="K365" s="3" t="n">
        <v>9374.85</v>
      </c>
      <c r="L365" s="3" t="n">
        <v>4799.07</v>
      </c>
      <c r="M365" s="4" t="n">
        <v>0.3386</v>
      </c>
    </row>
    <row r="366">
      <c r="A366" s="2" t="inlineStr">
        <is>
          <t>SKL-00365</t>
        </is>
      </c>
      <c r="B366" s="2" t="inlineStr">
        <is>
          <t>SIP-0103</t>
        </is>
      </c>
      <c r="C366" s="2" t="inlineStr">
        <is>
          <t>PROTAN-002</t>
        </is>
      </c>
      <c r="D366" s="5" t="n">
        <v>2</v>
      </c>
      <c r="E366" s="2" t="inlineStr">
        <is>
          <t>Adet</t>
        </is>
      </c>
      <c r="F366" s="3" t="n">
        <v>8641.82</v>
      </c>
      <c r="G366" s="4" t="n">
        <v>0.0964</v>
      </c>
      <c r="H366" s="3" t="n">
        <v>7808.75</v>
      </c>
      <c r="I366" s="3" t="n">
        <v>15617.5</v>
      </c>
      <c r="J366" s="3" t="n">
        <v>6532.53</v>
      </c>
      <c r="K366" s="3" t="n">
        <v>13065.06</v>
      </c>
      <c r="L366" s="3" t="n">
        <v>2552.44</v>
      </c>
      <c r="M366" s="4" t="n">
        <v>0.1634</v>
      </c>
    </row>
    <row r="367">
      <c r="A367" s="2" t="inlineStr">
        <is>
          <t>SKL-00366</t>
        </is>
      </c>
      <c r="B367" s="2" t="inlineStr">
        <is>
          <t>SIP-0103</t>
        </is>
      </c>
      <c r="C367" s="2" t="inlineStr">
        <is>
          <t>MEKSIZ-006</t>
        </is>
      </c>
      <c r="D367" s="5" t="n">
        <v>28</v>
      </c>
      <c r="E367" s="2" t="inlineStr">
        <is>
          <t>Adet</t>
        </is>
      </c>
      <c r="F367" s="3" t="n">
        <v>533.25</v>
      </c>
      <c r="G367" s="4" t="n">
        <v>0.1013</v>
      </c>
      <c r="H367" s="3" t="n">
        <v>479.23</v>
      </c>
      <c r="I367" s="3" t="n">
        <v>13418.44</v>
      </c>
      <c r="J367" s="3" t="n">
        <v>347.05</v>
      </c>
      <c r="K367" s="3" t="n">
        <v>9717.4</v>
      </c>
      <c r="L367" s="3" t="n">
        <v>3701.04</v>
      </c>
      <c r="M367" s="4" t="n">
        <v>0.2758</v>
      </c>
    </row>
    <row r="368">
      <c r="A368" s="2" t="inlineStr">
        <is>
          <t>SKL-00367</t>
        </is>
      </c>
      <c r="B368" s="2" t="inlineStr">
        <is>
          <t>SIP-0103</t>
        </is>
      </c>
      <c r="C368" s="2" t="inlineStr">
        <is>
          <t>MEKSIZ-011</t>
        </is>
      </c>
      <c r="D368" s="5" t="n">
        <v>25</v>
      </c>
      <c r="E368" s="2" t="inlineStr">
        <is>
          <t>Adet</t>
        </is>
      </c>
      <c r="F368" s="3" t="n">
        <v>448.24</v>
      </c>
      <c r="G368" s="4" t="n">
        <v>0.0502</v>
      </c>
      <c r="H368" s="3" t="n">
        <v>425.74</v>
      </c>
      <c r="I368" s="3" t="n">
        <v>10643.5</v>
      </c>
      <c r="J368" s="3" t="n">
        <v>258.54</v>
      </c>
      <c r="K368" s="3" t="n">
        <v>6463.5</v>
      </c>
      <c r="L368" s="3" t="n">
        <v>4180</v>
      </c>
      <c r="M368" s="4" t="n">
        <v>0.3927</v>
      </c>
    </row>
    <row r="369">
      <c r="A369" s="2" t="inlineStr">
        <is>
          <t>SKL-00368</t>
        </is>
      </c>
      <c r="B369" s="2" t="inlineStr">
        <is>
          <t>SIP-0103</t>
        </is>
      </c>
      <c r="C369" s="2" t="inlineStr">
        <is>
          <t>ENDVAN-012</t>
        </is>
      </c>
      <c r="D369" s="5" t="n">
        <v>15</v>
      </c>
      <c r="E369" s="2" t="inlineStr">
        <is>
          <t>Adet</t>
        </is>
      </c>
      <c r="F369" s="3" t="n">
        <v>363.48</v>
      </c>
      <c r="G369" s="4" t="n">
        <v>0.0533</v>
      </c>
      <c r="H369" s="3" t="n">
        <v>344.11</v>
      </c>
      <c r="I369" s="3" t="n">
        <v>5161.65</v>
      </c>
      <c r="J369" s="3" t="n">
        <v>281.71</v>
      </c>
      <c r="K369" s="3" t="n">
        <v>4225.65</v>
      </c>
      <c r="L369" s="3" t="n">
        <v>936</v>
      </c>
      <c r="M369" s="4" t="n">
        <v>0.1813</v>
      </c>
    </row>
    <row r="370">
      <c r="A370" s="2" t="inlineStr">
        <is>
          <t>SKL-00369</t>
        </is>
      </c>
      <c r="B370" s="2" t="inlineStr">
        <is>
          <t>SIP-0104</t>
        </is>
      </c>
      <c r="C370" s="2" t="inlineStr">
        <is>
          <t>ENDVAN-011</t>
        </is>
      </c>
      <c r="D370" s="5" t="n">
        <v>8</v>
      </c>
      <c r="E370" s="2" t="inlineStr">
        <is>
          <t>Adet</t>
        </is>
      </c>
      <c r="F370" s="3" t="n">
        <v>900.48</v>
      </c>
      <c r="G370" s="4" t="n">
        <v>0.1012</v>
      </c>
      <c r="H370" s="3" t="n">
        <v>809.35</v>
      </c>
      <c r="I370" s="3" t="n">
        <v>6474.8</v>
      </c>
      <c r="J370" s="3" t="n">
        <v>615.55</v>
      </c>
      <c r="K370" s="3" t="n">
        <v>4924.4</v>
      </c>
      <c r="L370" s="3" t="n">
        <v>1550.4</v>
      </c>
      <c r="M370" s="4" t="n">
        <v>0.2395</v>
      </c>
    </row>
    <row r="371">
      <c r="A371" s="2" t="inlineStr">
        <is>
          <t>SKL-00370</t>
        </is>
      </c>
      <c r="B371" s="2" t="inlineStr">
        <is>
          <t>SIP-0104</t>
        </is>
      </c>
      <c r="C371" s="2" t="inlineStr">
        <is>
          <t>FLAIZO-008</t>
        </is>
      </c>
      <c r="D371" s="5" t="n">
        <v>90</v>
      </c>
      <c r="E371" s="2" t="inlineStr">
        <is>
          <t>Set</t>
        </is>
      </c>
      <c r="F371" s="3" t="n">
        <v>138.76</v>
      </c>
      <c r="G371" s="4" t="n">
        <v>0.06759999999999999</v>
      </c>
      <c r="H371" s="3" t="n">
        <v>129.38</v>
      </c>
      <c r="I371" s="3" t="n">
        <v>11644.2</v>
      </c>
      <c r="J371" s="3" t="n">
        <v>78.08</v>
      </c>
      <c r="K371" s="3" t="n">
        <v>7027.2</v>
      </c>
      <c r="L371" s="3" t="n">
        <v>4617</v>
      </c>
      <c r="M371" s="4" t="n">
        <v>0.3965</v>
      </c>
    </row>
    <row r="372">
      <c r="A372" s="2" t="inlineStr">
        <is>
          <t>SKL-00371</t>
        </is>
      </c>
      <c r="B372" s="2" t="inlineStr">
        <is>
          <t>SIP-0105</t>
        </is>
      </c>
      <c r="C372" s="2" t="inlineStr">
        <is>
          <t>FLAIZO-008</t>
        </is>
      </c>
      <c r="D372" s="5" t="n">
        <v>61</v>
      </c>
      <c r="E372" s="2" t="inlineStr">
        <is>
          <t>Set</t>
        </is>
      </c>
      <c r="F372" s="3" t="n">
        <v>134.66</v>
      </c>
      <c r="G372" s="4" t="n">
        <v>0.0774</v>
      </c>
      <c r="H372" s="3" t="n">
        <v>124.24</v>
      </c>
      <c r="I372" s="3" t="n">
        <v>7578.64</v>
      </c>
      <c r="J372" s="3" t="n">
        <v>78.08</v>
      </c>
      <c r="K372" s="3" t="n">
        <v>4762.88</v>
      </c>
      <c r="L372" s="3" t="n">
        <v>2815.76</v>
      </c>
      <c r="M372" s="4" t="n">
        <v>0.3715</v>
      </c>
    </row>
    <row r="373">
      <c r="A373" s="2" t="inlineStr">
        <is>
          <t>SKL-00372</t>
        </is>
      </c>
      <c r="B373" s="2" t="inlineStr">
        <is>
          <t>SIP-0105</t>
        </is>
      </c>
      <c r="C373" s="2" t="inlineStr">
        <is>
          <t>MEKSIZ-004</t>
        </is>
      </c>
      <c r="D373" s="5" t="n">
        <v>22</v>
      </c>
      <c r="E373" s="2" t="inlineStr">
        <is>
          <t>Adet</t>
        </is>
      </c>
      <c r="F373" s="3" t="n">
        <v>256.03</v>
      </c>
      <c r="G373" s="4" t="n">
        <v>0.094</v>
      </c>
      <c r="H373" s="3" t="n">
        <v>231.96</v>
      </c>
      <c r="I373" s="3" t="n">
        <v>5103.12</v>
      </c>
      <c r="J373" s="3" t="n">
        <v>164.52</v>
      </c>
      <c r="K373" s="3" t="n">
        <v>3619.44</v>
      </c>
      <c r="L373" s="3" t="n">
        <v>1483.68</v>
      </c>
      <c r="M373" s="4" t="n">
        <v>0.2907</v>
      </c>
    </row>
    <row r="374">
      <c r="A374" s="2" t="inlineStr">
        <is>
          <t>SKL-00373</t>
        </is>
      </c>
      <c r="B374" s="2" t="inlineStr">
        <is>
          <t>SIP-0105</t>
        </is>
      </c>
      <c r="C374" s="2" t="inlineStr">
        <is>
          <t>KAR/-001</t>
        </is>
      </c>
      <c r="D374" s="5" t="n">
        <v>3</v>
      </c>
      <c r="E374" s="2" t="inlineStr">
        <is>
          <t>Adet</t>
        </is>
      </c>
      <c r="F374" s="3" t="n">
        <v>9522.889999999999</v>
      </c>
      <c r="G374" s="4" t="n">
        <v>0.0612</v>
      </c>
      <c r="H374" s="3" t="n">
        <v>8940.09</v>
      </c>
      <c r="I374" s="3" t="n">
        <v>26820.27</v>
      </c>
      <c r="J374" s="3" t="n">
        <v>7519.05</v>
      </c>
      <c r="K374" s="3" t="n">
        <v>22557.15</v>
      </c>
      <c r="L374" s="3" t="n">
        <v>4263.12</v>
      </c>
      <c r="M374" s="4" t="n">
        <v>0.159</v>
      </c>
    </row>
    <row r="375">
      <c r="A375" s="2" t="inlineStr">
        <is>
          <t>SKL-00374</t>
        </is>
      </c>
      <c r="B375" s="2" t="inlineStr">
        <is>
          <t>SIP-0105</t>
        </is>
      </c>
      <c r="C375" s="2" t="inlineStr">
        <is>
          <t>FLAIZO-014</t>
        </is>
      </c>
      <c r="D375" s="5" t="n">
        <v>39</v>
      </c>
      <c r="E375" s="2" t="inlineStr">
        <is>
          <t>Set</t>
        </is>
      </c>
      <c r="F375" s="3" t="n">
        <v>56.63</v>
      </c>
      <c r="G375" s="4" t="n">
        <v>0.06809999999999999</v>
      </c>
      <c r="H375" s="3" t="n">
        <v>52.77</v>
      </c>
      <c r="I375" s="3" t="n">
        <v>2058.03</v>
      </c>
      <c r="J375" s="3" t="n">
        <v>32.61</v>
      </c>
      <c r="K375" s="3" t="n">
        <v>1271.79</v>
      </c>
      <c r="L375" s="3" t="n">
        <v>786.24</v>
      </c>
      <c r="M375" s="4" t="n">
        <v>0.382</v>
      </c>
    </row>
    <row r="376">
      <c r="A376" s="2" t="inlineStr">
        <is>
          <t>SKL-00375</t>
        </is>
      </c>
      <c r="B376" s="2" t="inlineStr">
        <is>
          <t>SIP-0105</t>
        </is>
      </c>
      <c r="C376" s="2" t="inlineStr">
        <is>
          <t>MEKSIZ-014</t>
        </is>
      </c>
      <c r="D376" s="5" t="n">
        <v>15</v>
      </c>
      <c r="E376" s="2" t="inlineStr">
        <is>
          <t>Adet</t>
        </is>
      </c>
      <c r="F376" s="3" t="n">
        <v>403.43</v>
      </c>
      <c r="G376" s="4" t="n">
        <v>0.0629</v>
      </c>
      <c r="H376" s="3" t="n">
        <v>378.05</v>
      </c>
      <c r="I376" s="3" t="n">
        <v>5670.75</v>
      </c>
      <c r="J376" s="3" t="n">
        <v>242.32</v>
      </c>
      <c r="K376" s="3" t="n">
        <v>3634.8</v>
      </c>
      <c r="L376" s="3" t="n">
        <v>2035.95</v>
      </c>
      <c r="M376" s="4" t="n">
        <v>0.359</v>
      </c>
    </row>
    <row r="377">
      <c r="A377" s="2" t="inlineStr">
        <is>
          <t>SKL-00376</t>
        </is>
      </c>
      <c r="B377" s="2" t="inlineStr">
        <is>
          <t>SIP-0105</t>
        </is>
      </c>
      <c r="C377" s="2" t="inlineStr">
        <is>
          <t>ENDVAN-009</t>
        </is>
      </c>
      <c r="D377" s="5" t="n">
        <v>14</v>
      </c>
      <c r="E377" s="2" t="inlineStr">
        <is>
          <t>Adet</t>
        </is>
      </c>
      <c r="F377" s="3" t="n">
        <v>527.39</v>
      </c>
      <c r="G377" s="4" t="n">
        <v>0.0949</v>
      </c>
      <c r="H377" s="3" t="n">
        <v>477.34</v>
      </c>
      <c r="I377" s="3" t="n">
        <v>6682.76</v>
      </c>
      <c r="J377" s="3" t="n">
        <v>411.64</v>
      </c>
      <c r="K377" s="3" t="n">
        <v>5762.96</v>
      </c>
      <c r="L377" s="3" t="n">
        <v>919.8</v>
      </c>
      <c r="M377" s="4" t="n">
        <v>0.1376</v>
      </c>
    </row>
    <row r="378">
      <c r="A378" s="2" t="inlineStr">
        <is>
          <t>SKL-00377</t>
        </is>
      </c>
      <c r="B378" s="2" t="inlineStr">
        <is>
          <t>SIP-0105</t>
        </is>
      </c>
      <c r="C378" s="2" t="inlineStr">
        <is>
          <t>ENDVAN-015</t>
        </is>
      </c>
      <c r="D378" s="5" t="n">
        <v>4</v>
      </c>
      <c r="E378" s="2" t="inlineStr">
        <is>
          <t>Adet</t>
        </is>
      </c>
      <c r="F378" s="3" t="n">
        <v>1679.94</v>
      </c>
      <c r="G378" s="4" t="n">
        <v>0.0046</v>
      </c>
      <c r="H378" s="3" t="n">
        <v>1672.21</v>
      </c>
      <c r="I378" s="3" t="n">
        <v>6688.84</v>
      </c>
      <c r="J378" s="3" t="n">
        <v>1019.05</v>
      </c>
      <c r="K378" s="3" t="n">
        <v>4076.2</v>
      </c>
      <c r="L378" s="3" t="n">
        <v>2612.64</v>
      </c>
      <c r="M378" s="4" t="n">
        <v>0.3906</v>
      </c>
    </row>
    <row r="379">
      <c r="A379" s="2" t="inlineStr">
        <is>
          <t>SKL-00378</t>
        </is>
      </c>
      <c r="B379" s="2" t="inlineStr">
        <is>
          <t>SIP-0105</t>
        </is>
      </c>
      <c r="C379" s="2" t="inlineStr">
        <is>
          <t>ENDVAN-004</t>
        </is>
      </c>
      <c r="D379" s="5" t="n">
        <v>3</v>
      </c>
      <c r="E379" s="2" t="inlineStr">
        <is>
          <t>Adet</t>
        </is>
      </c>
      <c r="F379" s="3" t="n">
        <v>301.26</v>
      </c>
      <c r="G379" s="4" t="n">
        <v>0.0075</v>
      </c>
      <c r="H379" s="3" t="n">
        <v>299</v>
      </c>
      <c r="I379" s="3" t="n">
        <v>897</v>
      </c>
      <c r="J379" s="3" t="n">
        <v>212.53</v>
      </c>
      <c r="K379" s="3" t="n">
        <v>637.59</v>
      </c>
      <c r="L379" s="3" t="n">
        <v>259.41</v>
      </c>
      <c r="M379" s="4" t="n">
        <v>0.2892</v>
      </c>
    </row>
    <row r="380">
      <c r="A380" s="2" t="inlineStr">
        <is>
          <t>SKL-00379</t>
        </is>
      </c>
      <c r="B380" s="2" t="inlineStr">
        <is>
          <t>SIP-0106</t>
        </is>
      </c>
      <c r="C380" s="2" t="inlineStr">
        <is>
          <t>PROTAN-002</t>
        </is>
      </c>
      <c r="D380" s="5" t="n">
        <v>1</v>
      </c>
      <c r="E380" s="2" t="inlineStr">
        <is>
          <t>Adet</t>
        </is>
      </c>
      <c r="F380" s="3" t="n">
        <v>8548.67</v>
      </c>
      <c r="G380" s="4" t="n">
        <v>0.0552</v>
      </c>
      <c r="H380" s="3" t="n">
        <v>8076.78</v>
      </c>
      <c r="I380" s="3" t="n">
        <v>8076.78</v>
      </c>
      <c r="J380" s="3" t="n">
        <v>6532.53</v>
      </c>
      <c r="K380" s="3" t="n">
        <v>6532.53</v>
      </c>
      <c r="L380" s="3" t="n">
        <v>1544.25</v>
      </c>
      <c r="M380" s="4" t="n">
        <v>0.1912</v>
      </c>
    </row>
    <row r="381">
      <c r="A381" s="2" t="inlineStr">
        <is>
          <t>SKL-00380</t>
        </is>
      </c>
      <c r="B381" s="2" t="inlineStr">
        <is>
          <t>SIP-0106</t>
        </is>
      </c>
      <c r="C381" s="2" t="inlineStr">
        <is>
          <t>MEKSIZ-006</t>
        </is>
      </c>
      <c r="D381" s="5" t="n">
        <v>16</v>
      </c>
      <c r="E381" s="2" t="inlineStr">
        <is>
          <t>Adet</t>
        </is>
      </c>
      <c r="F381" s="3" t="n">
        <v>582.71</v>
      </c>
      <c r="G381" s="4" t="n">
        <v>0.1042</v>
      </c>
      <c r="H381" s="3" t="n">
        <v>521.99</v>
      </c>
      <c r="I381" s="3" t="n">
        <v>8351.84</v>
      </c>
      <c r="J381" s="3" t="n">
        <v>347.05</v>
      </c>
      <c r="K381" s="3" t="n">
        <v>5552.8</v>
      </c>
      <c r="L381" s="3" t="n">
        <v>2799.04</v>
      </c>
      <c r="M381" s="4" t="n">
        <v>0.3351</v>
      </c>
    </row>
    <row r="382">
      <c r="A382" s="2" t="inlineStr">
        <is>
          <t>SKL-00381</t>
        </is>
      </c>
      <c r="B382" s="2" t="inlineStr">
        <is>
          <t>SIP-0106</t>
        </is>
      </c>
      <c r="C382" s="2" t="inlineStr">
        <is>
          <t>YAREND-002</t>
        </is>
      </c>
      <c r="D382" s="5" t="n">
        <v>1</v>
      </c>
      <c r="E382" s="2" t="inlineStr">
        <is>
          <t>Adet</t>
        </is>
      </c>
      <c r="F382" s="3" t="n">
        <v>1344.05</v>
      </c>
      <c r="G382" s="4" t="n">
        <v>0.0485</v>
      </c>
      <c r="H382" s="3" t="n">
        <v>1278.86</v>
      </c>
      <c r="I382" s="3" t="n">
        <v>1278.86</v>
      </c>
      <c r="J382" s="3" t="n">
        <v>839.65</v>
      </c>
      <c r="K382" s="3" t="n">
        <v>839.65</v>
      </c>
      <c r="L382" s="3" t="n">
        <v>439.21</v>
      </c>
      <c r="M382" s="4" t="n">
        <v>0.3434</v>
      </c>
    </row>
    <row r="383">
      <c r="A383" s="2" t="inlineStr">
        <is>
          <t>SKL-00382</t>
        </is>
      </c>
      <c r="B383" s="2" t="inlineStr">
        <is>
          <t>SIP-0106</t>
        </is>
      </c>
      <c r="C383" s="2" t="inlineStr">
        <is>
          <t>ENDVAN-008</t>
        </is>
      </c>
      <c r="D383" s="5" t="n">
        <v>6</v>
      </c>
      <c r="E383" s="2" t="inlineStr">
        <is>
          <t>Adet</t>
        </is>
      </c>
      <c r="F383" s="3" t="n">
        <v>523.64</v>
      </c>
      <c r="G383" s="4" t="n">
        <v>0.041</v>
      </c>
      <c r="H383" s="3" t="n">
        <v>502.17</v>
      </c>
      <c r="I383" s="3" t="n">
        <v>3013.02</v>
      </c>
      <c r="J383" s="3" t="n">
        <v>429.42</v>
      </c>
      <c r="K383" s="3" t="n">
        <v>2576.52</v>
      </c>
      <c r="L383" s="3" t="n">
        <v>436.5</v>
      </c>
      <c r="M383" s="4" t="n">
        <v>0.1449</v>
      </c>
    </row>
    <row r="384">
      <c r="A384" s="2" t="inlineStr">
        <is>
          <t>SKL-00383</t>
        </is>
      </c>
      <c r="B384" s="2" t="inlineStr">
        <is>
          <t>SIP-0107</t>
        </is>
      </c>
      <c r="C384" s="2" t="inlineStr">
        <is>
          <t>ENDVAN-025</t>
        </is>
      </c>
      <c r="D384" s="5" t="n">
        <v>16</v>
      </c>
      <c r="E384" s="2" t="inlineStr">
        <is>
          <t>Adet</t>
        </is>
      </c>
      <c r="F384" s="3" t="n">
        <v>286.34</v>
      </c>
      <c r="G384" s="4" t="n">
        <v>0.0272</v>
      </c>
      <c r="H384" s="3" t="n">
        <v>278.55</v>
      </c>
      <c r="I384" s="3" t="n">
        <v>4456.8</v>
      </c>
      <c r="J384" s="3" t="n">
        <v>205.87</v>
      </c>
      <c r="K384" s="3" t="n">
        <v>3293.92</v>
      </c>
      <c r="L384" s="3" t="n">
        <v>1162.88</v>
      </c>
      <c r="M384" s="4" t="n">
        <v>0.2609</v>
      </c>
    </row>
    <row r="385">
      <c r="A385" s="2" t="inlineStr">
        <is>
          <t>SKL-00384</t>
        </is>
      </c>
      <c r="B385" s="2" t="inlineStr">
        <is>
          <t>SIP-0107</t>
        </is>
      </c>
      <c r="C385" s="2" t="inlineStr">
        <is>
          <t>ENDVAN-006</t>
        </is>
      </c>
      <c r="D385" s="5" t="n">
        <v>10</v>
      </c>
      <c r="E385" s="2" t="inlineStr">
        <is>
          <t>Adet</t>
        </is>
      </c>
      <c r="F385" s="3" t="n">
        <v>1526.08</v>
      </c>
      <c r="G385" s="4" t="n">
        <v>0.07340000000000001</v>
      </c>
      <c r="H385" s="3" t="n">
        <v>1414.07</v>
      </c>
      <c r="I385" s="3" t="n">
        <v>14140.7</v>
      </c>
      <c r="J385" s="3" t="n">
        <v>1160.99</v>
      </c>
      <c r="K385" s="3" t="n">
        <v>11609.9</v>
      </c>
      <c r="L385" s="3" t="n">
        <v>2530.8</v>
      </c>
      <c r="M385" s="4" t="n">
        <v>0.179</v>
      </c>
    </row>
    <row r="386">
      <c r="A386" s="2" t="inlineStr">
        <is>
          <t>SKL-00385</t>
        </is>
      </c>
      <c r="B386" s="2" t="inlineStr">
        <is>
          <t>SIP-0107</t>
        </is>
      </c>
      <c r="C386" s="2" t="inlineStr">
        <is>
          <t>FLAIZO-007</t>
        </is>
      </c>
      <c r="D386" s="5" t="n">
        <v>85</v>
      </c>
      <c r="E386" s="2" t="inlineStr">
        <is>
          <t>Set</t>
        </is>
      </c>
      <c r="F386" s="3" t="n">
        <v>114.93</v>
      </c>
      <c r="G386" s="4" t="n">
        <v>0.0348</v>
      </c>
      <c r="H386" s="3" t="n">
        <v>110.93</v>
      </c>
      <c r="I386" s="3" t="n">
        <v>9429.049999999999</v>
      </c>
      <c r="J386" s="3" t="n">
        <v>70.09</v>
      </c>
      <c r="K386" s="3" t="n">
        <v>5957.65</v>
      </c>
      <c r="L386" s="3" t="n">
        <v>3471.4</v>
      </c>
      <c r="M386" s="4" t="n">
        <v>0.3682</v>
      </c>
    </row>
    <row r="387">
      <c r="A387" s="2" t="inlineStr">
        <is>
          <t>SKL-00386</t>
        </is>
      </c>
      <c r="B387" s="2" t="inlineStr">
        <is>
          <t>SIP-0107</t>
        </is>
      </c>
      <c r="C387" s="2" t="inlineStr">
        <is>
          <t>PROTAN-006</t>
        </is>
      </c>
      <c r="D387" s="5" t="n">
        <v>1</v>
      </c>
      <c r="E387" s="2" t="inlineStr">
        <is>
          <t>Adet</t>
        </is>
      </c>
      <c r="F387" s="3" t="n">
        <v>13796.42</v>
      </c>
      <c r="G387" s="4" t="n">
        <v>0.06909999999999999</v>
      </c>
      <c r="H387" s="3" t="n">
        <v>12843.09</v>
      </c>
      <c r="I387" s="3" t="n">
        <v>12843.09</v>
      </c>
      <c r="J387" s="3" t="n">
        <v>9915.59</v>
      </c>
      <c r="K387" s="3" t="n">
        <v>9915.59</v>
      </c>
      <c r="L387" s="3" t="n">
        <v>2927.5</v>
      </c>
      <c r="M387" s="4" t="n">
        <v>0.2279</v>
      </c>
    </row>
    <row r="388">
      <c r="A388" s="2" t="inlineStr">
        <is>
          <t>SKL-00387</t>
        </is>
      </c>
      <c r="B388" s="2" t="inlineStr">
        <is>
          <t>SIP-0107</t>
        </is>
      </c>
      <c r="C388" s="2" t="inlineStr">
        <is>
          <t>FLAIZO-004</t>
        </is>
      </c>
      <c r="D388" s="5" t="n">
        <v>44</v>
      </c>
      <c r="E388" s="2" t="inlineStr">
        <is>
          <t>Set</t>
        </is>
      </c>
      <c r="F388" s="3" t="n">
        <v>48.01</v>
      </c>
      <c r="G388" s="4" t="n">
        <v>0.0398</v>
      </c>
      <c r="H388" s="3" t="n">
        <v>46.1</v>
      </c>
      <c r="I388" s="3" t="n">
        <v>2028.4</v>
      </c>
      <c r="J388" s="3" t="n">
        <v>25.08</v>
      </c>
      <c r="K388" s="3" t="n">
        <v>1103.52</v>
      </c>
      <c r="L388" s="3" t="n">
        <v>924.88</v>
      </c>
      <c r="M388" s="4" t="n">
        <v>0.456</v>
      </c>
    </row>
    <row r="389">
      <c r="A389" s="2" t="inlineStr">
        <is>
          <t>SKL-00388</t>
        </is>
      </c>
      <c r="B389" s="2" t="inlineStr">
        <is>
          <t>SIP-0107</t>
        </is>
      </c>
      <c r="C389" s="2" t="inlineStr">
        <is>
          <t>MEKSIZ-006</t>
        </is>
      </c>
      <c r="D389" s="5" t="n">
        <v>13</v>
      </c>
      <c r="E389" s="2" t="inlineStr">
        <is>
          <t>Adet</t>
        </is>
      </c>
      <c r="F389" s="3" t="n">
        <v>539.79</v>
      </c>
      <c r="G389" s="4" t="n">
        <v>0.08019999999999999</v>
      </c>
      <c r="H389" s="3" t="n">
        <v>496.5</v>
      </c>
      <c r="I389" s="3" t="n">
        <v>6454.5</v>
      </c>
      <c r="J389" s="3" t="n">
        <v>347.05</v>
      </c>
      <c r="K389" s="3" t="n">
        <v>4511.65</v>
      </c>
      <c r="L389" s="3" t="n">
        <v>1942.85</v>
      </c>
      <c r="M389" s="4" t="n">
        <v>0.301</v>
      </c>
    </row>
    <row r="390">
      <c r="A390" s="2" t="inlineStr">
        <is>
          <t>SKL-00389</t>
        </is>
      </c>
      <c r="B390" s="2" t="inlineStr">
        <is>
          <t>SIP-0108</t>
        </is>
      </c>
      <c r="C390" s="2" t="inlineStr">
        <is>
          <t>FLAIZO-015</t>
        </is>
      </c>
      <c r="D390" s="5" t="n">
        <v>20</v>
      </c>
      <c r="E390" s="2" t="inlineStr">
        <is>
          <t>Set</t>
        </is>
      </c>
      <c r="F390" s="3" t="n">
        <v>170.62</v>
      </c>
      <c r="G390" s="4" t="n">
        <v>0.0638</v>
      </c>
      <c r="H390" s="3" t="n">
        <v>159.73</v>
      </c>
      <c r="I390" s="3" t="n">
        <v>3194.6</v>
      </c>
      <c r="J390" s="3" t="n">
        <v>94.38</v>
      </c>
      <c r="K390" s="3" t="n">
        <v>1887.6</v>
      </c>
      <c r="L390" s="3" t="n">
        <v>1307</v>
      </c>
      <c r="M390" s="4" t="n">
        <v>0.4091</v>
      </c>
    </row>
    <row r="391">
      <c r="A391" s="2" t="inlineStr">
        <is>
          <t>SKL-00390</t>
        </is>
      </c>
      <c r="B391" s="2" t="inlineStr">
        <is>
          <t>SIP-0108</t>
        </is>
      </c>
      <c r="C391" s="2" t="inlineStr">
        <is>
          <t>ENDVAN-011</t>
        </is>
      </c>
      <c r="D391" s="5" t="n">
        <v>13</v>
      </c>
      <c r="E391" s="2" t="inlineStr">
        <is>
          <t>Adet</t>
        </is>
      </c>
      <c r="F391" s="3" t="n">
        <v>890.8099999999999</v>
      </c>
      <c r="G391" s="4" t="n">
        <v>0.0198</v>
      </c>
      <c r="H391" s="3" t="n">
        <v>873.17</v>
      </c>
      <c r="I391" s="3" t="n">
        <v>11351.21</v>
      </c>
      <c r="J391" s="3" t="n">
        <v>615.55</v>
      </c>
      <c r="K391" s="3" t="n">
        <v>8002.15</v>
      </c>
      <c r="L391" s="3" t="n">
        <v>3349.06</v>
      </c>
      <c r="M391" s="4" t="n">
        <v>0.295</v>
      </c>
    </row>
    <row r="392">
      <c r="A392" s="2" t="inlineStr">
        <is>
          <t>SKL-00391</t>
        </is>
      </c>
      <c r="B392" s="2" t="inlineStr">
        <is>
          <t>SIP-0108</t>
        </is>
      </c>
      <c r="C392" s="2" t="inlineStr">
        <is>
          <t>ENDVAN-006</t>
        </is>
      </c>
      <c r="D392" s="5" t="n">
        <v>15</v>
      </c>
      <c r="E392" s="2" t="inlineStr">
        <is>
          <t>Adet</t>
        </is>
      </c>
      <c r="F392" s="3" t="n">
        <v>1697.67</v>
      </c>
      <c r="G392" s="4" t="n">
        <v>0.0682</v>
      </c>
      <c r="H392" s="3" t="n">
        <v>1581.89</v>
      </c>
      <c r="I392" s="3" t="n">
        <v>23728.35</v>
      </c>
      <c r="J392" s="3" t="n">
        <v>1160.99</v>
      </c>
      <c r="K392" s="3" t="n">
        <v>17414.85</v>
      </c>
      <c r="L392" s="3" t="n">
        <v>6313.5</v>
      </c>
      <c r="M392" s="4" t="n">
        <v>0.2661</v>
      </c>
    </row>
    <row r="393">
      <c r="A393" s="2" t="inlineStr">
        <is>
          <t>SKL-00392</t>
        </is>
      </c>
      <c r="B393" s="2" t="inlineStr">
        <is>
          <t>SIP-0108</t>
        </is>
      </c>
      <c r="C393" s="2" t="inlineStr">
        <is>
          <t>ENDVAN-032</t>
        </is>
      </c>
      <c r="D393" s="5" t="n">
        <v>3</v>
      </c>
      <c r="E393" s="2" t="inlineStr">
        <is>
          <t>Adet</t>
        </is>
      </c>
      <c r="F393" s="3" t="n">
        <v>966.3200000000001</v>
      </c>
      <c r="G393" s="4" t="n">
        <v>0.0397</v>
      </c>
      <c r="H393" s="3" t="n">
        <v>927.96</v>
      </c>
      <c r="I393" s="3" t="n">
        <v>2783.88</v>
      </c>
      <c r="J393" s="3" t="n">
        <v>641.8099999999999</v>
      </c>
      <c r="K393" s="3" t="n">
        <v>1925.43</v>
      </c>
      <c r="L393" s="3" t="n">
        <v>858.45</v>
      </c>
      <c r="M393" s="4" t="n">
        <v>0.3084</v>
      </c>
    </row>
    <row r="394">
      <c r="A394" s="2" t="inlineStr">
        <is>
          <t>SKL-00393</t>
        </is>
      </c>
      <c r="B394" s="2" t="inlineStr">
        <is>
          <t>SIP-0108</t>
        </is>
      </c>
      <c r="C394" s="2" t="inlineStr">
        <is>
          <t>ENDVAN-008</t>
        </is>
      </c>
      <c r="D394" s="5" t="n">
        <v>25</v>
      </c>
      <c r="E394" s="2" t="inlineStr">
        <is>
          <t>Adet</t>
        </is>
      </c>
      <c r="F394" s="3" t="n">
        <v>540.45</v>
      </c>
      <c r="G394" s="4" t="n">
        <v>0.0067</v>
      </c>
      <c r="H394" s="3" t="n">
        <v>536.83</v>
      </c>
      <c r="I394" s="3" t="n">
        <v>13420.75</v>
      </c>
      <c r="J394" s="3" t="n">
        <v>429.42</v>
      </c>
      <c r="K394" s="3" t="n">
        <v>10735.5</v>
      </c>
      <c r="L394" s="3" t="n">
        <v>2685.25</v>
      </c>
      <c r="M394" s="4" t="n">
        <v>0.2001</v>
      </c>
    </row>
    <row r="395">
      <c r="A395" s="2" t="inlineStr">
        <is>
          <t>SKL-00394</t>
        </is>
      </c>
      <c r="B395" s="2" t="inlineStr">
        <is>
          <t>SIP-0108</t>
        </is>
      </c>
      <c r="C395" s="2" t="inlineStr">
        <is>
          <t>ENDVAN-012</t>
        </is>
      </c>
      <c r="D395" s="5" t="n">
        <v>7</v>
      </c>
      <c r="E395" s="2" t="inlineStr">
        <is>
          <t>Adet</t>
        </is>
      </c>
      <c r="F395" s="3" t="n">
        <v>363.77</v>
      </c>
      <c r="G395" s="4" t="n">
        <v>0.093</v>
      </c>
      <c r="H395" s="3" t="n">
        <v>329.94</v>
      </c>
      <c r="I395" s="3" t="n">
        <v>2309.58</v>
      </c>
      <c r="J395" s="3" t="n">
        <v>281.71</v>
      </c>
      <c r="K395" s="3" t="n">
        <v>1971.97</v>
      </c>
      <c r="L395" s="3" t="n">
        <v>337.61</v>
      </c>
      <c r="M395" s="4" t="n">
        <v>0.1462</v>
      </c>
    </row>
    <row r="396">
      <c r="A396" s="2" t="inlineStr">
        <is>
          <t>SKL-00395</t>
        </is>
      </c>
      <c r="B396" s="2" t="inlineStr">
        <is>
          <t>SIP-0108</t>
        </is>
      </c>
      <c r="C396" s="2" t="inlineStr">
        <is>
          <t>KAR/-009</t>
        </is>
      </c>
      <c r="D396" s="5" t="n">
        <v>3</v>
      </c>
      <c r="E396" s="2" t="inlineStr">
        <is>
          <t>Adet</t>
        </is>
      </c>
      <c r="F396" s="3" t="n">
        <v>8039.29</v>
      </c>
      <c r="G396" s="4" t="n">
        <v>0.0355</v>
      </c>
      <c r="H396" s="3" t="n">
        <v>7753.9</v>
      </c>
      <c r="I396" s="3" t="n">
        <v>23261.7</v>
      </c>
      <c r="J396" s="3" t="n">
        <v>5529.91</v>
      </c>
      <c r="K396" s="3" t="n">
        <v>16589.73</v>
      </c>
      <c r="L396" s="3" t="n">
        <v>6671.97</v>
      </c>
      <c r="M396" s="4" t="n">
        <v>0.2868</v>
      </c>
    </row>
    <row r="397">
      <c r="A397" s="2" t="inlineStr">
        <is>
          <t>SKL-00396</t>
        </is>
      </c>
      <c r="B397" s="2" t="inlineStr">
        <is>
          <t>SIP-0109</t>
        </is>
      </c>
      <c r="C397" s="2" t="inlineStr">
        <is>
          <t>YAREND-009</t>
        </is>
      </c>
      <c r="D397" s="5" t="n">
        <v>9</v>
      </c>
      <c r="E397" s="2" t="inlineStr">
        <is>
          <t>Adet</t>
        </is>
      </c>
      <c r="F397" s="3" t="n">
        <v>1189.2</v>
      </c>
      <c r="G397" s="4" t="n">
        <v>0.0668</v>
      </c>
      <c r="H397" s="3" t="n">
        <v>1109.76</v>
      </c>
      <c r="I397" s="3" t="n">
        <v>9987.84</v>
      </c>
      <c r="J397" s="3" t="n">
        <v>873.73</v>
      </c>
      <c r="K397" s="3" t="n">
        <v>7863.57</v>
      </c>
      <c r="L397" s="3" t="n">
        <v>2124.27</v>
      </c>
      <c r="M397" s="4" t="n">
        <v>0.2127</v>
      </c>
    </row>
    <row r="398">
      <c r="A398" s="2" t="inlineStr">
        <is>
          <t>SKL-00397</t>
        </is>
      </c>
      <c r="B398" s="2" t="inlineStr">
        <is>
          <t>SIP-0109</t>
        </is>
      </c>
      <c r="C398" s="2" t="inlineStr">
        <is>
          <t>ENDVAN-016</t>
        </is>
      </c>
      <c r="D398" s="5" t="n">
        <v>8</v>
      </c>
      <c r="E398" s="2" t="inlineStr">
        <is>
          <t>Adet</t>
        </is>
      </c>
      <c r="F398" s="3" t="n">
        <v>918.03</v>
      </c>
      <c r="G398" s="4" t="n">
        <v>0.095</v>
      </c>
      <c r="H398" s="3" t="n">
        <v>830.8200000000001</v>
      </c>
      <c r="I398" s="3" t="n">
        <v>6646.56</v>
      </c>
      <c r="J398" s="3" t="n">
        <v>674.97</v>
      </c>
      <c r="K398" s="3" t="n">
        <v>5399.76</v>
      </c>
      <c r="L398" s="3" t="n">
        <v>1246.8</v>
      </c>
      <c r="M398" s="4" t="n">
        <v>0.1876</v>
      </c>
    </row>
    <row r="399">
      <c r="A399" s="2" t="inlineStr">
        <is>
          <t>SKL-00398</t>
        </is>
      </c>
      <c r="B399" s="2" t="inlineStr">
        <is>
          <t>SIP-0109</t>
        </is>
      </c>
      <c r="C399" s="2" t="inlineStr">
        <is>
          <t>ENDVAN-017</t>
        </is>
      </c>
      <c r="D399" s="5" t="n">
        <v>24</v>
      </c>
      <c r="E399" s="2" t="inlineStr">
        <is>
          <t>Adet</t>
        </is>
      </c>
      <c r="F399" s="3" t="n">
        <v>747.11</v>
      </c>
      <c r="G399" s="4" t="n">
        <v>0.1078</v>
      </c>
      <c r="H399" s="3" t="n">
        <v>666.5700000000001</v>
      </c>
      <c r="I399" s="3" t="n">
        <v>15997.68</v>
      </c>
      <c r="J399" s="3" t="n">
        <v>518.3099999999999</v>
      </c>
      <c r="K399" s="3" t="n">
        <v>12439.44</v>
      </c>
      <c r="L399" s="3" t="n">
        <v>3558.24</v>
      </c>
      <c r="M399" s="4" t="n">
        <v>0.2224</v>
      </c>
    </row>
    <row r="400">
      <c r="A400" s="2" t="inlineStr">
        <is>
          <t>SKL-00399</t>
        </is>
      </c>
      <c r="B400" s="2" t="inlineStr">
        <is>
          <t>SIP-0110</t>
        </is>
      </c>
      <c r="C400" s="2" t="inlineStr">
        <is>
          <t>ENDVAN-006</t>
        </is>
      </c>
      <c r="D400" s="5" t="n">
        <v>6</v>
      </c>
      <c r="E400" s="2" t="inlineStr">
        <is>
          <t>Adet</t>
        </is>
      </c>
      <c r="F400" s="3" t="n">
        <v>1723.18</v>
      </c>
      <c r="G400" s="4" t="n">
        <v>0.0161</v>
      </c>
      <c r="H400" s="3" t="n">
        <v>1695.44</v>
      </c>
      <c r="I400" s="3" t="n">
        <v>10172.64</v>
      </c>
      <c r="J400" s="3" t="n">
        <v>1160.99</v>
      </c>
      <c r="K400" s="3" t="n">
        <v>6965.94</v>
      </c>
      <c r="L400" s="3" t="n">
        <v>3206.7</v>
      </c>
      <c r="M400" s="4" t="n">
        <v>0.3152</v>
      </c>
    </row>
    <row r="401">
      <c r="A401" s="2" t="inlineStr">
        <is>
          <t>SKL-00400</t>
        </is>
      </c>
      <c r="B401" s="2" t="inlineStr">
        <is>
          <t>SIP-0110</t>
        </is>
      </c>
      <c r="C401" s="2" t="inlineStr">
        <is>
          <t>MEKSIZ-007</t>
        </is>
      </c>
      <c r="D401" s="5" t="n">
        <v>25</v>
      </c>
      <c r="E401" s="2" t="inlineStr">
        <is>
          <t>Adet</t>
        </is>
      </c>
      <c r="F401" s="3" t="n">
        <v>477.75</v>
      </c>
      <c r="G401" s="4" t="n">
        <v>0.0465</v>
      </c>
      <c r="H401" s="3" t="n">
        <v>455.53</v>
      </c>
      <c r="I401" s="3" t="n">
        <v>11388.25</v>
      </c>
      <c r="J401" s="3" t="n">
        <v>301.85</v>
      </c>
      <c r="K401" s="3" t="n">
        <v>7546.25</v>
      </c>
      <c r="L401" s="3" t="n">
        <v>3842</v>
      </c>
      <c r="M401" s="4" t="n">
        <v>0.3374</v>
      </c>
    </row>
    <row r="402">
      <c r="A402" s="2" t="inlineStr">
        <is>
          <t>SKL-00401</t>
        </is>
      </c>
      <c r="B402" s="2" t="inlineStr">
        <is>
          <t>SIP-0110</t>
        </is>
      </c>
      <c r="C402" s="2" t="inlineStr">
        <is>
          <t>ENDVAN-024</t>
        </is>
      </c>
      <c r="D402" s="5" t="n">
        <v>7</v>
      </c>
      <c r="E402" s="2" t="inlineStr">
        <is>
          <t>Adet</t>
        </is>
      </c>
      <c r="F402" s="3" t="n">
        <v>1676.1</v>
      </c>
      <c r="G402" s="4" t="n">
        <v>0.07679999999999999</v>
      </c>
      <c r="H402" s="3" t="n">
        <v>1547.38</v>
      </c>
      <c r="I402" s="3" t="n">
        <v>10831.66</v>
      </c>
      <c r="J402" s="3" t="n">
        <v>1156.64</v>
      </c>
      <c r="K402" s="3" t="n">
        <v>8096.48</v>
      </c>
      <c r="L402" s="3" t="n">
        <v>2735.18</v>
      </c>
      <c r="M402" s="4" t="n">
        <v>0.2525</v>
      </c>
    </row>
    <row r="403">
      <c r="A403" s="2" t="inlineStr">
        <is>
          <t>SKL-00402</t>
        </is>
      </c>
      <c r="B403" s="2" t="inlineStr">
        <is>
          <t>SIP-0111</t>
        </is>
      </c>
      <c r="C403" s="2" t="inlineStr">
        <is>
          <t>ENDVAN-021</t>
        </is>
      </c>
      <c r="D403" s="5" t="n">
        <v>12</v>
      </c>
      <c r="E403" s="2" t="inlineStr">
        <is>
          <t>Adet</t>
        </is>
      </c>
      <c r="F403" s="3" t="n">
        <v>1071.16</v>
      </c>
      <c r="G403" s="4" t="n">
        <v>0.1083</v>
      </c>
      <c r="H403" s="3" t="n">
        <v>955.15</v>
      </c>
      <c r="I403" s="3" t="n">
        <v>11461.8</v>
      </c>
      <c r="J403" s="3" t="n">
        <v>736.7</v>
      </c>
      <c r="K403" s="3" t="n">
        <v>8840.4</v>
      </c>
      <c r="L403" s="3" t="n">
        <v>2621.4</v>
      </c>
      <c r="M403" s="4" t="n">
        <v>0.2287</v>
      </c>
    </row>
    <row r="404">
      <c r="A404" s="2" t="inlineStr">
        <is>
          <t>SKL-00403</t>
        </is>
      </c>
      <c r="B404" s="2" t="inlineStr">
        <is>
          <t>SIP-0111</t>
        </is>
      </c>
      <c r="C404" s="2" t="inlineStr">
        <is>
          <t>MEKSIZ-006</t>
        </is>
      </c>
      <c r="D404" s="5" t="n">
        <v>16</v>
      </c>
      <c r="E404" s="2" t="inlineStr">
        <is>
          <t>Adet</t>
        </is>
      </c>
      <c r="F404" s="3" t="n">
        <v>562.98</v>
      </c>
      <c r="G404" s="4" t="n">
        <v>0.0921</v>
      </c>
      <c r="H404" s="3" t="n">
        <v>511.13</v>
      </c>
      <c r="I404" s="3" t="n">
        <v>8178.08</v>
      </c>
      <c r="J404" s="3" t="n">
        <v>347.05</v>
      </c>
      <c r="K404" s="3" t="n">
        <v>5552.8</v>
      </c>
      <c r="L404" s="3" t="n">
        <v>2625.28</v>
      </c>
      <c r="M404" s="4" t="n">
        <v>0.321</v>
      </c>
    </row>
    <row r="405">
      <c r="A405" s="2" t="inlineStr">
        <is>
          <t>SKL-00404</t>
        </is>
      </c>
      <c r="B405" s="2" t="inlineStr">
        <is>
          <t>SIP-0111</t>
        </is>
      </c>
      <c r="C405" s="2" t="inlineStr">
        <is>
          <t>KAR/-010</t>
        </is>
      </c>
      <c r="D405" s="5" t="n">
        <v>4</v>
      </c>
      <c r="E405" s="2" t="inlineStr">
        <is>
          <t>Adet</t>
        </is>
      </c>
      <c r="F405" s="3" t="n">
        <v>8844.559999999999</v>
      </c>
      <c r="G405" s="4" t="n">
        <v>0.0119</v>
      </c>
      <c r="H405" s="3" t="n">
        <v>8739.309999999999</v>
      </c>
      <c r="I405" s="3" t="n">
        <v>34957.24</v>
      </c>
      <c r="J405" s="3" t="n">
        <v>6787.7</v>
      </c>
      <c r="K405" s="3" t="n">
        <v>27150.8</v>
      </c>
      <c r="L405" s="3" t="n">
        <v>7806.44</v>
      </c>
      <c r="M405" s="4" t="n">
        <v>0.2233</v>
      </c>
    </row>
    <row r="406">
      <c r="A406" s="2" t="inlineStr">
        <is>
          <t>SKL-00405</t>
        </is>
      </c>
      <c r="B406" s="2" t="inlineStr">
        <is>
          <t>SIP-0112</t>
        </is>
      </c>
      <c r="C406" s="2" t="inlineStr">
        <is>
          <t>FLAIZO-006</t>
        </is>
      </c>
      <c r="D406" s="5" t="n">
        <v>40</v>
      </c>
      <c r="E406" s="2" t="inlineStr">
        <is>
          <t>Set</t>
        </is>
      </c>
      <c r="F406" s="3" t="n">
        <v>64.33</v>
      </c>
      <c r="G406" s="4" t="n">
        <v>0.1025</v>
      </c>
      <c r="H406" s="3" t="n">
        <v>57.74</v>
      </c>
      <c r="I406" s="3" t="n">
        <v>2309.6</v>
      </c>
      <c r="J406" s="3" t="n">
        <v>41.17</v>
      </c>
      <c r="K406" s="3" t="n">
        <v>1646.8</v>
      </c>
      <c r="L406" s="3" t="n">
        <v>662.8</v>
      </c>
      <c r="M406" s="4" t="n">
        <v>0.287</v>
      </c>
    </row>
    <row r="407">
      <c r="A407" s="2" t="inlineStr">
        <is>
          <t>SKL-00406</t>
        </is>
      </c>
      <c r="B407" s="2" t="inlineStr">
        <is>
          <t>SIP-0112</t>
        </is>
      </c>
      <c r="C407" s="2" t="inlineStr">
        <is>
          <t>YAREND-003</t>
        </is>
      </c>
      <c r="D407" s="5" t="n">
        <v>2</v>
      </c>
      <c r="E407" s="2" t="inlineStr">
        <is>
          <t>Adet</t>
        </is>
      </c>
      <c r="F407" s="3" t="n">
        <v>221.32</v>
      </c>
      <c r="G407" s="4" t="n">
        <v>0.1071</v>
      </c>
      <c r="H407" s="3" t="n">
        <v>197.62</v>
      </c>
      <c r="I407" s="3" t="n">
        <v>395.24</v>
      </c>
      <c r="J407" s="3" t="n">
        <v>159.13</v>
      </c>
      <c r="K407" s="3" t="n">
        <v>318.26</v>
      </c>
      <c r="L407" s="3" t="n">
        <v>76.98</v>
      </c>
      <c r="M407" s="4" t="n">
        <v>0.1948</v>
      </c>
    </row>
    <row r="408">
      <c r="A408" s="2" t="inlineStr">
        <is>
          <t>SKL-00407</t>
        </is>
      </c>
      <c r="B408" s="2" t="inlineStr">
        <is>
          <t>SIP-0112</t>
        </is>
      </c>
      <c r="C408" s="2" t="inlineStr">
        <is>
          <t>ENDVAN-021</t>
        </is>
      </c>
      <c r="D408" s="5" t="n">
        <v>4</v>
      </c>
      <c r="E408" s="2" t="inlineStr">
        <is>
          <t>Adet</t>
        </is>
      </c>
      <c r="F408" s="3" t="n">
        <v>982.7</v>
      </c>
      <c r="G408" s="4" t="n">
        <v>0.0487</v>
      </c>
      <c r="H408" s="3" t="n">
        <v>934.84</v>
      </c>
      <c r="I408" s="3" t="n">
        <v>3739.36</v>
      </c>
      <c r="J408" s="3" t="n">
        <v>736.7</v>
      </c>
      <c r="K408" s="3" t="n">
        <v>2946.8</v>
      </c>
      <c r="L408" s="3" t="n">
        <v>792.5599999999999</v>
      </c>
      <c r="M408" s="4" t="n">
        <v>0.212</v>
      </c>
    </row>
    <row r="409">
      <c r="A409" s="2" t="inlineStr">
        <is>
          <t>SKL-00408</t>
        </is>
      </c>
      <c r="B409" s="2" t="inlineStr">
        <is>
          <t>SIP-0112</t>
        </is>
      </c>
      <c r="C409" s="2" t="inlineStr">
        <is>
          <t>FLAIZO-006</t>
        </is>
      </c>
      <c r="D409" s="5" t="n">
        <v>73</v>
      </c>
      <c r="E409" s="2" t="inlineStr">
        <is>
          <t>Set</t>
        </is>
      </c>
      <c r="F409" s="3" t="n">
        <v>58.46</v>
      </c>
      <c r="G409" s="4" t="n">
        <v>0.0381</v>
      </c>
      <c r="H409" s="3" t="n">
        <v>56.23</v>
      </c>
      <c r="I409" s="3" t="n">
        <v>4104.79</v>
      </c>
      <c r="J409" s="3" t="n">
        <v>41.17</v>
      </c>
      <c r="K409" s="3" t="n">
        <v>3005.41</v>
      </c>
      <c r="L409" s="3" t="n">
        <v>1099.38</v>
      </c>
      <c r="M409" s="4" t="n">
        <v>0.2678</v>
      </c>
    </row>
    <row r="410">
      <c r="A410" s="2" t="inlineStr">
        <is>
          <t>SKL-00409</t>
        </is>
      </c>
      <c r="B410" s="2" t="inlineStr">
        <is>
          <t>SIP-0112</t>
        </is>
      </c>
      <c r="C410" s="2" t="inlineStr">
        <is>
          <t>MEKSIZ-011</t>
        </is>
      </c>
      <c r="D410" s="5" t="n">
        <v>26</v>
      </c>
      <c r="E410" s="2" t="inlineStr">
        <is>
          <t>Adet</t>
        </is>
      </c>
      <c r="F410" s="3" t="n">
        <v>467.2</v>
      </c>
      <c r="G410" s="4" t="n">
        <v>0.046</v>
      </c>
      <c r="H410" s="3" t="n">
        <v>445.71</v>
      </c>
      <c r="I410" s="3" t="n">
        <v>11588.46</v>
      </c>
      <c r="J410" s="3" t="n">
        <v>258.54</v>
      </c>
      <c r="K410" s="3" t="n">
        <v>6722.04</v>
      </c>
      <c r="L410" s="3" t="n">
        <v>4866.42</v>
      </c>
      <c r="M410" s="4" t="n">
        <v>0.4199</v>
      </c>
    </row>
    <row r="411">
      <c r="A411" s="2" t="inlineStr">
        <is>
          <t>SKL-00410</t>
        </is>
      </c>
      <c r="B411" s="2" t="inlineStr">
        <is>
          <t>SIP-0112</t>
        </is>
      </c>
      <c r="C411" s="2" t="inlineStr">
        <is>
          <t>ENDVAN-016</t>
        </is>
      </c>
      <c r="D411" s="5" t="n">
        <v>1</v>
      </c>
      <c r="E411" s="2" t="inlineStr">
        <is>
          <t>Adet</t>
        </is>
      </c>
      <c r="F411" s="3" t="n">
        <v>888.4</v>
      </c>
      <c r="G411" s="4" t="n">
        <v>0.0728</v>
      </c>
      <c r="H411" s="3" t="n">
        <v>823.72</v>
      </c>
      <c r="I411" s="3" t="n">
        <v>823.72</v>
      </c>
      <c r="J411" s="3" t="n">
        <v>674.97</v>
      </c>
      <c r="K411" s="3" t="n">
        <v>674.97</v>
      </c>
      <c r="L411" s="3" t="n">
        <v>148.75</v>
      </c>
      <c r="M411" s="4" t="n">
        <v>0.1806</v>
      </c>
    </row>
    <row r="412">
      <c r="A412" s="2" t="inlineStr">
        <is>
          <t>SKL-00411</t>
        </is>
      </c>
      <c r="B412" s="2" t="inlineStr">
        <is>
          <t>SIP-0113</t>
        </is>
      </c>
      <c r="C412" s="2" t="inlineStr">
        <is>
          <t>ENDVAN-011</t>
        </is>
      </c>
      <c r="D412" s="5" t="n">
        <v>5</v>
      </c>
      <c r="E412" s="2" t="inlineStr">
        <is>
          <t>Adet</t>
        </is>
      </c>
      <c r="F412" s="3" t="n">
        <v>888.83</v>
      </c>
      <c r="G412" s="4" t="n">
        <v>0.0732</v>
      </c>
      <c r="H412" s="3" t="n">
        <v>823.77</v>
      </c>
      <c r="I412" s="3" t="n">
        <v>4118.85</v>
      </c>
      <c r="J412" s="3" t="n">
        <v>615.55</v>
      </c>
      <c r="K412" s="3" t="n">
        <v>3077.75</v>
      </c>
      <c r="L412" s="3" t="n">
        <v>1041.1</v>
      </c>
      <c r="M412" s="4" t="n">
        <v>0.2528</v>
      </c>
    </row>
    <row r="413">
      <c r="A413" s="2" t="inlineStr">
        <is>
          <t>SKL-00412</t>
        </is>
      </c>
      <c r="B413" s="2" t="inlineStr">
        <is>
          <t>SIP-0113</t>
        </is>
      </c>
      <c r="C413" s="2" t="inlineStr">
        <is>
          <t>YAREND-007</t>
        </is>
      </c>
      <c r="D413" s="5" t="n">
        <v>4</v>
      </c>
      <c r="E413" s="2" t="inlineStr">
        <is>
          <t>Adet</t>
        </is>
      </c>
      <c r="F413" s="3" t="n">
        <v>669.01</v>
      </c>
      <c r="G413" s="4" t="n">
        <v>0.0221</v>
      </c>
      <c r="H413" s="3" t="n">
        <v>654.22</v>
      </c>
      <c r="I413" s="3" t="n">
        <v>2616.88</v>
      </c>
      <c r="J413" s="3" t="n">
        <v>459.17</v>
      </c>
      <c r="K413" s="3" t="n">
        <v>1836.68</v>
      </c>
      <c r="L413" s="3" t="n">
        <v>780.2</v>
      </c>
      <c r="M413" s="4" t="n">
        <v>0.2981</v>
      </c>
    </row>
    <row r="414">
      <c r="A414" s="2" t="inlineStr">
        <is>
          <t>SKL-00413</t>
        </is>
      </c>
      <c r="B414" s="2" t="inlineStr">
        <is>
          <t>SIP-0113</t>
        </is>
      </c>
      <c r="C414" s="2" t="inlineStr">
        <is>
          <t>ENDVAN-001</t>
        </is>
      </c>
      <c r="D414" s="5" t="n">
        <v>2</v>
      </c>
      <c r="E414" s="2" t="inlineStr">
        <is>
          <t>Adet</t>
        </is>
      </c>
      <c r="F414" s="3" t="n">
        <v>293.45</v>
      </c>
      <c r="G414" s="4" t="n">
        <v>0.0977</v>
      </c>
      <c r="H414" s="3" t="n">
        <v>264.78</v>
      </c>
      <c r="I414" s="3" t="n">
        <v>529.5599999999999</v>
      </c>
      <c r="J414" s="3" t="n">
        <v>192.02</v>
      </c>
      <c r="K414" s="3" t="n">
        <v>384.04</v>
      </c>
      <c r="L414" s="3" t="n">
        <v>145.52</v>
      </c>
      <c r="M414" s="4" t="n">
        <v>0.2748</v>
      </c>
    </row>
    <row r="415">
      <c r="A415" s="2" t="inlineStr">
        <is>
          <t>SKL-00414</t>
        </is>
      </c>
      <c r="B415" s="2" t="inlineStr">
        <is>
          <t>SIP-0113</t>
        </is>
      </c>
      <c r="C415" s="2" t="inlineStr">
        <is>
          <t>MEKSIZ-008</t>
        </is>
      </c>
      <c r="D415" s="5" t="n">
        <v>11</v>
      </c>
      <c r="E415" s="2" t="inlineStr">
        <is>
          <t>Adet</t>
        </is>
      </c>
      <c r="F415" s="3" t="n">
        <v>680.2</v>
      </c>
      <c r="G415" s="4" t="n">
        <v>0.0502</v>
      </c>
      <c r="H415" s="3" t="n">
        <v>646.05</v>
      </c>
      <c r="I415" s="3" t="n">
        <v>7106.55</v>
      </c>
      <c r="J415" s="3" t="n">
        <v>457.74</v>
      </c>
      <c r="K415" s="3" t="n">
        <v>5035.14</v>
      </c>
      <c r="L415" s="3" t="n">
        <v>2071.41</v>
      </c>
      <c r="M415" s="4" t="n">
        <v>0.2915</v>
      </c>
    </row>
    <row r="416">
      <c r="A416" s="2" t="inlineStr">
        <is>
          <t>SKL-00415</t>
        </is>
      </c>
      <c r="B416" s="2" t="inlineStr">
        <is>
          <t>SIP-0113</t>
        </is>
      </c>
      <c r="C416" s="2" t="inlineStr">
        <is>
          <t>ENDVAN-013</t>
        </is>
      </c>
      <c r="D416" s="5" t="n">
        <v>6</v>
      </c>
      <c r="E416" s="2" t="inlineStr">
        <is>
          <t>Adet</t>
        </is>
      </c>
      <c r="F416" s="3" t="n">
        <v>1586.53</v>
      </c>
      <c r="G416" s="4" t="n">
        <v>0.0484</v>
      </c>
      <c r="H416" s="3" t="n">
        <v>1509.74</v>
      </c>
      <c r="I416" s="3" t="n">
        <v>9058.440000000001</v>
      </c>
      <c r="J416" s="3" t="n">
        <v>1133.86</v>
      </c>
      <c r="K416" s="3" t="n">
        <v>6803.16</v>
      </c>
      <c r="L416" s="3" t="n">
        <v>2255.28</v>
      </c>
      <c r="M416" s="4" t="n">
        <v>0.249</v>
      </c>
    </row>
    <row r="417">
      <c r="A417" s="2" t="inlineStr">
        <is>
          <t>SKL-00416</t>
        </is>
      </c>
      <c r="B417" s="2" t="inlineStr">
        <is>
          <t>SIP-0114</t>
        </is>
      </c>
      <c r="C417" s="2" t="inlineStr">
        <is>
          <t>MEKSIZ-004</t>
        </is>
      </c>
      <c r="D417" s="5" t="n">
        <v>24</v>
      </c>
      <c r="E417" s="2" t="inlineStr">
        <is>
          <t>Adet</t>
        </is>
      </c>
      <c r="F417" s="3" t="n">
        <v>252.78</v>
      </c>
      <c r="G417" s="4" t="n">
        <v>0.0319</v>
      </c>
      <c r="H417" s="3" t="n">
        <v>244.72</v>
      </c>
      <c r="I417" s="3" t="n">
        <v>5873.28</v>
      </c>
      <c r="J417" s="3" t="n">
        <v>164.52</v>
      </c>
      <c r="K417" s="3" t="n">
        <v>3948.48</v>
      </c>
      <c r="L417" s="3" t="n">
        <v>1924.8</v>
      </c>
      <c r="M417" s="4" t="n">
        <v>0.3277</v>
      </c>
    </row>
    <row r="418">
      <c r="A418" s="2" t="inlineStr">
        <is>
          <t>SKL-00417</t>
        </is>
      </c>
      <c r="B418" s="2" t="inlineStr">
        <is>
          <t>SIP-0114</t>
        </is>
      </c>
      <c r="C418" s="2" t="inlineStr">
        <is>
          <t>ENDVAN-027</t>
        </is>
      </c>
      <c r="D418" s="5" t="n">
        <v>14</v>
      </c>
      <c r="E418" s="2" t="inlineStr">
        <is>
          <t>Adet</t>
        </is>
      </c>
      <c r="F418" s="3" t="n">
        <v>1718.05</v>
      </c>
      <c r="G418" s="4" t="n">
        <v>0.0083</v>
      </c>
      <c r="H418" s="3" t="n">
        <v>1703.79</v>
      </c>
      <c r="I418" s="3" t="n">
        <v>23853.06</v>
      </c>
      <c r="J418" s="3" t="n">
        <v>1041.65</v>
      </c>
      <c r="K418" s="3" t="n">
        <v>14583.1</v>
      </c>
      <c r="L418" s="3" t="n">
        <v>9269.959999999999</v>
      </c>
      <c r="M418" s="4" t="n">
        <v>0.3886</v>
      </c>
    </row>
    <row r="419">
      <c r="A419" s="2" t="inlineStr">
        <is>
          <t>SKL-00418</t>
        </is>
      </c>
      <c r="B419" s="2" t="inlineStr">
        <is>
          <t>SIP-0114</t>
        </is>
      </c>
      <c r="C419" s="2" t="inlineStr">
        <is>
          <t>KAR/-010</t>
        </is>
      </c>
      <c r="D419" s="5" t="n">
        <v>1</v>
      </c>
      <c r="E419" s="2" t="inlineStr">
        <is>
          <t>Adet</t>
        </is>
      </c>
      <c r="F419" s="3" t="n">
        <v>8438.52</v>
      </c>
      <c r="G419" s="4" t="n">
        <v>0.0529</v>
      </c>
      <c r="H419" s="3" t="n">
        <v>7992.12</v>
      </c>
      <c r="I419" s="3" t="n">
        <v>7992.12</v>
      </c>
      <c r="J419" s="3" t="n">
        <v>6787.7</v>
      </c>
      <c r="K419" s="3" t="n">
        <v>6787.7</v>
      </c>
      <c r="L419" s="3" t="n">
        <v>1204.42</v>
      </c>
      <c r="M419" s="4" t="n">
        <v>0.1507</v>
      </c>
    </row>
    <row r="420">
      <c r="A420" s="2" t="inlineStr">
        <is>
          <t>SKL-00419</t>
        </is>
      </c>
      <c r="B420" s="2" t="inlineStr">
        <is>
          <t>SIP-0114</t>
        </is>
      </c>
      <c r="C420" s="2" t="inlineStr">
        <is>
          <t>ENDVAN-019</t>
        </is>
      </c>
      <c r="D420" s="5" t="n">
        <v>17</v>
      </c>
      <c r="E420" s="2" t="inlineStr">
        <is>
          <t>Adet</t>
        </is>
      </c>
      <c r="F420" s="3" t="n">
        <v>830.28</v>
      </c>
      <c r="G420" s="4" t="n">
        <v>0.1079</v>
      </c>
      <c r="H420" s="3" t="n">
        <v>740.6900000000001</v>
      </c>
      <c r="I420" s="3" t="n">
        <v>12591.73</v>
      </c>
      <c r="J420" s="3" t="n">
        <v>564.9400000000001</v>
      </c>
      <c r="K420" s="3" t="n">
        <v>9603.98</v>
      </c>
      <c r="L420" s="3" t="n">
        <v>2987.75</v>
      </c>
      <c r="M420" s="4" t="n">
        <v>0.2373</v>
      </c>
    </row>
    <row r="421">
      <c r="A421" s="2" t="inlineStr">
        <is>
          <t>SKL-00420</t>
        </is>
      </c>
      <c r="B421" s="2" t="inlineStr">
        <is>
          <t>SIP-0114</t>
        </is>
      </c>
      <c r="C421" s="2" t="inlineStr">
        <is>
          <t>ENDVAN-026</t>
        </is>
      </c>
      <c r="D421" s="5" t="n">
        <v>3</v>
      </c>
      <c r="E421" s="2" t="inlineStr">
        <is>
          <t>Adet</t>
        </is>
      </c>
      <c r="F421" s="3" t="n">
        <v>1414.12</v>
      </c>
      <c r="G421" s="4" t="n">
        <v>0.039</v>
      </c>
      <c r="H421" s="3" t="n">
        <v>1358.97</v>
      </c>
      <c r="I421" s="3" t="n">
        <v>4076.91</v>
      </c>
      <c r="J421" s="3" t="n">
        <v>1039.5</v>
      </c>
      <c r="K421" s="3" t="n">
        <v>3118.5</v>
      </c>
      <c r="L421" s="3" t="n">
        <v>958.41</v>
      </c>
      <c r="M421" s="4" t="n">
        <v>0.2351</v>
      </c>
    </row>
    <row r="422">
      <c r="A422" s="2" t="inlineStr">
        <is>
          <t>SKL-00421</t>
        </is>
      </c>
      <c r="B422" s="2" t="inlineStr">
        <is>
          <t>SIP-0114</t>
        </is>
      </c>
      <c r="C422" s="2" t="inlineStr">
        <is>
          <t>FLAIZO-013</t>
        </is>
      </c>
      <c r="D422" s="5" t="n">
        <v>54</v>
      </c>
      <c r="E422" s="2" t="inlineStr">
        <is>
          <t>Set</t>
        </is>
      </c>
      <c r="F422" s="3" t="n">
        <v>37.31</v>
      </c>
      <c r="G422" s="4" t="n">
        <v>0.1002</v>
      </c>
      <c r="H422" s="3" t="n">
        <v>33.57</v>
      </c>
      <c r="I422" s="3" t="n">
        <v>1812.78</v>
      </c>
      <c r="J422" s="3" t="n">
        <v>19.05</v>
      </c>
      <c r="K422" s="3" t="n">
        <v>1028.7</v>
      </c>
      <c r="L422" s="3" t="n">
        <v>784.08</v>
      </c>
      <c r="M422" s="4" t="n">
        <v>0.4325</v>
      </c>
    </row>
    <row r="423">
      <c r="A423" s="2" t="inlineStr">
        <is>
          <t>SKL-00422</t>
        </is>
      </c>
      <c r="B423" s="2" t="inlineStr">
        <is>
          <t>SIP-0115</t>
        </is>
      </c>
      <c r="C423" s="2" t="inlineStr">
        <is>
          <t>ENDVAN-033</t>
        </is>
      </c>
      <c r="D423" s="5" t="n">
        <v>6</v>
      </c>
      <c r="E423" s="2" t="inlineStr">
        <is>
          <t>Adet</t>
        </is>
      </c>
      <c r="F423" s="3" t="n">
        <v>1795.8</v>
      </c>
      <c r="G423" s="4" t="n">
        <v>0.008699999999999999</v>
      </c>
      <c r="H423" s="3" t="n">
        <v>1780.18</v>
      </c>
      <c r="I423" s="3" t="n">
        <v>10681.08</v>
      </c>
      <c r="J423" s="3" t="n">
        <v>1125.6</v>
      </c>
      <c r="K423" s="3" t="n">
        <v>6753.6</v>
      </c>
      <c r="L423" s="3" t="n">
        <v>3927.48</v>
      </c>
      <c r="M423" s="4" t="n">
        <v>0.3677</v>
      </c>
    </row>
    <row r="424">
      <c r="A424" s="2" t="inlineStr">
        <is>
          <t>SKL-00423</t>
        </is>
      </c>
      <c r="B424" s="2" t="inlineStr">
        <is>
          <t>SIP-0115</t>
        </is>
      </c>
      <c r="C424" s="2" t="inlineStr">
        <is>
          <t>MEKSIZ-006</t>
        </is>
      </c>
      <c r="D424" s="5" t="n">
        <v>6</v>
      </c>
      <c r="E424" s="2" t="inlineStr">
        <is>
          <t>Adet</t>
        </is>
      </c>
      <c r="F424" s="3" t="n">
        <v>568.24</v>
      </c>
      <c r="G424" s="4" t="n">
        <v>0.0081</v>
      </c>
      <c r="H424" s="3" t="n">
        <v>563.64</v>
      </c>
      <c r="I424" s="3" t="n">
        <v>3381.84</v>
      </c>
      <c r="J424" s="3" t="n">
        <v>347.05</v>
      </c>
      <c r="K424" s="3" t="n">
        <v>2082.3</v>
      </c>
      <c r="L424" s="3" t="n">
        <v>1299.54</v>
      </c>
      <c r="M424" s="4" t="n">
        <v>0.3843</v>
      </c>
    </row>
    <row r="425">
      <c r="A425" s="2" t="inlineStr">
        <is>
          <t>SKL-00424</t>
        </is>
      </c>
      <c r="B425" s="2" t="inlineStr">
        <is>
          <t>SIP-0115</t>
        </is>
      </c>
      <c r="C425" s="2" t="inlineStr">
        <is>
          <t>YAREND-001</t>
        </is>
      </c>
      <c r="D425" s="5" t="n">
        <v>12</v>
      </c>
      <c r="E425" s="2" t="inlineStr">
        <is>
          <t>Adet</t>
        </is>
      </c>
      <c r="F425" s="3" t="n">
        <v>1508.5</v>
      </c>
      <c r="G425" s="4" t="n">
        <v>0.0356</v>
      </c>
      <c r="H425" s="3" t="n">
        <v>1454.8</v>
      </c>
      <c r="I425" s="3" t="n">
        <v>17457.6</v>
      </c>
      <c r="J425" s="3" t="n">
        <v>945.3099999999999</v>
      </c>
      <c r="K425" s="3" t="n">
        <v>11343.72</v>
      </c>
      <c r="L425" s="3" t="n">
        <v>6113.88</v>
      </c>
      <c r="M425" s="4" t="n">
        <v>0.3502</v>
      </c>
    </row>
    <row r="426">
      <c r="A426" s="2" t="inlineStr">
        <is>
          <t>SKL-00425</t>
        </is>
      </c>
      <c r="B426" s="2" t="inlineStr">
        <is>
          <t>SIP-0116</t>
        </is>
      </c>
      <c r="C426" s="2" t="inlineStr">
        <is>
          <t>FLAIZO-008</t>
        </is>
      </c>
      <c r="D426" s="5" t="n">
        <v>46</v>
      </c>
      <c r="E426" s="2" t="inlineStr">
        <is>
          <t>Set</t>
        </is>
      </c>
      <c r="F426" s="3" t="n">
        <v>133.22</v>
      </c>
      <c r="G426" s="4" t="n">
        <v>0.06710000000000001</v>
      </c>
      <c r="H426" s="3" t="n">
        <v>124.28</v>
      </c>
      <c r="I426" s="3" t="n">
        <v>5716.88</v>
      </c>
      <c r="J426" s="3" t="n">
        <v>78.08</v>
      </c>
      <c r="K426" s="3" t="n">
        <v>3591.68</v>
      </c>
      <c r="L426" s="3" t="n">
        <v>2125.2</v>
      </c>
      <c r="M426" s="4" t="n">
        <v>0.3717</v>
      </c>
    </row>
    <row r="427">
      <c r="A427" s="2" t="inlineStr">
        <is>
          <t>SKL-00426</t>
        </is>
      </c>
      <c r="B427" s="2" t="inlineStr">
        <is>
          <t>SIP-0116</t>
        </is>
      </c>
      <c r="C427" s="2" t="inlineStr">
        <is>
          <t>FLAIZO-009</t>
        </is>
      </c>
      <c r="D427" s="5" t="n">
        <v>38</v>
      </c>
      <c r="E427" s="2" t="inlineStr">
        <is>
          <t>Set</t>
        </is>
      </c>
      <c r="F427" s="3" t="n">
        <v>220.32</v>
      </c>
      <c r="G427" s="4" t="n">
        <v>0.0195</v>
      </c>
      <c r="H427" s="3" t="n">
        <v>216.02</v>
      </c>
      <c r="I427" s="3" t="n">
        <v>8208.76</v>
      </c>
      <c r="J427" s="3" t="n">
        <v>127.08</v>
      </c>
      <c r="K427" s="3" t="n">
        <v>4829.04</v>
      </c>
      <c r="L427" s="3" t="n">
        <v>3379.72</v>
      </c>
      <c r="M427" s="4" t="n">
        <v>0.4117</v>
      </c>
    </row>
    <row r="428">
      <c r="A428" s="2" t="inlineStr">
        <is>
          <t>SKL-00427</t>
        </is>
      </c>
      <c r="B428" s="2" t="inlineStr">
        <is>
          <t>SIP-0116</t>
        </is>
      </c>
      <c r="C428" s="2" t="inlineStr">
        <is>
          <t>ENDVAN-021</t>
        </is>
      </c>
      <c r="D428" s="5" t="n">
        <v>4</v>
      </c>
      <c r="E428" s="2" t="inlineStr">
        <is>
          <t>Adet</t>
        </is>
      </c>
      <c r="F428" s="3" t="n">
        <v>1061.4</v>
      </c>
      <c r="G428" s="4" t="n">
        <v>0.0341</v>
      </c>
      <c r="H428" s="3" t="n">
        <v>1025.21</v>
      </c>
      <c r="I428" s="3" t="n">
        <v>4100.84</v>
      </c>
      <c r="J428" s="3" t="n">
        <v>736.7</v>
      </c>
      <c r="K428" s="3" t="n">
        <v>2946.8</v>
      </c>
      <c r="L428" s="3" t="n">
        <v>1154.04</v>
      </c>
      <c r="M428" s="4" t="n">
        <v>0.2814</v>
      </c>
    </row>
    <row r="429">
      <c r="A429" s="2" t="inlineStr">
        <is>
          <t>SKL-00428</t>
        </is>
      </c>
      <c r="B429" s="2" t="inlineStr">
        <is>
          <t>SIP-0117</t>
        </is>
      </c>
      <c r="C429" s="2" t="inlineStr">
        <is>
          <t>KAR/-012</t>
        </is>
      </c>
      <c r="D429" s="5" t="n">
        <v>2</v>
      </c>
      <c r="E429" s="2" t="inlineStr">
        <is>
          <t>Adet</t>
        </is>
      </c>
      <c r="F429" s="3" t="n">
        <v>7494.42</v>
      </c>
      <c r="G429" s="4" t="n">
        <v>0.068</v>
      </c>
      <c r="H429" s="3" t="n">
        <v>6984.8</v>
      </c>
      <c r="I429" s="3" t="n">
        <v>13969.6</v>
      </c>
      <c r="J429" s="3" t="n">
        <v>5176.41</v>
      </c>
      <c r="K429" s="3" t="n">
        <v>10352.82</v>
      </c>
      <c r="L429" s="3" t="n">
        <v>3616.78</v>
      </c>
      <c r="M429" s="4" t="n">
        <v>0.2589</v>
      </c>
    </row>
    <row r="430">
      <c r="A430" s="2" t="inlineStr">
        <is>
          <t>SKL-00429</t>
        </is>
      </c>
      <c r="B430" s="2" t="inlineStr">
        <is>
          <t>SIP-0117</t>
        </is>
      </c>
      <c r="C430" s="2" t="inlineStr">
        <is>
          <t>FLAIZO-005</t>
        </is>
      </c>
      <c r="D430" s="5" t="n">
        <v>23</v>
      </c>
      <c r="E430" s="2" t="inlineStr">
        <is>
          <t>Set</t>
        </is>
      </c>
      <c r="F430" s="3" t="n">
        <v>211.44</v>
      </c>
      <c r="G430" s="4" t="n">
        <v>0.0064</v>
      </c>
      <c r="H430" s="3" t="n">
        <v>210.09</v>
      </c>
      <c r="I430" s="3" t="n">
        <v>4832.07</v>
      </c>
      <c r="J430" s="3" t="n">
        <v>120.26</v>
      </c>
      <c r="K430" s="3" t="n">
        <v>2765.98</v>
      </c>
      <c r="L430" s="3" t="n">
        <v>2066.09</v>
      </c>
      <c r="M430" s="4" t="n">
        <v>0.4276</v>
      </c>
    </row>
    <row r="431">
      <c r="A431" s="2" t="inlineStr">
        <is>
          <t>SKL-00430</t>
        </is>
      </c>
      <c r="B431" s="2" t="inlineStr">
        <is>
          <t>SIP-0117</t>
        </is>
      </c>
      <c r="C431" s="2" t="inlineStr">
        <is>
          <t>YAREND-001</t>
        </is>
      </c>
      <c r="D431" s="5" t="n">
        <v>11</v>
      </c>
      <c r="E431" s="2" t="inlineStr">
        <is>
          <t>Adet</t>
        </is>
      </c>
      <c r="F431" s="3" t="n">
        <v>1507.04</v>
      </c>
      <c r="G431" s="4" t="n">
        <v>0.09719999999999999</v>
      </c>
      <c r="H431" s="3" t="n">
        <v>1360.56</v>
      </c>
      <c r="I431" s="3" t="n">
        <v>14966.16</v>
      </c>
      <c r="J431" s="3" t="n">
        <v>945.3099999999999</v>
      </c>
      <c r="K431" s="3" t="n">
        <v>10398.41</v>
      </c>
      <c r="L431" s="3" t="n">
        <v>4567.75</v>
      </c>
      <c r="M431" s="4" t="n">
        <v>0.3052</v>
      </c>
    </row>
    <row r="432">
      <c r="A432" s="2" t="inlineStr">
        <is>
          <t>SKL-00431</t>
        </is>
      </c>
      <c r="B432" s="2" t="inlineStr">
        <is>
          <t>SIP-0117</t>
        </is>
      </c>
      <c r="C432" s="2" t="inlineStr">
        <is>
          <t>ENDVAN-010</t>
        </is>
      </c>
      <c r="D432" s="5" t="n">
        <v>2</v>
      </c>
      <c r="E432" s="2" t="inlineStr">
        <is>
          <t>Adet</t>
        </is>
      </c>
      <c r="F432" s="3" t="n">
        <v>1220.56</v>
      </c>
      <c r="G432" s="4" t="n">
        <v>0.0701</v>
      </c>
      <c r="H432" s="3" t="n">
        <v>1135</v>
      </c>
      <c r="I432" s="3" t="n">
        <v>2270</v>
      </c>
      <c r="J432" s="3" t="n">
        <v>891.17</v>
      </c>
      <c r="K432" s="3" t="n">
        <v>1782.34</v>
      </c>
      <c r="L432" s="3" t="n">
        <v>487.66</v>
      </c>
      <c r="M432" s="4" t="n">
        <v>0.2148</v>
      </c>
    </row>
    <row r="433">
      <c r="A433" s="2" t="inlineStr">
        <is>
          <t>SKL-00432</t>
        </is>
      </c>
      <c r="B433" s="2" t="inlineStr">
        <is>
          <t>SIP-0117</t>
        </is>
      </c>
      <c r="C433" s="2" t="inlineStr">
        <is>
          <t>ENDVAN-001</t>
        </is>
      </c>
      <c r="D433" s="5" t="n">
        <v>2</v>
      </c>
      <c r="E433" s="2" t="inlineStr">
        <is>
          <t>Adet</t>
        </is>
      </c>
      <c r="F433" s="3" t="n">
        <v>280.75</v>
      </c>
      <c r="G433" s="4" t="n">
        <v>0.009599999999999999</v>
      </c>
      <c r="H433" s="3" t="n">
        <v>278.05</v>
      </c>
      <c r="I433" s="3" t="n">
        <v>556.1</v>
      </c>
      <c r="J433" s="3" t="n">
        <v>192.02</v>
      </c>
      <c r="K433" s="3" t="n">
        <v>384.04</v>
      </c>
      <c r="L433" s="3" t="n">
        <v>172.06</v>
      </c>
      <c r="M433" s="4" t="n">
        <v>0.3094</v>
      </c>
    </row>
    <row r="434">
      <c r="A434" s="2" t="inlineStr">
        <is>
          <t>SKL-00433</t>
        </is>
      </c>
      <c r="B434" s="2" t="inlineStr">
        <is>
          <t>SIP-0117</t>
        </is>
      </c>
      <c r="C434" s="2" t="inlineStr">
        <is>
          <t>ENDVAN-026</t>
        </is>
      </c>
      <c r="D434" s="5" t="n">
        <v>5</v>
      </c>
      <c r="E434" s="2" t="inlineStr">
        <is>
          <t>Adet</t>
        </is>
      </c>
      <c r="F434" s="3" t="n">
        <v>1456.08</v>
      </c>
      <c r="G434" s="4" t="n">
        <v>0.0284</v>
      </c>
      <c r="H434" s="3" t="n">
        <v>1414.73</v>
      </c>
      <c r="I434" s="3" t="n">
        <v>7073.65</v>
      </c>
      <c r="J434" s="3" t="n">
        <v>1039.5</v>
      </c>
      <c r="K434" s="3" t="n">
        <v>5197.5</v>
      </c>
      <c r="L434" s="3" t="n">
        <v>1876.15</v>
      </c>
      <c r="M434" s="4" t="n">
        <v>0.2652</v>
      </c>
    </row>
    <row r="435">
      <c r="A435" s="2" t="inlineStr">
        <is>
          <t>SKL-00434</t>
        </is>
      </c>
      <c r="B435" s="2" t="inlineStr">
        <is>
          <t>SIP-0118</t>
        </is>
      </c>
      <c r="C435" s="2" t="inlineStr">
        <is>
          <t>MEKSIZ-011</t>
        </is>
      </c>
      <c r="D435" s="5" t="n">
        <v>5</v>
      </c>
      <c r="E435" s="2" t="inlineStr">
        <is>
          <t>Adet</t>
        </is>
      </c>
      <c r="F435" s="3" t="n">
        <v>430.42</v>
      </c>
      <c r="G435" s="4" t="n">
        <v>0.1036</v>
      </c>
      <c r="H435" s="3" t="n">
        <v>385.83</v>
      </c>
      <c r="I435" s="3" t="n">
        <v>1929.15</v>
      </c>
      <c r="J435" s="3" t="n">
        <v>258.54</v>
      </c>
      <c r="K435" s="3" t="n">
        <v>1292.7</v>
      </c>
      <c r="L435" s="3" t="n">
        <v>636.45</v>
      </c>
      <c r="M435" s="4" t="n">
        <v>0.3299</v>
      </c>
    </row>
    <row r="436">
      <c r="A436" s="2" t="inlineStr">
        <is>
          <t>SKL-00435</t>
        </is>
      </c>
      <c r="B436" s="2" t="inlineStr">
        <is>
          <t>SIP-0118</t>
        </is>
      </c>
      <c r="C436" s="2" t="inlineStr">
        <is>
          <t>PROTAN-004</t>
        </is>
      </c>
      <c r="D436" s="5" t="n">
        <v>2</v>
      </c>
      <c r="E436" s="2" t="inlineStr">
        <is>
          <t>Adet</t>
        </is>
      </c>
      <c r="F436" s="3" t="n">
        <v>16465.02</v>
      </c>
      <c r="G436" s="4" t="n">
        <v>0.0726</v>
      </c>
      <c r="H436" s="3" t="n">
        <v>15269.66</v>
      </c>
      <c r="I436" s="3" t="n">
        <v>30539.32</v>
      </c>
      <c r="J436" s="3" t="n">
        <v>12847.72</v>
      </c>
      <c r="K436" s="3" t="n">
        <v>25695.44</v>
      </c>
      <c r="L436" s="3" t="n">
        <v>4843.88</v>
      </c>
      <c r="M436" s="4" t="n">
        <v>0.1586</v>
      </c>
    </row>
    <row r="437">
      <c r="A437" s="2" t="inlineStr">
        <is>
          <t>SKL-00436</t>
        </is>
      </c>
      <c r="B437" s="2" t="inlineStr">
        <is>
          <t>SIP-0118</t>
        </is>
      </c>
      <c r="C437" s="2" t="inlineStr">
        <is>
          <t>MEKSIZ-006</t>
        </is>
      </c>
      <c r="D437" s="5" t="n">
        <v>5</v>
      </c>
      <c r="E437" s="2" t="inlineStr">
        <is>
          <t>Adet</t>
        </is>
      </c>
      <c r="F437" s="3" t="n">
        <v>568.48</v>
      </c>
      <c r="G437" s="4" t="n">
        <v>0.0098</v>
      </c>
      <c r="H437" s="3" t="n">
        <v>562.91</v>
      </c>
      <c r="I437" s="3" t="n">
        <v>2814.55</v>
      </c>
      <c r="J437" s="3" t="n">
        <v>347.05</v>
      </c>
      <c r="K437" s="3" t="n">
        <v>1735.25</v>
      </c>
      <c r="L437" s="3" t="n">
        <v>1079.3</v>
      </c>
      <c r="M437" s="4" t="n">
        <v>0.3835</v>
      </c>
    </row>
    <row r="438">
      <c r="A438" s="2" t="inlineStr">
        <is>
          <t>SKL-00437</t>
        </is>
      </c>
      <c r="B438" s="2" t="inlineStr">
        <is>
          <t>SIP-0118</t>
        </is>
      </c>
      <c r="C438" s="2" t="inlineStr">
        <is>
          <t>ENDVAN-027</t>
        </is>
      </c>
      <c r="D438" s="5" t="n">
        <v>2</v>
      </c>
      <c r="E438" s="2" t="inlineStr">
        <is>
          <t>Adet</t>
        </is>
      </c>
      <c r="F438" s="3" t="n">
        <v>1716.25</v>
      </c>
      <c r="G438" s="4" t="n">
        <v>0.0708</v>
      </c>
      <c r="H438" s="3" t="n">
        <v>1594.74</v>
      </c>
      <c r="I438" s="3" t="n">
        <v>3189.48</v>
      </c>
      <c r="J438" s="3" t="n">
        <v>1041.65</v>
      </c>
      <c r="K438" s="3" t="n">
        <v>2083.3</v>
      </c>
      <c r="L438" s="3" t="n">
        <v>1106.18</v>
      </c>
      <c r="M438" s="4" t="n">
        <v>0.3468</v>
      </c>
    </row>
    <row r="439">
      <c r="A439" s="2" t="inlineStr">
        <is>
          <t>SKL-00438</t>
        </is>
      </c>
      <c r="B439" s="2" t="inlineStr">
        <is>
          <t>SIP-0119</t>
        </is>
      </c>
      <c r="C439" s="2" t="inlineStr">
        <is>
          <t>FLAIZO-009</t>
        </is>
      </c>
      <c r="D439" s="5" t="n">
        <v>14</v>
      </c>
      <c r="E439" s="2" t="inlineStr">
        <is>
          <t>Set</t>
        </is>
      </c>
      <c r="F439" s="3" t="n">
        <v>213.82</v>
      </c>
      <c r="G439" s="4" t="n">
        <v>0.09</v>
      </c>
      <c r="H439" s="3" t="n">
        <v>194.58</v>
      </c>
      <c r="I439" s="3" t="n">
        <v>2724.12</v>
      </c>
      <c r="J439" s="3" t="n">
        <v>127.08</v>
      </c>
      <c r="K439" s="3" t="n">
        <v>1779.12</v>
      </c>
      <c r="L439" s="3" t="n">
        <v>945</v>
      </c>
      <c r="M439" s="4" t="n">
        <v>0.3469</v>
      </c>
    </row>
    <row r="440">
      <c r="A440" s="2" t="inlineStr">
        <is>
          <t>SKL-00439</t>
        </is>
      </c>
      <c r="B440" s="2" t="inlineStr">
        <is>
          <t>SIP-0119</t>
        </is>
      </c>
      <c r="C440" s="2" t="inlineStr">
        <is>
          <t>YAREND-005</t>
        </is>
      </c>
      <c r="D440" s="5" t="n">
        <v>6</v>
      </c>
      <c r="E440" s="2" t="inlineStr">
        <is>
          <t>Adet</t>
        </is>
      </c>
      <c r="F440" s="3" t="n">
        <v>892.6</v>
      </c>
      <c r="G440" s="4" t="n">
        <v>0.0206</v>
      </c>
      <c r="H440" s="3" t="n">
        <v>874.21</v>
      </c>
      <c r="I440" s="3" t="n">
        <v>5245.26</v>
      </c>
      <c r="J440" s="3" t="n">
        <v>729.01</v>
      </c>
      <c r="K440" s="3" t="n">
        <v>4374.06</v>
      </c>
      <c r="L440" s="3" t="n">
        <v>871.2</v>
      </c>
      <c r="M440" s="4" t="n">
        <v>0.1661</v>
      </c>
    </row>
    <row r="441">
      <c r="A441" s="2" t="inlineStr">
        <is>
          <t>SKL-00440</t>
        </is>
      </c>
      <c r="B441" s="2" t="inlineStr">
        <is>
          <t>SIP-0120</t>
        </is>
      </c>
      <c r="C441" s="2" t="inlineStr">
        <is>
          <t>FLAIZO-005</t>
        </is>
      </c>
      <c r="D441" s="5" t="n">
        <v>73</v>
      </c>
      <c r="E441" s="2" t="inlineStr">
        <is>
          <t>Set</t>
        </is>
      </c>
      <c r="F441" s="3" t="n">
        <v>227.98</v>
      </c>
      <c r="G441" s="4" t="n">
        <v>0.0639</v>
      </c>
      <c r="H441" s="3" t="n">
        <v>213.41</v>
      </c>
      <c r="I441" s="3" t="n">
        <v>15578.93</v>
      </c>
      <c r="J441" s="3" t="n">
        <v>120.26</v>
      </c>
      <c r="K441" s="3" t="n">
        <v>8778.98</v>
      </c>
      <c r="L441" s="3" t="n">
        <v>6799.95</v>
      </c>
      <c r="M441" s="4" t="n">
        <v>0.4365</v>
      </c>
    </row>
    <row r="442">
      <c r="A442" s="2" t="inlineStr">
        <is>
          <t>SKL-00441</t>
        </is>
      </c>
      <c r="B442" s="2" t="inlineStr">
        <is>
          <t>SIP-0120</t>
        </is>
      </c>
      <c r="C442" s="2" t="inlineStr">
        <is>
          <t>ENDVAN-015</t>
        </is>
      </c>
      <c r="D442" s="5" t="n">
        <v>10</v>
      </c>
      <c r="E442" s="2" t="inlineStr">
        <is>
          <t>Adet</t>
        </is>
      </c>
      <c r="F442" s="3" t="n">
        <v>1637.2</v>
      </c>
      <c r="G442" s="4" t="n">
        <v>0.055</v>
      </c>
      <c r="H442" s="3" t="n">
        <v>1547.15</v>
      </c>
      <c r="I442" s="3" t="n">
        <v>15471.5</v>
      </c>
      <c r="J442" s="3" t="n">
        <v>1019.05</v>
      </c>
      <c r="K442" s="3" t="n">
        <v>10190.5</v>
      </c>
      <c r="L442" s="3" t="n">
        <v>5281</v>
      </c>
      <c r="M442" s="4" t="n">
        <v>0.3413</v>
      </c>
    </row>
    <row r="443">
      <c r="A443" s="2" t="inlineStr">
        <is>
          <t>SKL-00442</t>
        </is>
      </c>
      <c r="B443" s="2" t="inlineStr">
        <is>
          <t>SIP-0120</t>
        </is>
      </c>
      <c r="C443" s="2" t="inlineStr">
        <is>
          <t>MEKSIZ-007</t>
        </is>
      </c>
      <c r="D443" s="5" t="n">
        <v>18</v>
      </c>
      <c r="E443" s="2" t="inlineStr">
        <is>
          <t>Adet</t>
        </is>
      </c>
      <c r="F443" s="3" t="n">
        <v>487.33</v>
      </c>
      <c r="G443" s="4" t="n">
        <v>0.0551</v>
      </c>
      <c r="H443" s="3" t="n">
        <v>460.48</v>
      </c>
      <c r="I443" s="3" t="n">
        <v>8288.639999999999</v>
      </c>
      <c r="J443" s="3" t="n">
        <v>301.85</v>
      </c>
      <c r="K443" s="3" t="n">
        <v>5433.3</v>
      </c>
      <c r="L443" s="3" t="n">
        <v>2855.34</v>
      </c>
      <c r="M443" s="4" t="n">
        <v>0.3445</v>
      </c>
    </row>
    <row r="444">
      <c r="A444" s="2" t="inlineStr">
        <is>
          <t>SKL-00443</t>
        </is>
      </c>
      <c r="B444" s="2" t="inlineStr">
        <is>
          <t>SIP-0121</t>
        </is>
      </c>
      <c r="C444" s="2" t="inlineStr">
        <is>
          <t>ENDVAN-018</t>
        </is>
      </c>
      <c r="D444" s="5" t="n">
        <v>9</v>
      </c>
      <c r="E444" s="2" t="inlineStr">
        <is>
          <t>Adet</t>
        </is>
      </c>
      <c r="F444" s="3" t="n">
        <v>1053.68</v>
      </c>
      <c r="G444" s="4" t="n">
        <v>0.0842</v>
      </c>
      <c r="H444" s="3" t="n">
        <v>964.96</v>
      </c>
      <c r="I444" s="3" t="n">
        <v>8684.639999999999</v>
      </c>
      <c r="J444" s="3" t="n">
        <v>781.12</v>
      </c>
      <c r="K444" s="3" t="n">
        <v>7030.08</v>
      </c>
      <c r="L444" s="3" t="n">
        <v>1654.56</v>
      </c>
      <c r="M444" s="4" t="n">
        <v>0.1905</v>
      </c>
    </row>
    <row r="445">
      <c r="A445" s="2" t="inlineStr">
        <is>
          <t>SKL-00444</t>
        </is>
      </c>
      <c r="B445" s="2" t="inlineStr">
        <is>
          <t>SIP-0121</t>
        </is>
      </c>
      <c r="C445" s="2" t="inlineStr">
        <is>
          <t>ENDVAN-032</t>
        </is>
      </c>
      <c r="D445" s="5" t="n">
        <v>13</v>
      </c>
      <c r="E445" s="2" t="inlineStr">
        <is>
          <t>Adet</t>
        </is>
      </c>
      <c r="F445" s="3" t="n">
        <v>1058.85</v>
      </c>
      <c r="G445" s="4" t="n">
        <v>0.008800000000000001</v>
      </c>
      <c r="H445" s="3" t="n">
        <v>1049.53</v>
      </c>
      <c r="I445" s="3" t="n">
        <v>13643.89</v>
      </c>
      <c r="J445" s="3" t="n">
        <v>641.8099999999999</v>
      </c>
      <c r="K445" s="3" t="n">
        <v>8343.530000000001</v>
      </c>
      <c r="L445" s="3" t="n">
        <v>5300.36</v>
      </c>
      <c r="M445" s="4" t="n">
        <v>0.3885</v>
      </c>
    </row>
    <row r="446">
      <c r="A446" s="2" t="inlineStr">
        <is>
          <t>SKL-00445</t>
        </is>
      </c>
      <c r="B446" s="2" t="inlineStr">
        <is>
          <t>SIP-0121</t>
        </is>
      </c>
      <c r="C446" s="2" t="inlineStr">
        <is>
          <t>MEKSIZ-014</t>
        </is>
      </c>
      <c r="D446" s="5" t="n">
        <v>6</v>
      </c>
      <c r="E446" s="2" t="inlineStr">
        <is>
          <t>Adet</t>
        </is>
      </c>
      <c r="F446" s="3" t="n">
        <v>397.73</v>
      </c>
      <c r="G446" s="4" t="n">
        <v>0.0534</v>
      </c>
      <c r="H446" s="3" t="n">
        <v>376.49</v>
      </c>
      <c r="I446" s="3" t="n">
        <v>2258.94</v>
      </c>
      <c r="J446" s="3" t="n">
        <v>242.32</v>
      </c>
      <c r="K446" s="3" t="n">
        <v>1453.92</v>
      </c>
      <c r="L446" s="3" t="n">
        <v>805.02</v>
      </c>
      <c r="M446" s="4" t="n">
        <v>0.3564</v>
      </c>
    </row>
    <row r="447">
      <c r="A447" s="2" t="inlineStr">
        <is>
          <t>SKL-00446</t>
        </is>
      </c>
      <c r="B447" s="2" t="inlineStr">
        <is>
          <t>SIP-0122</t>
        </is>
      </c>
      <c r="C447" s="2" t="inlineStr">
        <is>
          <t>MEKSIZ-008</t>
        </is>
      </c>
      <c r="D447" s="5" t="n">
        <v>15</v>
      </c>
      <c r="E447" s="2" t="inlineStr">
        <is>
          <t>Adet</t>
        </is>
      </c>
      <c r="F447" s="3" t="n">
        <v>733.79</v>
      </c>
      <c r="G447" s="4" t="n">
        <v>0.08019999999999999</v>
      </c>
      <c r="H447" s="3" t="n">
        <v>674.9400000000001</v>
      </c>
      <c r="I447" s="3" t="n">
        <v>10124.1</v>
      </c>
      <c r="J447" s="3" t="n">
        <v>457.74</v>
      </c>
      <c r="K447" s="3" t="n">
        <v>6866.1</v>
      </c>
      <c r="L447" s="3" t="n">
        <v>3258</v>
      </c>
      <c r="M447" s="4" t="n">
        <v>0.3218</v>
      </c>
    </row>
    <row r="448">
      <c r="A448" s="2" t="inlineStr">
        <is>
          <t>SKL-00447</t>
        </is>
      </c>
      <c r="B448" s="2" t="inlineStr">
        <is>
          <t>SIP-0122</t>
        </is>
      </c>
      <c r="C448" s="2" t="inlineStr">
        <is>
          <t>ENDVAN-033</t>
        </is>
      </c>
      <c r="D448" s="5" t="n">
        <v>9</v>
      </c>
      <c r="E448" s="2" t="inlineStr">
        <is>
          <t>Adet</t>
        </is>
      </c>
      <c r="F448" s="3" t="n">
        <v>1697.35</v>
      </c>
      <c r="G448" s="4" t="n">
        <v>0.0184</v>
      </c>
      <c r="H448" s="3" t="n">
        <v>1666.12</v>
      </c>
      <c r="I448" s="3" t="n">
        <v>14995.08</v>
      </c>
      <c r="J448" s="3" t="n">
        <v>1125.6</v>
      </c>
      <c r="K448" s="3" t="n">
        <v>10130.4</v>
      </c>
      <c r="L448" s="3" t="n">
        <v>4864.68</v>
      </c>
      <c r="M448" s="4" t="n">
        <v>0.3244</v>
      </c>
    </row>
    <row r="449">
      <c r="A449" s="2" t="inlineStr">
        <is>
          <t>SKL-00448</t>
        </is>
      </c>
      <c r="B449" s="2" t="inlineStr">
        <is>
          <t>SIP-0122</t>
        </is>
      </c>
      <c r="C449" s="2" t="inlineStr">
        <is>
          <t>FLAIZO-013</t>
        </is>
      </c>
      <c r="D449" s="5" t="n">
        <v>46</v>
      </c>
      <c r="E449" s="2" t="inlineStr">
        <is>
          <t>Set</t>
        </is>
      </c>
      <c r="F449" s="3" t="n">
        <v>37.08</v>
      </c>
      <c r="G449" s="4" t="n">
        <v>0.1035</v>
      </c>
      <c r="H449" s="3" t="n">
        <v>33.24</v>
      </c>
      <c r="I449" s="3" t="n">
        <v>1529.04</v>
      </c>
      <c r="J449" s="3" t="n">
        <v>19.05</v>
      </c>
      <c r="K449" s="3" t="n">
        <v>876.3</v>
      </c>
      <c r="L449" s="3" t="n">
        <v>652.74</v>
      </c>
      <c r="M449" s="4" t="n">
        <v>0.4269</v>
      </c>
    </row>
    <row r="450">
      <c r="A450" s="2" t="inlineStr">
        <is>
          <t>SKL-00449</t>
        </is>
      </c>
      <c r="B450" s="2" t="inlineStr">
        <is>
          <t>SIP-0122</t>
        </is>
      </c>
      <c r="C450" s="2" t="inlineStr">
        <is>
          <t>ENDVAN-032</t>
        </is>
      </c>
      <c r="D450" s="5" t="n">
        <v>18</v>
      </c>
      <c r="E450" s="2" t="inlineStr">
        <is>
          <t>Adet</t>
        </is>
      </c>
      <c r="F450" s="3" t="n">
        <v>1022.03</v>
      </c>
      <c r="G450" s="4" t="n">
        <v>0.0818</v>
      </c>
      <c r="H450" s="3" t="n">
        <v>938.4299999999999</v>
      </c>
      <c r="I450" s="3" t="n">
        <v>16891.74</v>
      </c>
      <c r="J450" s="3" t="n">
        <v>641.8099999999999</v>
      </c>
      <c r="K450" s="3" t="n">
        <v>11552.58</v>
      </c>
      <c r="L450" s="3" t="n">
        <v>5339.16</v>
      </c>
      <c r="M450" s="4" t="n">
        <v>0.3161</v>
      </c>
    </row>
    <row r="451">
      <c r="A451" s="2" t="inlineStr">
        <is>
          <t>SKL-00450</t>
        </is>
      </c>
      <c r="B451" s="2" t="inlineStr">
        <is>
          <t>SIP-0122</t>
        </is>
      </c>
      <c r="C451" s="2" t="inlineStr">
        <is>
          <t>ENDVAN-001</t>
        </is>
      </c>
      <c r="D451" s="5" t="n">
        <v>19</v>
      </c>
      <c r="E451" s="2" t="inlineStr">
        <is>
          <t>Adet</t>
        </is>
      </c>
      <c r="F451" s="3" t="n">
        <v>284.3</v>
      </c>
      <c r="G451" s="4" t="n">
        <v>0.1031</v>
      </c>
      <c r="H451" s="3" t="n">
        <v>254.99</v>
      </c>
      <c r="I451" s="3" t="n">
        <v>4844.81</v>
      </c>
      <c r="J451" s="3" t="n">
        <v>192.02</v>
      </c>
      <c r="K451" s="3" t="n">
        <v>3648.38</v>
      </c>
      <c r="L451" s="3" t="n">
        <v>1196.43</v>
      </c>
      <c r="M451" s="4" t="n">
        <v>0.247</v>
      </c>
    </row>
    <row r="452">
      <c r="A452" s="2" t="inlineStr">
        <is>
          <t>SKL-00451</t>
        </is>
      </c>
      <c r="B452" s="2" t="inlineStr">
        <is>
          <t>SIP-0122</t>
        </is>
      </c>
      <c r="C452" s="2" t="inlineStr">
        <is>
          <t>YAREND-001</t>
        </is>
      </c>
      <c r="D452" s="5" t="n">
        <v>18</v>
      </c>
      <c r="E452" s="2" t="inlineStr">
        <is>
          <t>Adet</t>
        </is>
      </c>
      <c r="F452" s="3" t="n">
        <v>1458.84</v>
      </c>
      <c r="G452" s="4" t="n">
        <v>0.0327</v>
      </c>
      <c r="H452" s="3" t="n">
        <v>1411.14</v>
      </c>
      <c r="I452" s="3" t="n">
        <v>25400.52</v>
      </c>
      <c r="J452" s="3" t="n">
        <v>945.3099999999999</v>
      </c>
      <c r="K452" s="3" t="n">
        <v>17015.58</v>
      </c>
      <c r="L452" s="3" t="n">
        <v>8384.940000000001</v>
      </c>
      <c r="M452" s="4" t="n">
        <v>0.3301</v>
      </c>
    </row>
    <row r="453">
      <c r="A453" s="2" t="inlineStr">
        <is>
          <t>SKL-00452</t>
        </is>
      </c>
      <c r="B453" s="2" t="inlineStr">
        <is>
          <t>SIP-0123</t>
        </is>
      </c>
      <c r="C453" s="2" t="inlineStr">
        <is>
          <t>ENDVAN-008</t>
        </is>
      </c>
      <c r="D453" s="5" t="n">
        <v>14</v>
      </c>
      <c r="E453" s="2" t="inlineStr">
        <is>
          <t>Adet</t>
        </is>
      </c>
      <c r="F453" s="3" t="n">
        <v>592.67</v>
      </c>
      <c r="G453" s="4" t="n">
        <v>0.0852</v>
      </c>
      <c r="H453" s="3" t="n">
        <v>542.17</v>
      </c>
      <c r="I453" s="3" t="n">
        <v>7590.38</v>
      </c>
      <c r="J453" s="3" t="n">
        <v>429.42</v>
      </c>
      <c r="K453" s="3" t="n">
        <v>6011.88</v>
      </c>
      <c r="L453" s="3" t="n">
        <v>1578.5</v>
      </c>
      <c r="M453" s="4" t="n">
        <v>0.208</v>
      </c>
    </row>
    <row r="454">
      <c r="A454" s="2" t="inlineStr">
        <is>
          <t>SKL-00453</t>
        </is>
      </c>
      <c r="B454" s="2" t="inlineStr">
        <is>
          <t>SIP-0123</t>
        </is>
      </c>
      <c r="C454" s="2" t="inlineStr">
        <is>
          <t>ENDVAN-026</t>
        </is>
      </c>
      <c r="D454" s="5" t="n">
        <v>2</v>
      </c>
      <c r="E454" s="2" t="inlineStr">
        <is>
          <t>Adet</t>
        </is>
      </c>
      <c r="F454" s="3" t="n">
        <v>1394.02</v>
      </c>
      <c r="G454" s="4" t="n">
        <v>0.0236</v>
      </c>
      <c r="H454" s="3" t="n">
        <v>1361.12</v>
      </c>
      <c r="I454" s="3" t="n">
        <v>2722.24</v>
      </c>
      <c r="J454" s="3" t="n">
        <v>1039.5</v>
      </c>
      <c r="K454" s="3" t="n">
        <v>2079</v>
      </c>
      <c r="L454" s="3" t="n">
        <v>643.24</v>
      </c>
      <c r="M454" s="4" t="n">
        <v>0.2363</v>
      </c>
    </row>
    <row r="455">
      <c r="A455" s="2" t="inlineStr">
        <is>
          <t>SKL-00454</t>
        </is>
      </c>
      <c r="B455" s="2" t="inlineStr">
        <is>
          <t>SIP-0123</t>
        </is>
      </c>
      <c r="C455" s="2" t="inlineStr">
        <is>
          <t>ENDVAN-007</t>
        </is>
      </c>
      <c r="D455" s="5" t="n">
        <v>8</v>
      </c>
      <c r="E455" s="2" t="inlineStr">
        <is>
          <t>Adet</t>
        </is>
      </c>
      <c r="F455" s="3" t="n">
        <v>196.51</v>
      </c>
      <c r="G455" s="4" t="n">
        <v>0.0548</v>
      </c>
      <c r="H455" s="3" t="n">
        <v>185.74</v>
      </c>
      <c r="I455" s="3" t="n">
        <v>1485.92</v>
      </c>
      <c r="J455" s="3" t="n">
        <v>126.94</v>
      </c>
      <c r="K455" s="3" t="n">
        <v>1015.52</v>
      </c>
      <c r="L455" s="3" t="n">
        <v>470.4</v>
      </c>
      <c r="M455" s="4" t="n">
        <v>0.3166</v>
      </c>
    </row>
    <row r="456">
      <c r="A456" s="2" t="inlineStr">
        <is>
          <t>SKL-00455</t>
        </is>
      </c>
      <c r="B456" s="2" t="inlineStr">
        <is>
          <t>SIP-0123</t>
        </is>
      </c>
      <c r="C456" s="2" t="inlineStr">
        <is>
          <t>ENDVAN-030</t>
        </is>
      </c>
      <c r="D456" s="5" t="n">
        <v>9</v>
      </c>
      <c r="E456" s="2" t="inlineStr">
        <is>
          <t>Adet</t>
        </is>
      </c>
      <c r="F456" s="3" t="n">
        <v>448.21</v>
      </c>
      <c r="G456" s="4" t="n">
        <v>0.08989999999999999</v>
      </c>
      <c r="H456" s="3" t="n">
        <v>407.92</v>
      </c>
      <c r="I456" s="3" t="n">
        <v>3671.28</v>
      </c>
      <c r="J456" s="3" t="n">
        <v>303.77</v>
      </c>
      <c r="K456" s="3" t="n">
        <v>2733.93</v>
      </c>
      <c r="L456" s="3" t="n">
        <v>937.35</v>
      </c>
      <c r="M456" s="4" t="n">
        <v>0.2553</v>
      </c>
    </row>
    <row r="457">
      <c r="A457" s="2" t="inlineStr">
        <is>
          <t>SKL-00456</t>
        </is>
      </c>
      <c r="B457" s="2" t="inlineStr">
        <is>
          <t>SIP-0123</t>
        </is>
      </c>
      <c r="C457" s="2" t="inlineStr">
        <is>
          <t>YAREND-010</t>
        </is>
      </c>
      <c r="D457" s="5" t="n">
        <v>21</v>
      </c>
      <c r="E457" s="2" t="inlineStr">
        <is>
          <t>Adet</t>
        </is>
      </c>
      <c r="F457" s="3" t="n">
        <v>996.48</v>
      </c>
      <c r="G457" s="4" t="n">
        <v>0.0993</v>
      </c>
      <c r="H457" s="3" t="n">
        <v>897.53</v>
      </c>
      <c r="I457" s="3" t="n">
        <v>18848.13</v>
      </c>
      <c r="J457" s="3" t="n">
        <v>593.24</v>
      </c>
      <c r="K457" s="3" t="n">
        <v>12458.04</v>
      </c>
      <c r="L457" s="3" t="n">
        <v>6390.09</v>
      </c>
      <c r="M457" s="4" t="n">
        <v>0.339</v>
      </c>
    </row>
    <row r="458">
      <c r="A458" s="2" t="inlineStr">
        <is>
          <t>SKL-00457</t>
        </is>
      </c>
      <c r="B458" s="2" t="inlineStr">
        <is>
          <t>SIP-0123</t>
        </is>
      </c>
      <c r="C458" s="2" t="inlineStr">
        <is>
          <t>YAREND-001</t>
        </is>
      </c>
      <c r="D458" s="5" t="n">
        <v>11</v>
      </c>
      <c r="E458" s="2" t="inlineStr">
        <is>
          <t>Adet</t>
        </is>
      </c>
      <c r="F458" s="3" t="n">
        <v>1492.66</v>
      </c>
      <c r="G458" s="4" t="n">
        <v>0.08550000000000001</v>
      </c>
      <c r="H458" s="3" t="n">
        <v>1365.04</v>
      </c>
      <c r="I458" s="3" t="n">
        <v>15015.44</v>
      </c>
      <c r="J458" s="3" t="n">
        <v>945.3099999999999</v>
      </c>
      <c r="K458" s="3" t="n">
        <v>10398.41</v>
      </c>
      <c r="L458" s="3" t="n">
        <v>4617.03</v>
      </c>
      <c r="M458" s="4" t="n">
        <v>0.3075</v>
      </c>
    </row>
    <row r="459">
      <c r="A459" s="2" t="inlineStr">
        <is>
          <t>SKL-00458</t>
        </is>
      </c>
      <c r="B459" s="2" t="inlineStr">
        <is>
          <t>SIP-0124</t>
        </is>
      </c>
      <c r="C459" s="2" t="inlineStr">
        <is>
          <t>ENDVAN-029</t>
        </is>
      </c>
      <c r="D459" s="5" t="n">
        <v>6</v>
      </c>
      <c r="E459" s="2" t="inlineStr">
        <is>
          <t>Adet</t>
        </is>
      </c>
      <c r="F459" s="3" t="n">
        <v>495.93</v>
      </c>
      <c r="G459" s="4" t="n">
        <v>0.1005</v>
      </c>
      <c r="H459" s="3" t="n">
        <v>446.09</v>
      </c>
      <c r="I459" s="3" t="n">
        <v>2676.54</v>
      </c>
      <c r="J459" s="3" t="n">
        <v>318.96</v>
      </c>
      <c r="K459" s="3" t="n">
        <v>1913.76</v>
      </c>
      <c r="L459" s="3" t="n">
        <v>762.78</v>
      </c>
      <c r="M459" s="4" t="n">
        <v>0.285</v>
      </c>
    </row>
    <row r="460">
      <c r="A460" s="2" t="inlineStr">
        <is>
          <t>SKL-00459</t>
        </is>
      </c>
      <c r="B460" s="2" t="inlineStr">
        <is>
          <t>SIP-0125</t>
        </is>
      </c>
      <c r="C460" s="2" t="inlineStr">
        <is>
          <t>ENDVAN-019</t>
        </is>
      </c>
      <c r="D460" s="5" t="n">
        <v>11</v>
      </c>
      <c r="E460" s="2" t="inlineStr">
        <is>
          <t>Adet</t>
        </is>
      </c>
      <c r="F460" s="3" t="n">
        <v>801.09</v>
      </c>
      <c r="G460" s="4" t="n">
        <v>0.083</v>
      </c>
      <c r="H460" s="3" t="n">
        <v>734.6</v>
      </c>
      <c r="I460" s="3" t="n">
        <v>8080.6</v>
      </c>
      <c r="J460" s="3" t="n">
        <v>564.9400000000001</v>
      </c>
      <c r="K460" s="3" t="n">
        <v>6214.34</v>
      </c>
      <c r="L460" s="3" t="n">
        <v>1866.26</v>
      </c>
      <c r="M460" s="4" t="n">
        <v>0.231</v>
      </c>
    </row>
    <row r="461">
      <c r="A461" s="2" t="inlineStr">
        <is>
          <t>SKL-00460</t>
        </is>
      </c>
      <c r="B461" s="2" t="inlineStr">
        <is>
          <t>SIP-0125</t>
        </is>
      </c>
      <c r="C461" s="2" t="inlineStr">
        <is>
          <t>MEKSIZ-006</t>
        </is>
      </c>
      <c r="D461" s="5" t="n">
        <v>27</v>
      </c>
      <c r="E461" s="2" t="inlineStr">
        <is>
          <t>Adet</t>
        </is>
      </c>
      <c r="F461" s="3" t="n">
        <v>558.47</v>
      </c>
      <c r="G461" s="4" t="n">
        <v>0.0862</v>
      </c>
      <c r="H461" s="3" t="n">
        <v>510.33</v>
      </c>
      <c r="I461" s="3" t="n">
        <v>13778.91</v>
      </c>
      <c r="J461" s="3" t="n">
        <v>347.05</v>
      </c>
      <c r="K461" s="3" t="n">
        <v>9370.35</v>
      </c>
      <c r="L461" s="3" t="n">
        <v>4408.56</v>
      </c>
      <c r="M461" s="4" t="n">
        <v>0.3199</v>
      </c>
    </row>
    <row r="462">
      <c r="A462" s="2" t="inlineStr">
        <is>
          <t>SKL-00461</t>
        </is>
      </c>
      <c r="B462" s="2" t="inlineStr">
        <is>
          <t>SIP-0126</t>
        </is>
      </c>
      <c r="C462" s="2" t="inlineStr">
        <is>
          <t>FLAIZO-002</t>
        </is>
      </c>
      <c r="D462" s="5" t="n">
        <v>24</v>
      </c>
      <c r="E462" s="2" t="inlineStr">
        <is>
          <t>Set</t>
        </is>
      </c>
      <c r="F462" s="3" t="n">
        <v>102.1</v>
      </c>
      <c r="G462" s="4" t="n">
        <v>0.0886</v>
      </c>
      <c r="H462" s="3" t="n">
        <v>93.05</v>
      </c>
      <c r="I462" s="3" t="n">
        <v>2233.2</v>
      </c>
      <c r="J462" s="3" t="n">
        <v>54.73</v>
      </c>
      <c r="K462" s="3" t="n">
        <v>1313.52</v>
      </c>
      <c r="L462" s="3" t="n">
        <v>919.6799999999999</v>
      </c>
      <c r="M462" s="4" t="n">
        <v>0.4118</v>
      </c>
    </row>
    <row r="463">
      <c r="A463" s="2" t="inlineStr">
        <is>
          <t>SKL-00462</t>
        </is>
      </c>
      <c r="B463" s="2" t="inlineStr">
        <is>
          <t>SIP-0127</t>
        </is>
      </c>
      <c r="C463" s="2" t="inlineStr">
        <is>
          <t>ENDVAN-004</t>
        </is>
      </c>
      <c r="D463" s="5" t="n">
        <v>6</v>
      </c>
      <c r="E463" s="2" t="inlineStr">
        <is>
          <t>Adet</t>
        </is>
      </c>
      <c r="F463" s="3" t="n">
        <v>297.73</v>
      </c>
      <c r="G463" s="4" t="n">
        <v>0.0533</v>
      </c>
      <c r="H463" s="3" t="n">
        <v>281.86</v>
      </c>
      <c r="I463" s="3" t="n">
        <v>1691.16</v>
      </c>
      <c r="J463" s="3" t="n">
        <v>212.53</v>
      </c>
      <c r="K463" s="3" t="n">
        <v>1275.18</v>
      </c>
      <c r="L463" s="3" t="n">
        <v>415.98</v>
      </c>
      <c r="M463" s="4" t="n">
        <v>0.246</v>
      </c>
    </row>
    <row r="464">
      <c r="A464" s="2" t="inlineStr">
        <is>
          <t>SKL-00463</t>
        </is>
      </c>
      <c r="B464" s="2" t="inlineStr">
        <is>
          <t>SIP-0127</t>
        </is>
      </c>
      <c r="C464" s="2" t="inlineStr">
        <is>
          <t>ENDVAN-028</t>
        </is>
      </c>
      <c r="D464" s="5" t="n">
        <v>15</v>
      </c>
      <c r="E464" s="2" t="inlineStr">
        <is>
          <t>Adet</t>
        </is>
      </c>
      <c r="F464" s="3" t="n">
        <v>1079.87</v>
      </c>
      <c r="G464" s="4" t="n">
        <v>0.1096</v>
      </c>
      <c r="H464" s="3" t="n">
        <v>961.52</v>
      </c>
      <c r="I464" s="3" t="n">
        <v>14422.8</v>
      </c>
      <c r="J464" s="3" t="n">
        <v>812.05</v>
      </c>
      <c r="K464" s="3" t="n">
        <v>12180.75</v>
      </c>
      <c r="L464" s="3" t="n">
        <v>2242.05</v>
      </c>
      <c r="M464" s="4" t="n">
        <v>0.1555</v>
      </c>
    </row>
    <row r="465">
      <c r="A465" s="2" t="inlineStr">
        <is>
          <t>SKL-00464</t>
        </is>
      </c>
      <c r="B465" s="2" t="inlineStr">
        <is>
          <t>SIP-0127</t>
        </is>
      </c>
      <c r="C465" s="2" t="inlineStr">
        <is>
          <t>YAREND-009</t>
        </is>
      </c>
      <c r="D465" s="5" t="n">
        <v>4</v>
      </c>
      <c r="E465" s="2" t="inlineStr">
        <is>
          <t>Adet</t>
        </is>
      </c>
      <c r="F465" s="3" t="n">
        <v>1191.84</v>
      </c>
      <c r="G465" s="4" t="n">
        <v>0.0163</v>
      </c>
      <c r="H465" s="3" t="n">
        <v>1172.41</v>
      </c>
      <c r="I465" s="3" t="n">
        <v>4689.64</v>
      </c>
      <c r="J465" s="3" t="n">
        <v>873.73</v>
      </c>
      <c r="K465" s="3" t="n">
        <v>3494.92</v>
      </c>
      <c r="L465" s="3" t="n">
        <v>1194.72</v>
      </c>
      <c r="M465" s="4" t="n">
        <v>0.2548</v>
      </c>
    </row>
    <row r="466">
      <c r="A466" s="2" t="inlineStr">
        <is>
          <t>SKL-00465</t>
        </is>
      </c>
      <c r="B466" s="2" t="inlineStr">
        <is>
          <t>SIP-0127</t>
        </is>
      </c>
      <c r="C466" s="2" t="inlineStr">
        <is>
          <t>FLAIZO-004</t>
        </is>
      </c>
      <c r="D466" s="5" t="n">
        <v>12</v>
      </c>
      <c r="E466" s="2" t="inlineStr">
        <is>
          <t>Set</t>
        </is>
      </c>
      <c r="F466" s="3" t="n">
        <v>48.35</v>
      </c>
      <c r="G466" s="4" t="n">
        <v>0.0414</v>
      </c>
      <c r="H466" s="3" t="n">
        <v>46.35</v>
      </c>
      <c r="I466" s="3" t="n">
        <v>556.2</v>
      </c>
      <c r="J466" s="3" t="n">
        <v>25.08</v>
      </c>
      <c r="K466" s="3" t="n">
        <v>300.96</v>
      </c>
      <c r="L466" s="3" t="n">
        <v>255.24</v>
      </c>
      <c r="M466" s="4" t="n">
        <v>0.4589</v>
      </c>
    </row>
    <row r="467">
      <c r="A467" s="2" t="inlineStr">
        <is>
          <t>SKL-00466</t>
        </is>
      </c>
      <c r="B467" s="2" t="inlineStr">
        <is>
          <t>SIP-0128</t>
        </is>
      </c>
      <c r="C467" s="2" t="inlineStr">
        <is>
          <t>PROTAN-009</t>
        </is>
      </c>
      <c r="D467" s="5" t="n">
        <v>1</v>
      </c>
      <c r="E467" s="2" t="inlineStr">
        <is>
          <t>Adet</t>
        </is>
      </c>
      <c r="F467" s="3" t="n">
        <v>14830.03</v>
      </c>
      <c r="G467" s="4" t="n">
        <v>0.1017</v>
      </c>
      <c r="H467" s="3" t="n">
        <v>13321.82</v>
      </c>
      <c r="I467" s="3" t="n">
        <v>13321.82</v>
      </c>
      <c r="J467" s="3" t="n">
        <v>12443.59</v>
      </c>
      <c r="K467" s="3" t="n">
        <v>12443.59</v>
      </c>
      <c r="L467" s="3" t="n">
        <v>878.23</v>
      </c>
      <c r="M467" s="4" t="n">
        <v>0.0659</v>
      </c>
    </row>
    <row r="468">
      <c r="A468" s="2" t="inlineStr">
        <is>
          <t>SKL-00467</t>
        </is>
      </c>
      <c r="B468" s="2" t="inlineStr">
        <is>
          <t>SIP-0128</t>
        </is>
      </c>
      <c r="C468" s="2" t="inlineStr">
        <is>
          <t>ENDVAN-011</t>
        </is>
      </c>
      <c r="D468" s="5" t="n">
        <v>7</v>
      </c>
      <c r="E468" s="2" t="inlineStr">
        <is>
          <t>Adet</t>
        </is>
      </c>
      <c r="F468" s="3" t="n">
        <v>926.55</v>
      </c>
      <c r="G468" s="4" t="n">
        <v>0.0961</v>
      </c>
      <c r="H468" s="3" t="n">
        <v>837.51</v>
      </c>
      <c r="I468" s="3" t="n">
        <v>5862.57</v>
      </c>
      <c r="J468" s="3" t="n">
        <v>615.55</v>
      </c>
      <c r="K468" s="3" t="n">
        <v>4308.85</v>
      </c>
      <c r="L468" s="3" t="n">
        <v>1553.72</v>
      </c>
      <c r="M468" s="4" t="n">
        <v>0.265</v>
      </c>
    </row>
    <row r="469">
      <c r="A469" s="2" t="inlineStr">
        <is>
          <t>SKL-00468</t>
        </is>
      </c>
      <c r="B469" s="2" t="inlineStr">
        <is>
          <t>SIP-0128</t>
        </is>
      </c>
      <c r="C469" s="2" t="inlineStr">
        <is>
          <t>ENDVAN-016</t>
        </is>
      </c>
      <c r="D469" s="5" t="n">
        <v>12</v>
      </c>
      <c r="E469" s="2" t="inlineStr">
        <is>
          <t>Adet</t>
        </is>
      </c>
      <c r="F469" s="3" t="n">
        <v>908.15</v>
      </c>
      <c r="G469" s="4" t="n">
        <v>0.1005</v>
      </c>
      <c r="H469" s="3" t="n">
        <v>816.88</v>
      </c>
      <c r="I469" s="3" t="n">
        <v>9802.559999999999</v>
      </c>
      <c r="J469" s="3" t="n">
        <v>674.97</v>
      </c>
      <c r="K469" s="3" t="n">
        <v>8099.64</v>
      </c>
      <c r="L469" s="3" t="n">
        <v>1702.92</v>
      </c>
      <c r="M469" s="4" t="n">
        <v>0.1737</v>
      </c>
    </row>
    <row r="470">
      <c r="A470" s="2" t="inlineStr">
        <is>
          <t>SKL-00469</t>
        </is>
      </c>
      <c r="B470" s="2" t="inlineStr">
        <is>
          <t>SIP-0128</t>
        </is>
      </c>
      <c r="C470" s="2" t="inlineStr">
        <is>
          <t>ENDVAN-006</t>
        </is>
      </c>
      <c r="D470" s="5" t="n">
        <v>21</v>
      </c>
      <c r="E470" s="2" t="inlineStr">
        <is>
          <t>Adet</t>
        </is>
      </c>
      <c r="F470" s="3" t="n">
        <v>1717.25</v>
      </c>
      <c r="G470" s="4" t="n">
        <v>0.0457</v>
      </c>
      <c r="H470" s="3" t="n">
        <v>1638.77</v>
      </c>
      <c r="I470" s="3" t="n">
        <v>34414.17</v>
      </c>
      <c r="J470" s="3" t="n">
        <v>1160.99</v>
      </c>
      <c r="K470" s="3" t="n">
        <v>24380.79</v>
      </c>
      <c r="L470" s="3" t="n">
        <v>10033.38</v>
      </c>
      <c r="M470" s="4" t="n">
        <v>0.2915</v>
      </c>
    </row>
    <row r="471">
      <c r="A471" s="2" t="inlineStr">
        <is>
          <t>SKL-00470</t>
        </is>
      </c>
      <c r="B471" s="2" t="inlineStr">
        <is>
          <t>SIP-0128</t>
        </is>
      </c>
      <c r="C471" s="2" t="inlineStr">
        <is>
          <t>FLAIZO-007</t>
        </is>
      </c>
      <c r="D471" s="5" t="n">
        <v>30</v>
      </c>
      <c r="E471" s="2" t="inlineStr">
        <is>
          <t>Set</t>
        </is>
      </c>
      <c r="F471" s="3" t="n">
        <v>123.4</v>
      </c>
      <c r="G471" s="4" t="n">
        <v>0.0678</v>
      </c>
      <c r="H471" s="3" t="n">
        <v>115.03</v>
      </c>
      <c r="I471" s="3" t="n">
        <v>3450.9</v>
      </c>
      <c r="J471" s="3" t="n">
        <v>70.09</v>
      </c>
      <c r="K471" s="3" t="n">
        <v>2102.7</v>
      </c>
      <c r="L471" s="3" t="n">
        <v>1348.2</v>
      </c>
      <c r="M471" s="4" t="n">
        <v>0.3907</v>
      </c>
    </row>
    <row r="472">
      <c r="A472" s="2" t="inlineStr">
        <is>
          <t>SKL-00471</t>
        </is>
      </c>
      <c r="B472" s="2" t="inlineStr">
        <is>
          <t>SIP-0128</t>
        </is>
      </c>
      <c r="C472" s="2" t="inlineStr">
        <is>
          <t>ENDVAN-033</t>
        </is>
      </c>
      <c r="D472" s="5" t="n">
        <v>7</v>
      </c>
      <c r="E472" s="2" t="inlineStr">
        <is>
          <t>Adet</t>
        </is>
      </c>
      <c r="F472" s="3" t="n">
        <v>1809.52</v>
      </c>
      <c r="G472" s="4" t="n">
        <v>0.0504</v>
      </c>
      <c r="H472" s="3" t="n">
        <v>1718.32</v>
      </c>
      <c r="I472" s="3" t="n">
        <v>12028.24</v>
      </c>
      <c r="J472" s="3" t="n">
        <v>1125.6</v>
      </c>
      <c r="K472" s="3" t="n">
        <v>7879.2</v>
      </c>
      <c r="L472" s="3" t="n">
        <v>4149.04</v>
      </c>
      <c r="M472" s="4" t="n">
        <v>0.3449</v>
      </c>
    </row>
    <row r="473">
      <c r="A473" s="2" t="inlineStr">
        <is>
          <t>SKL-00472</t>
        </is>
      </c>
      <c r="B473" s="2" t="inlineStr">
        <is>
          <t>SIP-0129</t>
        </is>
      </c>
      <c r="C473" s="2" t="inlineStr">
        <is>
          <t>ENDVAN-017</t>
        </is>
      </c>
      <c r="D473" s="5" t="n">
        <v>17</v>
      </c>
      <c r="E473" s="2" t="inlineStr">
        <is>
          <t>Adet</t>
        </is>
      </c>
      <c r="F473" s="3" t="n">
        <v>757.08</v>
      </c>
      <c r="G473" s="4" t="n">
        <v>0.0582</v>
      </c>
      <c r="H473" s="3" t="n">
        <v>713.02</v>
      </c>
      <c r="I473" s="3" t="n">
        <v>12121.34</v>
      </c>
      <c r="J473" s="3" t="n">
        <v>518.3099999999999</v>
      </c>
      <c r="K473" s="3" t="n">
        <v>8811.27</v>
      </c>
      <c r="L473" s="3" t="n">
        <v>3310.07</v>
      </c>
      <c r="M473" s="4" t="n">
        <v>0.2731</v>
      </c>
    </row>
    <row r="474">
      <c r="A474" s="2" t="inlineStr">
        <is>
          <t>SKL-00473</t>
        </is>
      </c>
      <c r="B474" s="2" t="inlineStr">
        <is>
          <t>SIP-0129</t>
        </is>
      </c>
      <c r="C474" s="2" t="inlineStr">
        <is>
          <t>MEKSIZ-009</t>
        </is>
      </c>
      <c r="D474" s="5" t="n">
        <v>13</v>
      </c>
      <c r="E474" s="2" t="inlineStr">
        <is>
          <t>Adet</t>
        </is>
      </c>
      <c r="F474" s="3" t="n">
        <v>767.38</v>
      </c>
      <c r="G474" s="4" t="n">
        <v>0.09950000000000001</v>
      </c>
      <c r="H474" s="3" t="n">
        <v>691.03</v>
      </c>
      <c r="I474" s="3" t="n">
        <v>8983.389999999999</v>
      </c>
      <c r="J474" s="3" t="n">
        <v>458.31</v>
      </c>
      <c r="K474" s="3" t="n">
        <v>5958.03</v>
      </c>
      <c r="L474" s="3" t="n">
        <v>3025.36</v>
      </c>
      <c r="M474" s="4" t="n">
        <v>0.3368</v>
      </c>
    </row>
    <row r="475">
      <c r="A475" s="2" t="inlineStr">
        <is>
          <t>SKL-00474</t>
        </is>
      </c>
      <c r="B475" s="2" t="inlineStr">
        <is>
          <t>SIP-0129</t>
        </is>
      </c>
      <c r="C475" s="2" t="inlineStr">
        <is>
          <t>ENDVAN-014</t>
        </is>
      </c>
      <c r="D475" s="5" t="n">
        <v>8</v>
      </c>
      <c r="E475" s="2" t="inlineStr">
        <is>
          <t>Adet</t>
        </is>
      </c>
      <c r="F475" s="3" t="n">
        <v>1624.29</v>
      </c>
      <c r="G475" s="4" t="n">
        <v>0.0128</v>
      </c>
      <c r="H475" s="3" t="n">
        <v>1603.5</v>
      </c>
      <c r="I475" s="3" t="n">
        <v>12828</v>
      </c>
      <c r="J475" s="3" t="n">
        <v>1025.06</v>
      </c>
      <c r="K475" s="3" t="n">
        <v>8200.48</v>
      </c>
      <c r="L475" s="3" t="n">
        <v>4627.52</v>
      </c>
      <c r="M475" s="4" t="n">
        <v>0.3607</v>
      </c>
    </row>
    <row r="476">
      <c r="A476" s="2" t="inlineStr">
        <is>
          <t>SKL-00475</t>
        </is>
      </c>
      <c r="B476" s="2" t="inlineStr">
        <is>
          <t>SIP-0129</t>
        </is>
      </c>
      <c r="C476" s="2" t="inlineStr">
        <is>
          <t>MEKSIZ-014</t>
        </is>
      </c>
      <c r="D476" s="5" t="n">
        <v>21</v>
      </c>
      <c r="E476" s="2" t="inlineStr">
        <is>
          <t>Adet</t>
        </is>
      </c>
      <c r="F476" s="3" t="n">
        <v>376.77</v>
      </c>
      <c r="G476" s="4" t="n">
        <v>0.0646</v>
      </c>
      <c r="H476" s="3" t="n">
        <v>352.43</v>
      </c>
      <c r="I476" s="3" t="n">
        <v>7401.03</v>
      </c>
      <c r="J476" s="3" t="n">
        <v>242.32</v>
      </c>
      <c r="K476" s="3" t="n">
        <v>5088.72</v>
      </c>
      <c r="L476" s="3" t="n">
        <v>2312.31</v>
      </c>
      <c r="M476" s="4" t="n">
        <v>0.3124</v>
      </c>
    </row>
    <row r="477">
      <c r="A477" s="2" t="inlineStr">
        <is>
          <t>SKL-00476</t>
        </is>
      </c>
      <c r="B477" s="2" t="inlineStr">
        <is>
          <t>SIP-0130</t>
        </is>
      </c>
      <c r="C477" s="2" t="inlineStr">
        <is>
          <t>ENDVAN-017</t>
        </is>
      </c>
      <c r="D477" s="5" t="n">
        <v>10</v>
      </c>
      <c r="E477" s="2" t="inlineStr">
        <is>
          <t>Adet</t>
        </is>
      </c>
      <c r="F477" s="3" t="n">
        <v>779.1900000000001</v>
      </c>
      <c r="G477" s="4" t="n">
        <v>0.0415</v>
      </c>
      <c r="H477" s="3" t="n">
        <v>746.85</v>
      </c>
      <c r="I477" s="3" t="n">
        <v>7468.5</v>
      </c>
      <c r="J477" s="3" t="n">
        <v>518.3099999999999</v>
      </c>
      <c r="K477" s="3" t="n">
        <v>5183.1</v>
      </c>
      <c r="L477" s="3" t="n">
        <v>2285.4</v>
      </c>
      <c r="M477" s="4" t="n">
        <v>0.306</v>
      </c>
    </row>
    <row r="478">
      <c r="A478" s="2" t="inlineStr">
        <is>
          <t>SKL-00477</t>
        </is>
      </c>
      <c r="B478" s="2" t="inlineStr">
        <is>
          <t>SIP-0130</t>
        </is>
      </c>
      <c r="C478" s="2" t="inlineStr">
        <is>
          <t>ENDVAN-001</t>
        </is>
      </c>
      <c r="D478" s="5" t="n">
        <v>17</v>
      </c>
      <c r="E478" s="2" t="inlineStr">
        <is>
          <t>Adet</t>
        </is>
      </c>
      <c r="F478" s="3" t="n">
        <v>286.14</v>
      </c>
      <c r="G478" s="4" t="n">
        <v>0.055</v>
      </c>
      <c r="H478" s="3" t="n">
        <v>270.4</v>
      </c>
      <c r="I478" s="3" t="n">
        <v>4596.8</v>
      </c>
      <c r="J478" s="3" t="n">
        <v>192.02</v>
      </c>
      <c r="K478" s="3" t="n">
        <v>3264.34</v>
      </c>
      <c r="L478" s="3" t="n">
        <v>1332.46</v>
      </c>
      <c r="M478" s="4" t="n">
        <v>0.2899</v>
      </c>
    </row>
    <row r="479">
      <c r="A479" s="2" t="inlineStr">
        <is>
          <t>SKL-00478</t>
        </is>
      </c>
      <c r="B479" s="2" t="inlineStr">
        <is>
          <t>SIP-0130</t>
        </is>
      </c>
      <c r="C479" s="2" t="inlineStr">
        <is>
          <t>MEKSIZ-004</t>
        </is>
      </c>
      <c r="D479" s="5" t="n">
        <v>6</v>
      </c>
      <c r="E479" s="2" t="inlineStr">
        <is>
          <t>Adet</t>
        </is>
      </c>
      <c r="F479" s="3" t="n">
        <v>251.9</v>
      </c>
      <c r="G479" s="4" t="n">
        <v>0.0195</v>
      </c>
      <c r="H479" s="3" t="n">
        <v>246.99</v>
      </c>
      <c r="I479" s="3" t="n">
        <v>1481.94</v>
      </c>
      <c r="J479" s="3" t="n">
        <v>164.52</v>
      </c>
      <c r="K479" s="3" t="n">
        <v>987.12</v>
      </c>
      <c r="L479" s="3" t="n">
        <v>494.82</v>
      </c>
      <c r="M479" s="4" t="n">
        <v>0.3339</v>
      </c>
    </row>
    <row r="480">
      <c r="A480" s="2" t="inlineStr">
        <is>
          <t>SKL-00479</t>
        </is>
      </c>
      <c r="B480" s="2" t="inlineStr">
        <is>
          <t>SIP-0130</t>
        </is>
      </c>
      <c r="C480" s="2" t="inlineStr">
        <is>
          <t>ENDVAN-005</t>
        </is>
      </c>
      <c r="D480" s="5" t="n">
        <v>7</v>
      </c>
      <c r="E480" s="2" t="inlineStr">
        <is>
          <t>Adet</t>
        </is>
      </c>
      <c r="F480" s="3" t="n">
        <v>863.85</v>
      </c>
      <c r="G480" s="4" t="n">
        <v>0.0364</v>
      </c>
      <c r="H480" s="3" t="n">
        <v>832.41</v>
      </c>
      <c r="I480" s="3" t="n">
        <v>5826.87</v>
      </c>
      <c r="J480" s="3" t="n">
        <v>653.55</v>
      </c>
      <c r="K480" s="3" t="n">
        <v>4574.85</v>
      </c>
      <c r="L480" s="3" t="n">
        <v>1252.02</v>
      </c>
      <c r="M480" s="4" t="n">
        <v>0.2149</v>
      </c>
    </row>
    <row r="481">
      <c r="A481" s="2" t="inlineStr">
        <is>
          <t>SKL-00480</t>
        </is>
      </c>
      <c r="B481" s="2" t="inlineStr">
        <is>
          <t>SIP-0131</t>
        </is>
      </c>
      <c r="C481" s="2" t="inlineStr">
        <is>
          <t>MEKSIZ-013</t>
        </is>
      </c>
      <c r="D481" s="5" t="n">
        <v>10</v>
      </c>
      <c r="E481" s="2" t="inlineStr">
        <is>
          <t>Adet</t>
        </is>
      </c>
      <c r="F481" s="3" t="n">
        <v>68.88</v>
      </c>
      <c r="G481" s="4" t="n">
        <v>0.0963</v>
      </c>
      <c r="H481" s="3" t="n">
        <v>62.25</v>
      </c>
      <c r="I481" s="3" t="n">
        <v>622.5</v>
      </c>
      <c r="J481" s="3" t="n">
        <v>45.62</v>
      </c>
      <c r="K481" s="3" t="n">
        <v>456.2</v>
      </c>
      <c r="L481" s="3" t="n">
        <v>166.3</v>
      </c>
      <c r="M481" s="4" t="n">
        <v>0.2671</v>
      </c>
    </row>
    <row r="482">
      <c r="A482" s="2" t="inlineStr">
        <is>
          <t>SKL-00481</t>
        </is>
      </c>
      <c r="B482" s="2" t="inlineStr">
        <is>
          <t>SIP-0131</t>
        </is>
      </c>
      <c r="C482" s="2" t="inlineStr">
        <is>
          <t>FLAIZO-005</t>
        </is>
      </c>
      <c r="D482" s="5" t="n">
        <v>40</v>
      </c>
      <c r="E482" s="2" t="inlineStr">
        <is>
          <t>Set</t>
        </is>
      </c>
      <c r="F482" s="3" t="n">
        <v>218.49</v>
      </c>
      <c r="G482" s="4" t="n">
        <v>0.0844</v>
      </c>
      <c r="H482" s="3" t="n">
        <v>200.05</v>
      </c>
      <c r="I482" s="3" t="n">
        <v>8002</v>
      </c>
      <c r="J482" s="3" t="n">
        <v>120.26</v>
      </c>
      <c r="K482" s="3" t="n">
        <v>4810.4</v>
      </c>
      <c r="L482" s="3" t="n">
        <v>3191.6</v>
      </c>
      <c r="M482" s="4" t="n">
        <v>0.3989</v>
      </c>
    </row>
    <row r="483">
      <c r="A483" s="2" t="inlineStr">
        <is>
          <t>SKL-00482</t>
        </is>
      </c>
      <c r="B483" s="2" t="inlineStr">
        <is>
          <t>SIP-0131</t>
        </is>
      </c>
      <c r="C483" s="2" t="inlineStr">
        <is>
          <t>ENDVAN-016</t>
        </is>
      </c>
      <c r="D483" s="5" t="n">
        <v>7</v>
      </c>
      <c r="E483" s="2" t="inlineStr">
        <is>
          <t>Adet</t>
        </is>
      </c>
      <c r="F483" s="3" t="n">
        <v>931.5</v>
      </c>
      <c r="G483" s="4" t="n">
        <v>0.1096</v>
      </c>
      <c r="H483" s="3" t="n">
        <v>829.41</v>
      </c>
      <c r="I483" s="3" t="n">
        <v>5805.87</v>
      </c>
      <c r="J483" s="3" t="n">
        <v>674.97</v>
      </c>
      <c r="K483" s="3" t="n">
        <v>4724.79</v>
      </c>
      <c r="L483" s="3" t="n">
        <v>1081.08</v>
      </c>
      <c r="M483" s="4" t="n">
        <v>0.1862</v>
      </c>
    </row>
    <row r="484">
      <c r="A484" s="2" t="inlineStr">
        <is>
          <t>SKL-00483</t>
        </is>
      </c>
      <c r="B484" s="2" t="inlineStr">
        <is>
          <t>SIP-0131</t>
        </is>
      </c>
      <c r="C484" s="2" t="inlineStr">
        <is>
          <t>FLAIZO-007</t>
        </is>
      </c>
      <c r="D484" s="5" t="n">
        <v>20</v>
      </c>
      <c r="E484" s="2" t="inlineStr">
        <is>
          <t>Set</t>
        </is>
      </c>
      <c r="F484" s="3" t="n">
        <v>126.42</v>
      </c>
      <c r="G484" s="4" t="n">
        <v>0.0019</v>
      </c>
      <c r="H484" s="3" t="n">
        <v>126.18</v>
      </c>
      <c r="I484" s="3" t="n">
        <v>2523.6</v>
      </c>
      <c r="J484" s="3" t="n">
        <v>70.09</v>
      </c>
      <c r="K484" s="3" t="n">
        <v>1401.8</v>
      </c>
      <c r="L484" s="3" t="n">
        <v>1121.8</v>
      </c>
      <c r="M484" s="4" t="n">
        <v>0.4445</v>
      </c>
    </row>
    <row r="485">
      <c r="A485" s="2" t="inlineStr">
        <is>
          <t>SKL-00484</t>
        </is>
      </c>
      <c r="B485" s="2" t="inlineStr">
        <is>
          <t>SIP-0131</t>
        </is>
      </c>
      <c r="C485" s="2" t="inlineStr">
        <is>
          <t>FLAIZO-005</t>
        </is>
      </c>
      <c r="D485" s="5" t="n">
        <v>59</v>
      </c>
      <c r="E485" s="2" t="inlineStr">
        <is>
          <t>Set</t>
        </is>
      </c>
      <c r="F485" s="3" t="n">
        <v>222.24</v>
      </c>
      <c r="G485" s="4" t="n">
        <v>0.017</v>
      </c>
      <c r="H485" s="3" t="n">
        <v>218.46</v>
      </c>
      <c r="I485" s="3" t="n">
        <v>12889.14</v>
      </c>
      <c r="J485" s="3" t="n">
        <v>120.26</v>
      </c>
      <c r="K485" s="3" t="n">
        <v>7095.34</v>
      </c>
      <c r="L485" s="3" t="n">
        <v>5793.8</v>
      </c>
      <c r="M485" s="4" t="n">
        <v>0.4495</v>
      </c>
    </row>
    <row r="486">
      <c r="A486" s="2" t="inlineStr">
        <is>
          <t>SKL-00485</t>
        </is>
      </c>
      <c r="B486" s="2" t="inlineStr">
        <is>
          <t>SIP-0131</t>
        </is>
      </c>
      <c r="C486" s="2" t="inlineStr">
        <is>
          <t>FLAIZO-001</t>
        </is>
      </c>
      <c r="D486" s="5" t="n">
        <v>61</v>
      </c>
      <c r="E486" s="2" t="inlineStr">
        <is>
          <t>Set</t>
        </is>
      </c>
      <c r="F486" s="3" t="n">
        <v>107.91</v>
      </c>
      <c r="G486" s="4" t="n">
        <v>0.1084</v>
      </c>
      <c r="H486" s="3" t="n">
        <v>96.20999999999999</v>
      </c>
      <c r="I486" s="3" t="n">
        <v>5868.81</v>
      </c>
      <c r="J486" s="3" t="n">
        <v>72.90000000000001</v>
      </c>
      <c r="K486" s="3" t="n">
        <v>4446.9</v>
      </c>
      <c r="L486" s="3" t="n">
        <v>1421.91</v>
      </c>
      <c r="M486" s="4" t="n">
        <v>0.2423</v>
      </c>
    </row>
    <row r="487">
      <c r="A487" s="2" t="inlineStr">
        <is>
          <t>SKL-00486</t>
        </is>
      </c>
      <c r="B487" s="2" t="inlineStr">
        <is>
          <t>SIP-0131</t>
        </is>
      </c>
      <c r="C487" s="2" t="inlineStr">
        <is>
          <t>MEKSIZ-006</t>
        </is>
      </c>
      <c r="D487" s="5" t="n">
        <v>20</v>
      </c>
      <c r="E487" s="2" t="inlineStr">
        <is>
          <t>Adet</t>
        </is>
      </c>
      <c r="F487" s="3" t="n">
        <v>521.3</v>
      </c>
      <c r="G487" s="4" t="n">
        <v>0.1015</v>
      </c>
      <c r="H487" s="3" t="n">
        <v>468.39</v>
      </c>
      <c r="I487" s="3" t="n">
        <v>9367.799999999999</v>
      </c>
      <c r="J487" s="3" t="n">
        <v>347.05</v>
      </c>
      <c r="K487" s="3" t="n">
        <v>6941</v>
      </c>
      <c r="L487" s="3" t="n">
        <v>2426.8</v>
      </c>
      <c r="M487" s="4" t="n">
        <v>0.2591</v>
      </c>
    </row>
    <row r="488">
      <c r="A488" s="2" t="inlineStr">
        <is>
          <t>SKL-00487</t>
        </is>
      </c>
      <c r="B488" s="2" t="inlineStr">
        <is>
          <t>SIP-0132</t>
        </is>
      </c>
      <c r="C488" s="2" t="inlineStr">
        <is>
          <t>ENDVAN-007</t>
        </is>
      </c>
      <c r="D488" s="5" t="n">
        <v>2</v>
      </c>
      <c r="E488" s="2" t="inlineStr">
        <is>
          <t>Adet</t>
        </is>
      </c>
      <c r="F488" s="3" t="n">
        <v>188.79</v>
      </c>
      <c r="G488" s="4" t="n">
        <v>0.0751</v>
      </c>
      <c r="H488" s="3" t="n">
        <v>174.61</v>
      </c>
      <c r="I488" s="3" t="n">
        <v>349.22</v>
      </c>
      <c r="J488" s="3" t="n">
        <v>126.94</v>
      </c>
      <c r="K488" s="3" t="n">
        <v>253.88</v>
      </c>
      <c r="L488" s="3" t="n">
        <v>95.34</v>
      </c>
      <c r="M488" s="4" t="n">
        <v>0.273</v>
      </c>
    </row>
    <row r="489">
      <c r="A489" s="2" t="inlineStr">
        <is>
          <t>SKL-00488</t>
        </is>
      </c>
      <c r="B489" s="2" t="inlineStr">
        <is>
          <t>SIP-0132</t>
        </is>
      </c>
      <c r="C489" s="2" t="inlineStr">
        <is>
          <t>KAR/-005</t>
        </is>
      </c>
      <c r="D489" s="5" t="n">
        <v>2</v>
      </c>
      <c r="E489" s="2" t="inlineStr">
        <is>
          <t>Adet</t>
        </is>
      </c>
      <c r="F489" s="3" t="n">
        <v>5055.29</v>
      </c>
      <c r="G489" s="4" t="n">
        <v>0.0878</v>
      </c>
      <c r="H489" s="3" t="n">
        <v>4611.44</v>
      </c>
      <c r="I489" s="3" t="n">
        <v>9222.879999999999</v>
      </c>
      <c r="J489" s="3" t="n">
        <v>3490.84</v>
      </c>
      <c r="K489" s="3" t="n">
        <v>6981.68</v>
      </c>
      <c r="L489" s="3" t="n">
        <v>2241.2</v>
      </c>
      <c r="M489" s="4" t="n">
        <v>0.243</v>
      </c>
    </row>
    <row r="490">
      <c r="A490" s="2" t="inlineStr">
        <is>
          <t>SKL-00489</t>
        </is>
      </c>
      <c r="B490" s="2" t="inlineStr">
        <is>
          <t>SIP-0132</t>
        </is>
      </c>
      <c r="C490" s="2" t="inlineStr">
        <is>
          <t>FLAIZO-006</t>
        </is>
      </c>
      <c r="D490" s="5" t="n">
        <v>63</v>
      </c>
      <c r="E490" s="2" t="inlineStr">
        <is>
          <t>Set</t>
        </is>
      </c>
      <c r="F490" s="3" t="n">
        <v>58.7</v>
      </c>
      <c r="G490" s="4" t="n">
        <v>0.0057</v>
      </c>
      <c r="H490" s="3" t="n">
        <v>58.37</v>
      </c>
      <c r="I490" s="3" t="n">
        <v>3677.31</v>
      </c>
      <c r="J490" s="3" t="n">
        <v>41.17</v>
      </c>
      <c r="K490" s="3" t="n">
        <v>2593.71</v>
      </c>
      <c r="L490" s="3" t="n">
        <v>1083.6</v>
      </c>
      <c r="M490" s="4" t="n">
        <v>0.2947</v>
      </c>
    </row>
    <row r="491">
      <c r="A491" s="2" t="inlineStr">
        <is>
          <t>SKL-00490</t>
        </is>
      </c>
      <c r="B491" s="2" t="inlineStr">
        <is>
          <t>SIP-0132</t>
        </is>
      </c>
      <c r="C491" s="2" t="inlineStr">
        <is>
          <t>ENDVAN-018</t>
        </is>
      </c>
      <c r="D491" s="5" t="n">
        <v>9</v>
      </c>
      <c r="E491" s="2" t="inlineStr">
        <is>
          <t>Adet</t>
        </is>
      </c>
      <c r="F491" s="3" t="n">
        <v>1094.65</v>
      </c>
      <c r="G491" s="4" t="n">
        <v>0.0254</v>
      </c>
      <c r="H491" s="3" t="n">
        <v>1066.85</v>
      </c>
      <c r="I491" s="3" t="n">
        <v>9601.65</v>
      </c>
      <c r="J491" s="3" t="n">
        <v>781.12</v>
      </c>
      <c r="K491" s="3" t="n">
        <v>7030.08</v>
      </c>
      <c r="L491" s="3" t="n">
        <v>2571.57</v>
      </c>
      <c r="M491" s="4" t="n">
        <v>0.2678</v>
      </c>
    </row>
    <row r="492">
      <c r="A492" s="2" t="inlineStr">
        <is>
          <t>SKL-00491</t>
        </is>
      </c>
      <c r="B492" s="2" t="inlineStr">
        <is>
          <t>SIP-0133</t>
        </is>
      </c>
      <c r="C492" s="2" t="inlineStr">
        <is>
          <t>ENDVAN-005</t>
        </is>
      </c>
      <c r="D492" s="5" t="n">
        <v>11</v>
      </c>
      <c r="E492" s="2" t="inlineStr">
        <is>
          <t>Adet</t>
        </is>
      </c>
      <c r="F492" s="3" t="n">
        <v>899</v>
      </c>
      <c r="G492" s="4" t="n">
        <v>0.1093</v>
      </c>
      <c r="H492" s="3" t="n">
        <v>800.74</v>
      </c>
      <c r="I492" s="3" t="n">
        <v>8808.139999999999</v>
      </c>
      <c r="J492" s="3" t="n">
        <v>653.55</v>
      </c>
      <c r="K492" s="3" t="n">
        <v>7189.05</v>
      </c>
      <c r="L492" s="3" t="n">
        <v>1619.09</v>
      </c>
      <c r="M492" s="4" t="n">
        <v>0.1838</v>
      </c>
    </row>
    <row r="493">
      <c r="A493" s="2" t="inlineStr">
        <is>
          <t>SKL-00492</t>
        </is>
      </c>
      <c r="B493" s="2" t="inlineStr">
        <is>
          <t>SIP-0133</t>
        </is>
      </c>
      <c r="C493" s="2" t="inlineStr">
        <is>
          <t>ENDVAN-001</t>
        </is>
      </c>
      <c r="D493" s="5" t="n">
        <v>13</v>
      </c>
      <c r="E493" s="2" t="inlineStr">
        <is>
          <t>Adet</t>
        </is>
      </c>
      <c r="F493" s="3" t="n">
        <v>296.23</v>
      </c>
      <c r="G493" s="4" t="n">
        <v>0.0992</v>
      </c>
      <c r="H493" s="3" t="n">
        <v>266.84</v>
      </c>
      <c r="I493" s="3" t="n">
        <v>3468.92</v>
      </c>
      <c r="J493" s="3" t="n">
        <v>192.02</v>
      </c>
      <c r="K493" s="3" t="n">
        <v>2496.26</v>
      </c>
      <c r="L493" s="3" t="n">
        <v>972.66</v>
      </c>
      <c r="M493" s="4" t="n">
        <v>0.2804</v>
      </c>
    </row>
    <row r="494">
      <c r="A494" s="2" t="inlineStr">
        <is>
          <t>SKL-00493</t>
        </is>
      </c>
      <c r="B494" s="2" t="inlineStr">
        <is>
          <t>SIP-0133</t>
        </is>
      </c>
      <c r="C494" s="2" t="inlineStr">
        <is>
          <t>FLAIZO-004</t>
        </is>
      </c>
      <c r="D494" s="5" t="n">
        <v>12</v>
      </c>
      <c r="E494" s="2" t="inlineStr">
        <is>
          <t>Set</t>
        </is>
      </c>
      <c r="F494" s="3" t="n">
        <v>50.32</v>
      </c>
      <c r="G494" s="4" t="n">
        <v>0.0762</v>
      </c>
      <c r="H494" s="3" t="n">
        <v>46.49</v>
      </c>
      <c r="I494" s="3" t="n">
        <v>557.88</v>
      </c>
      <c r="J494" s="3" t="n">
        <v>25.08</v>
      </c>
      <c r="K494" s="3" t="n">
        <v>300.96</v>
      </c>
      <c r="L494" s="3" t="n">
        <v>256.92</v>
      </c>
      <c r="M494" s="4" t="n">
        <v>0.4605</v>
      </c>
    </row>
    <row r="495">
      <c r="A495" s="2" t="inlineStr">
        <is>
          <t>SKL-00494</t>
        </is>
      </c>
      <c r="B495" s="2" t="inlineStr">
        <is>
          <t>SIP-0134</t>
        </is>
      </c>
      <c r="C495" s="2" t="inlineStr">
        <is>
          <t>KAR/-003</t>
        </is>
      </c>
      <c r="D495" s="5" t="n">
        <v>1</v>
      </c>
      <c r="E495" s="2" t="inlineStr">
        <is>
          <t>Adet</t>
        </is>
      </c>
      <c r="F495" s="3" t="n">
        <v>4629.56</v>
      </c>
      <c r="G495" s="4" t="n">
        <v>0.0765</v>
      </c>
      <c r="H495" s="3" t="n">
        <v>4275.4</v>
      </c>
      <c r="I495" s="3" t="n">
        <v>4275.4</v>
      </c>
      <c r="J495" s="3" t="n">
        <v>3349.2</v>
      </c>
      <c r="K495" s="3" t="n">
        <v>3349.2</v>
      </c>
      <c r="L495" s="3" t="n">
        <v>926.2</v>
      </c>
      <c r="M495" s="4" t="n">
        <v>0.2166</v>
      </c>
    </row>
    <row r="496">
      <c r="A496" s="2" t="inlineStr">
        <is>
          <t>SKL-00495</t>
        </is>
      </c>
      <c r="B496" s="2" t="inlineStr">
        <is>
          <t>SIP-0134</t>
        </is>
      </c>
      <c r="C496" s="2" t="inlineStr">
        <is>
          <t>FLAIZO-006</t>
        </is>
      </c>
      <c r="D496" s="5" t="n">
        <v>63</v>
      </c>
      <c r="E496" s="2" t="inlineStr">
        <is>
          <t>Set</t>
        </is>
      </c>
      <c r="F496" s="3" t="n">
        <v>62.84</v>
      </c>
      <c r="G496" s="4" t="n">
        <v>0.0901</v>
      </c>
      <c r="H496" s="3" t="n">
        <v>57.18</v>
      </c>
      <c r="I496" s="3" t="n">
        <v>3602.34</v>
      </c>
      <c r="J496" s="3" t="n">
        <v>41.17</v>
      </c>
      <c r="K496" s="3" t="n">
        <v>2593.71</v>
      </c>
      <c r="L496" s="3" t="n">
        <v>1008.63</v>
      </c>
      <c r="M496" s="4" t="n">
        <v>0.28</v>
      </c>
    </row>
    <row r="497">
      <c r="A497" s="2" t="inlineStr">
        <is>
          <t>SKL-00496</t>
        </is>
      </c>
      <c r="B497" s="2" t="inlineStr">
        <is>
          <t>SIP-0135</t>
        </is>
      </c>
      <c r="C497" s="2" t="inlineStr">
        <is>
          <t>ENDVAN-027</t>
        </is>
      </c>
      <c r="D497" s="5" t="n">
        <v>17</v>
      </c>
      <c r="E497" s="2" t="inlineStr">
        <is>
          <t>Adet</t>
        </is>
      </c>
      <c r="F497" s="3" t="n">
        <v>1690.55</v>
      </c>
      <c r="G497" s="4" t="n">
        <v>0.08160000000000001</v>
      </c>
      <c r="H497" s="3" t="n">
        <v>1552.6</v>
      </c>
      <c r="I497" s="3" t="n">
        <v>26394.2</v>
      </c>
      <c r="J497" s="3" t="n">
        <v>1041.65</v>
      </c>
      <c r="K497" s="3" t="n">
        <v>17708.05</v>
      </c>
      <c r="L497" s="3" t="n">
        <v>8686.15</v>
      </c>
      <c r="M497" s="4" t="n">
        <v>0.3291</v>
      </c>
    </row>
    <row r="498">
      <c r="A498" s="2" t="inlineStr">
        <is>
          <t>SKL-00497</t>
        </is>
      </c>
      <c r="B498" s="2" t="inlineStr">
        <is>
          <t>SIP-0135</t>
        </is>
      </c>
      <c r="C498" s="2" t="inlineStr">
        <is>
          <t>FLAIZO-014</t>
        </is>
      </c>
      <c r="D498" s="5" t="n">
        <v>65</v>
      </c>
      <c r="E498" s="2" t="inlineStr">
        <is>
          <t>Set</t>
        </is>
      </c>
      <c r="F498" s="3" t="n">
        <v>63.42</v>
      </c>
      <c r="G498" s="4" t="n">
        <v>0.067</v>
      </c>
      <c r="H498" s="3" t="n">
        <v>59.17</v>
      </c>
      <c r="I498" s="3" t="n">
        <v>3846.05</v>
      </c>
      <c r="J498" s="3" t="n">
        <v>32.61</v>
      </c>
      <c r="K498" s="3" t="n">
        <v>2119.65</v>
      </c>
      <c r="L498" s="3" t="n">
        <v>1726.4</v>
      </c>
      <c r="M498" s="4" t="n">
        <v>0.4489</v>
      </c>
    </row>
    <row r="499">
      <c r="A499" s="2" t="inlineStr">
        <is>
          <t>SKL-00498</t>
        </is>
      </c>
      <c r="B499" s="2" t="inlineStr">
        <is>
          <t>SIP-0135</t>
        </is>
      </c>
      <c r="C499" s="2" t="inlineStr">
        <is>
          <t>MEKSIZ-014</t>
        </is>
      </c>
      <c r="D499" s="5" t="n">
        <v>17</v>
      </c>
      <c r="E499" s="2" t="inlineStr">
        <is>
          <t>Adet</t>
        </is>
      </c>
      <c r="F499" s="3" t="n">
        <v>409.21</v>
      </c>
      <c r="G499" s="4" t="n">
        <v>0.0161</v>
      </c>
      <c r="H499" s="3" t="n">
        <v>402.62</v>
      </c>
      <c r="I499" s="3" t="n">
        <v>6844.54</v>
      </c>
      <c r="J499" s="3" t="n">
        <v>242.32</v>
      </c>
      <c r="K499" s="3" t="n">
        <v>4119.44</v>
      </c>
      <c r="L499" s="3" t="n">
        <v>2725.1</v>
      </c>
      <c r="M499" s="4" t="n">
        <v>0.3981</v>
      </c>
    </row>
    <row r="500">
      <c r="A500" s="2" t="inlineStr">
        <is>
          <t>SKL-00499</t>
        </is>
      </c>
      <c r="B500" s="2" t="inlineStr">
        <is>
          <t>SIP-0136</t>
        </is>
      </c>
      <c r="C500" s="2" t="inlineStr">
        <is>
          <t>MEKSIZ-002</t>
        </is>
      </c>
      <c r="D500" s="5" t="n">
        <v>22</v>
      </c>
      <c r="E500" s="2" t="inlineStr">
        <is>
          <t>Adet</t>
        </is>
      </c>
      <c r="F500" s="3" t="n">
        <v>498.48</v>
      </c>
      <c r="G500" s="4" t="n">
        <v>0.1059</v>
      </c>
      <c r="H500" s="3" t="n">
        <v>445.69</v>
      </c>
      <c r="I500" s="3" t="n">
        <v>9805.18</v>
      </c>
      <c r="J500" s="3" t="n">
        <v>343.25</v>
      </c>
      <c r="K500" s="3" t="n">
        <v>7551.5</v>
      </c>
      <c r="L500" s="3" t="n">
        <v>2253.68</v>
      </c>
      <c r="M500" s="4" t="n">
        <v>0.2298</v>
      </c>
    </row>
    <row r="501">
      <c r="A501" s="2" t="inlineStr">
        <is>
          <t>SKL-00500</t>
        </is>
      </c>
      <c r="B501" s="2" t="inlineStr">
        <is>
          <t>SIP-0136</t>
        </is>
      </c>
      <c r="C501" s="2" t="inlineStr">
        <is>
          <t>ENDVAN-018</t>
        </is>
      </c>
      <c r="D501" s="5" t="n">
        <v>8</v>
      </c>
      <c r="E501" s="2" t="inlineStr">
        <is>
          <t>Adet</t>
        </is>
      </c>
      <c r="F501" s="3" t="n">
        <v>1104.71</v>
      </c>
      <c r="G501" s="4" t="n">
        <v>0.0314</v>
      </c>
      <c r="H501" s="3" t="n">
        <v>1070.02</v>
      </c>
      <c r="I501" s="3" t="n">
        <v>8560.16</v>
      </c>
      <c r="J501" s="3" t="n">
        <v>781.12</v>
      </c>
      <c r="K501" s="3" t="n">
        <v>6248.96</v>
      </c>
      <c r="L501" s="3" t="n">
        <v>2311.2</v>
      </c>
      <c r="M501" s="4" t="n">
        <v>0.27</v>
      </c>
    </row>
    <row r="502">
      <c r="A502" s="2" t="inlineStr">
        <is>
          <t>SKL-00501</t>
        </is>
      </c>
      <c r="B502" s="2" t="inlineStr">
        <is>
          <t>SIP-0136</t>
        </is>
      </c>
      <c r="C502" s="2" t="inlineStr">
        <is>
          <t>ENDVAN-023</t>
        </is>
      </c>
      <c r="D502" s="5" t="n">
        <v>18</v>
      </c>
      <c r="E502" s="2" t="inlineStr">
        <is>
          <t>Adet</t>
        </is>
      </c>
      <c r="F502" s="3" t="n">
        <v>1126.47</v>
      </c>
      <c r="G502" s="4" t="n">
        <v>0.0114</v>
      </c>
      <c r="H502" s="3" t="n">
        <v>1113.63</v>
      </c>
      <c r="I502" s="3" t="n">
        <v>20045.34</v>
      </c>
      <c r="J502" s="3" t="n">
        <v>763.0599999999999</v>
      </c>
      <c r="K502" s="3" t="n">
        <v>13735.08</v>
      </c>
      <c r="L502" s="3" t="n">
        <v>6310.26</v>
      </c>
      <c r="M502" s="4" t="n">
        <v>0.3148</v>
      </c>
    </row>
    <row r="503">
      <c r="A503" s="2" t="inlineStr">
        <is>
          <t>SKL-00502</t>
        </is>
      </c>
      <c r="B503" s="2" t="inlineStr">
        <is>
          <t>SIP-0137</t>
        </is>
      </c>
      <c r="C503" s="2" t="inlineStr">
        <is>
          <t>YAREND-002</t>
        </is>
      </c>
      <c r="D503" s="5" t="n">
        <v>7</v>
      </c>
      <c r="E503" s="2" t="inlineStr">
        <is>
          <t>Adet</t>
        </is>
      </c>
      <c r="F503" s="3" t="n">
        <v>1268.71</v>
      </c>
      <c r="G503" s="4" t="n">
        <v>0.0447</v>
      </c>
      <c r="H503" s="3" t="n">
        <v>1212</v>
      </c>
      <c r="I503" s="3" t="n">
        <v>8484</v>
      </c>
      <c r="J503" s="3" t="n">
        <v>839.65</v>
      </c>
      <c r="K503" s="3" t="n">
        <v>5877.55</v>
      </c>
      <c r="L503" s="3" t="n">
        <v>2606.45</v>
      </c>
      <c r="M503" s="4" t="n">
        <v>0.3072</v>
      </c>
    </row>
    <row r="504">
      <c r="A504" s="2" t="inlineStr">
        <is>
          <t>SKL-00503</t>
        </is>
      </c>
      <c r="B504" s="2" t="inlineStr">
        <is>
          <t>SIP-0137</t>
        </is>
      </c>
      <c r="C504" s="2" t="inlineStr">
        <is>
          <t>ENDVAN-010</t>
        </is>
      </c>
      <c r="D504" s="5" t="n">
        <v>7</v>
      </c>
      <c r="E504" s="2" t="inlineStr">
        <is>
          <t>Adet</t>
        </is>
      </c>
      <c r="F504" s="3" t="n">
        <v>1206.34</v>
      </c>
      <c r="G504" s="4" t="n">
        <v>0.07630000000000001</v>
      </c>
      <c r="H504" s="3" t="n">
        <v>1114.3</v>
      </c>
      <c r="I504" s="3" t="n">
        <v>7800.1</v>
      </c>
      <c r="J504" s="3" t="n">
        <v>891.17</v>
      </c>
      <c r="K504" s="3" t="n">
        <v>6238.19</v>
      </c>
      <c r="L504" s="3" t="n">
        <v>1561.91</v>
      </c>
      <c r="M504" s="4" t="n">
        <v>0.2002</v>
      </c>
    </row>
    <row r="505">
      <c r="A505" s="2" t="inlineStr">
        <is>
          <t>SKL-00504</t>
        </is>
      </c>
      <c r="B505" s="2" t="inlineStr">
        <is>
          <t>SIP-0138</t>
        </is>
      </c>
      <c r="C505" s="2" t="inlineStr">
        <is>
          <t>PROTAN-007</t>
        </is>
      </c>
      <c r="D505" s="5" t="n">
        <v>1</v>
      </c>
      <c r="E505" s="2" t="inlineStr">
        <is>
          <t>Adet</t>
        </is>
      </c>
      <c r="F505" s="3" t="n">
        <v>15453.5</v>
      </c>
      <c r="G505" s="4" t="n">
        <v>0.0424</v>
      </c>
      <c r="H505" s="3" t="n">
        <v>14798.27</v>
      </c>
      <c r="I505" s="3" t="n">
        <v>14798.27</v>
      </c>
      <c r="J505" s="3" t="n">
        <v>12517.98</v>
      </c>
      <c r="K505" s="3" t="n">
        <v>12517.98</v>
      </c>
      <c r="L505" s="3" t="n">
        <v>2280.29</v>
      </c>
      <c r="M505" s="4" t="n">
        <v>0.1541</v>
      </c>
    </row>
    <row r="506">
      <c r="A506" s="2" t="inlineStr">
        <is>
          <t>SKL-00505</t>
        </is>
      </c>
      <c r="B506" s="2" t="inlineStr">
        <is>
          <t>SIP-0138</t>
        </is>
      </c>
      <c r="C506" s="2" t="inlineStr">
        <is>
          <t>ENDVAN-015</t>
        </is>
      </c>
      <c r="D506" s="5" t="n">
        <v>5</v>
      </c>
      <c r="E506" s="2" t="inlineStr">
        <is>
          <t>Adet</t>
        </is>
      </c>
      <c r="F506" s="3" t="n">
        <v>1670.76</v>
      </c>
      <c r="G506" s="4" t="n">
        <v>0.0005999999999999999</v>
      </c>
      <c r="H506" s="3" t="n">
        <v>1669.76</v>
      </c>
      <c r="I506" s="3" t="n">
        <v>8348.799999999999</v>
      </c>
      <c r="J506" s="3" t="n">
        <v>1019.05</v>
      </c>
      <c r="K506" s="3" t="n">
        <v>5095.25</v>
      </c>
      <c r="L506" s="3" t="n">
        <v>3253.55</v>
      </c>
      <c r="M506" s="4" t="n">
        <v>0.3897</v>
      </c>
    </row>
    <row r="507">
      <c r="A507" s="2" t="inlineStr">
        <is>
          <t>SKL-00506</t>
        </is>
      </c>
      <c r="B507" s="2" t="inlineStr">
        <is>
          <t>SIP-0138</t>
        </is>
      </c>
      <c r="C507" s="2" t="inlineStr">
        <is>
          <t>KAR/-006</t>
        </is>
      </c>
      <c r="D507" s="5" t="n">
        <v>3</v>
      </c>
      <c r="E507" s="2" t="inlineStr">
        <is>
          <t>Adet</t>
        </is>
      </c>
      <c r="F507" s="3" t="n">
        <v>4711.97</v>
      </c>
      <c r="G507" s="4" t="n">
        <v>0.0119</v>
      </c>
      <c r="H507" s="3" t="n">
        <v>4655.9</v>
      </c>
      <c r="I507" s="3" t="n">
        <v>13967.7</v>
      </c>
      <c r="J507" s="3" t="n">
        <v>3681.11</v>
      </c>
      <c r="K507" s="3" t="n">
        <v>11043.33</v>
      </c>
      <c r="L507" s="3" t="n">
        <v>2924.37</v>
      </c>
      <c r="M507" s="4" t="n">
        <v>0.2094</v>
      </c>
    </row>
    <row r="508">
      <c r="A508" s="2" t="inlineStr">
        <is>
          <t>SKL-00507</t>
        </is>
      </c>
      <c r="B508" s="2" t="inlineStr">
        <is>
          <t>SIP-0138</t>
        </is>
      </c>
      <c r="C508" s="2" t="inlineStr">
        <is>
          <t>ENDVAN-016</t>
        </is>
      </c>
      <c r="D508" s="5" t="n">
        <v>4</v>
      </c>
      <c r="E508" s="2" t="inlineStr">
        <is>
          <t>Adet</t>
        </is>
      </c>
      <c r="F508" s="3" t="n">
        <v>909.7</v>
      </c>
      <c r="G508" s="4" t="n">
        <v>0.06469999999999999</v>
      </c>
      <c r="H508" s="3" t="n">
        <v>850.84</v>
      </c>
      <c r="I508" s="3" t="n">
        <v>3403.36</v>
      </c>
      <c r="J508" s="3" t="n">
        <v>674.97</v>
      </c>
      <c r="K508" s="3" t="n">
        <v>2699.88</v>
      </c>
      <c r="L508" s="3" t="n">
        <v>703.48</v>
      </c>
      <c r="M508" s="4" t="n">
        <v>0.2067</v>
      </c>
    </row>
    <row r="509">
      <c r="A509" s="2" t="inlineStr">
        <is>
          <t>SKL-00508</t>
        </is>
      </c>
      <c r="B509" s="2" t="inlineStr">
        <is>
          <t>SIP-0139</t>
        </is>
      </c>
      <c r="C509" s="2" t="inlineStr">
        <is>
          <t>ENDVAN-034</t>
        </is>
      </c>
      <c r="D509" s="5" t="n">
        <v>12</v>
      </c>
      <c r="E509" s="2" t="inlineStr">
        <is>
          <t>Adet</t>
        </is>
      </c>
      <c r="F509" s="3" t="n">
        <v>819.59</v>
      </c>
      <c r="G509" s="4" t="n">
        <v>0.0611</v>
      </c>
      <c r="H509" s="3" t="n">
        <v>769.51</v>
      </c>
      <c r="I509" s="3" t="n">
        <v>9234.120000000001</v>
      </c>
      <c r="J509" s="3" t="n">
        <v>595.41</v>
      </c>
      <c r="K509" s="3" t="n">
        <v>7144.92</v>
      </c>
      <c r="L509" s="3" t="n">
        <v>2089.2</v>
      </c>
      <c r="M509" s="4" t="n">
        <v>0.2262</v>
      </c>
    </row>
    <row r="510">
      <c r="A510" s="2" t="inlineStr">
        <is>
          <t>SKL-00509</t>
        </is>
      </c>
      <c r="B510" s="2" t="inlineStr">
        <is>
          <t>SIP-0139</t>
        </is>
      </c>
      <c r="C510" s="2" t="inlineStr">
        <is>
          <t>KAR/-012</t>
        </is>
      </c>
      <c r="D510" s="5" t="n">
        <v>1</v>
      </c>
      <c r="E510" s="2" t="inlineStr">
        <is>
          <t>Adet</t>
        </is>
      </c>
      <c r="F510" s="3" t="n">
        <v>6885.33</v>
      </c>
      <c r="G510" s="4" t="n">
        <v>0.1034</v>
      </c>
      <c r="H510" s="3" t="n">
        <v>6173.39</v>
      </c>
      <c r="I510" s="3" t="n">
        <v>6173.39</v>
      </c>
      <c r="J510" s="3" t="n">
        <v>5176.41</v>
      </c>
      <c r="K510" s="3" t="n">
        <v>5176.41</v>
      </c>
      <c r="L510" s="3" t="n">
        <v>996.98</v>
      </c>
      <c r="M510" s="4" t="n">
        <v>0.1615</v>
      </c>
    </row>
    <row r="511">
      <c r="A511" s="2" t="inlineStr">
        <is>
          <t>SKL-00510</t>
        </is>
      </c>
      <c r="B511" s="2" t="inlineStr">
        <is>
          <t>SIP-0139</t>
        </is>
      </c>
      <c r="C511" s="2" t="inlineStr">
        <is>
          <t>ENDVAN-009</t>
        </is>
      </c>
      <c r="D511" s="5" t="n">
        <v>8</v>
      </c>
      <c r="E511" s="2" t="inlineStr">
        <is>
          <t>Adet</t>
        </is>
      </c>
      <c r="F511" s="3" t="n">
        <v>571.95</v>
      </c>
      <c r="G511" s="4" t="n">
        <v>0.1073</v>
      </c>
      <c r="H511" s="3" t="n">
        <v>510.58</v>
      </c>
      <c r="I511" s="3" t="n">
        <v>4084.64</v>
      </c>
      <c r="J511" s="3" t="n">
        <v>411.64</v>
      </c>
      <c r="K511" s="3" t="n">
        <v>3293.12</v>
      </c>
      <c r="L511" s="3" t="n">
        <v>791.52</v>
      </c>
      <c r="M511" s="4" t="n">
        <v>0.1938</v>
      </c>
    </row>
    <row r="512">
      <c r="A512" s="2" t="inlineStr">
        <is>
          <t>SKL-00511</t>
        </is>
      </c>
      <c r="B512" s="2" t="inlineStr">
        <is>
          <t>SIP-0139</t>
        </is>
      </c>
      <c r="C512" s="2" t="inlineStr">
        <is>
          <t>ENDVAN-014</t>
        </is>
      </c>
      <c r="D512" s="5" t="n">
        <v>23</v>
      </c>
      <c r="E512" s="2" t="inlineStr">
        <is>
          <t>Adet</t>
        </is>
      </c>
      <c r="F512" s="3" t="n">
        <v>1536.31</v>
      </c>
      <c r="G512" s="4" t="n">
        <v>0.0446</v>
      </c>
      <c r="H512" s="3" t="n">
        <v>1467.79</v>
      </c>
      <c r="I512" s="3" t="n">
        <v>33759.17</v>
      </c>
      <c r="J512" s="3" t="n">
        <v>1025.06</v>
      </c>
      <c r="K512" s="3" t="n">
        <v>23576.38</v>
      </c>
      <c r="L512" s="3" t="n">
        <v>10182.79</v>
      </c>
      <c r="M512" s="4" t="n">
        <v>0.3016</v>
      </c>
    </row>
    <row r="513">
      <c r="A513" s="2" t="inlineStr">
        <is>
          <t>SKL-00512</t>
        </is>
      </c>
      <c r="B513" s="2" t="inlineStr">
        <is>
          <t>SIP-0139</t>
        </is>
      </c>
      <c r="C513" s="2" t="inlineStr">
        <is>
          <t>MEKSIZ-011</t>
        </is>
      </c>
      <c r="D513" s="5" t="n">
        <v>18</v>
      </c>
      <c r="E513" s="2" t="inlineStr">
        <is>
          <t>Adet</t>
        </is>
      </c>
      <c r="F513" s="3" t="n">
        <v>437.11</v>
      </c>
      <c r="G513" s="4" t="n">
        <v>0.08790000000000001</v>
      </c>
      <c r="H513" s="3" t="n">
        <v>398.69</v>
      </c>
      <c r="I513" s="3" t="n">
        <v>7176.42</v>
      </c>
      <c r="J513" s="3" t="n">
        <v>258.54</v>
      </c>
      <c r="K513" s="3" t="n">
        <v>4653.72</v>
      </c>
      <c r="L513" s="3" t="n">
        <v>2522.7</v>
      </c>
      <c r="M513" s="4" t="n">
        <v>0.3515</v>
      </c>
    </row>
    <row r="514">
      <c r="A514" s="2" t="inlineStr">
        <is>
          <t>SKL-00513</t>
        </is>
      </c>
      <c r="B514" s="2" t="inlineStr">
        <is>
          <t>SIP-0139</t>
        </is>
      </c>
      <c r="C514" s="2" t="inlineStr">
        <is>
          <t>ENDVAN-031</t>
        </is>
      </c>
      <c r="D514" s="5" t="n">
        <v>12</v>
      </c>
      <c r="E514" s="2" t="inlineStr">
        <is>
          <t>Adet</t>
        </is>
      </c>
      <c r="F514" s="3" t="n">
        <v>318.59</v>
      </c>
      <c r="G514" s="4" t="n">
        <v>0.1005</v>
      </c>
      <c r="H514" s="3" t="n">
        <v>286.57</v>
      </c>
      <c r="I514" s="3" t="n">
        <v>3438.84</v>
      </c>
      <c r="J514" s="3" t="n">
        <v>247.14</v>
      </c>
      <c r="K514" s="3" t="n">
        <v>2965.68</v>
      </c>
      <c r="L514" s="3" t="n">
        <v>473.16</v>
      </c>
      <c r="M514" s="4" t="n">
        <v>0.1376</v>
      </c>
    </row>
    <row r="515">
      <c r="A515" s="2" t="inlineStr">
        <is>
          <t>SKL-00514</t>
        </is>
      </c>
      <c r="B515" s="2" t="inlineStr">
        <is>
          <t>SIP-0140</t>
        </is>
      </c>
      <c r="C515" s="2" t="inlineStr">
        <is>
          <t>ENDVAN-034</t>
        </is>
      </c>
      <c r="D515" s="5" t="n">
        <v>15</v>
      </c>
      <c r="E515" s="2" t="inlineStr">
        <is>
          <t>Adet</t>
        </is>
      </c>
      <c r="F515" s="3" t="n">
        <v>782.58</v>
      </c>
      <c r="G515" s="4" t="n">
        <v>0.0538</v>
      </c>
      <c r="H515" s="3" t="n">
        <v>740.48</v>
      </c>
      <c r="I515" s="3" t="n">
        <v>11107.2</v>
      </c>
      <c r="J515" s="3" t="n">
        <v>595.41</v>
      </c>
      <c r="K515" s="3" t="n">
        <v>8931.15</v>
      </c>
      <c r="L515" s="3" t="n">
        <v>2176.05</v>
      </c>
      <c r="M515" s="4" t="n">
        <v>0.1959</v>
      </c>
    </row>
    <row r="516">
      <c r="A516" s="2" t="inlineStr">
        <is>
          <t>SKL-00515</t>
        </is>
      </c>
      <c r="B516" s="2" t="inlineStr">
        <is>
          <t>SIP-0140</t>
        </is>
      </c>
      <c r="C516" s="2" t="inlineStr">
        <is>
          <t>ENDVAN-007</t>
        </is>
      </c>
      <c r="D516" s="5" t="n">
        <v>8</v>
      </c>
      <c r="E516" s="2" t="inlineStr">
        <is>
          <t>Adet</t>
        </is>
      </c>
      <c r="F516" s="3" t="n">
        <v>188.01</v>
      </c>
      <c r="G516" s="4" t="n">
        <v>0.1046</v>
      </c>
      <c r="H516" s="3" t="n">
        <v>168.34</v>
      </c>
      <c r="I516" s="3" t="n">
        <v>1346.72</v>
      </c>
      <c r="J516" s="3" t="n">
        <v>126.94</v>
      </c>
      <c r="K516" s="3" t="n">
        <v>1015.52</v>
      </c>
      <c r="L516" s="3" t="n">
        <v>331.2</v>
      </c>
      <c r="M516" s="4" t="n">
        <v>0.2459</v>
      </c>
    </row>
    <row r="517">
      <c r="A517" s="2" t="inlineStr">
        <is>
          <t>SKL-00516</t>
        </is>
      </c>
      <c r="B517" s="2" t="inlineStr">
        <is>
          <t>SIP-0140</t>
        </is>
      </c>
      <c r="C517" s="2" t="inlineStr">
        <is>
          <t>MEKSIZ-013</t>
        </is>
      </c>
      <c r="D517" s="5" t="n">
        <v>24</v>
      </c>
      <c r="E517" s="2" t="inlineStr">
        <is>
          <t>Adet</t>
        </is>
      </c>
      <c r="F517" s="3" t="n">
        <v>67.34</v>
      </c>
      <c r="G517" s="4" t="n">
        <v>0.0375</v>
      </c>
      <c r="H517" s="3" t="n">
        <v>64.81</v>
      </c>
      <c r="I517" s="3" t="n">
        <v>1555.44</v>
      </c>
      <c r="J517" s="3" t="n">
        <v>45.62</v>
      </c>
      <c r="K517" s="3" t="n">
        <v>1094.88</v>
      </c>
      <c r="L517" s="3" t="n">
        <v>460.56</v>
      </c>
      <c r="M517" s="4" t="n">
        <v>0.2961</v>
      </c>
    </row>
    <row r="518">
      <c r="A518" s="2" t="inlineStr">
        <is>
          <t>SKL-00517</t>
        </is>
      </c>
      <c r="B518" s="2" t="inlineStr">
        <is>
          <t>SIP-0141</t>
        </is>
      </c>
      <c r="C518" s="2" t="inlineStr">
        <is>
          <t>ENDVAN-022</t>
        </is>
      </c>
      <c r="D518" s="5" t="n">
        <v>10</v>
      </c>
      <c r="E518" s="2" t="inlineStr">
        <is>
          <t>Adet</t>
        </is>
      </c>
      <c r="F518" s="3" t="n">
        <v>223.71</v>
      </c>
      <c r="G518" s="4" t="n">
        <v>0.1037</v>
      </c>
      <c r="H518" s="3" t="n">
        <v>200.51</v>
      </c>
      <c r="I518" s="3" t="n">
        <v>2005.1</v>
      </c>
      <c r="J518" s="3" t="n">
        <v>163.9</v>
      </c>
      <c r="K518" s="3" t="n">
        <v>1639</v>
      </c>
      <c r="L518" s="3" t="n">
        <v>366.1</v>
      </c>
      <c r="M518" s="4" t="n">
        <v>0.1826</v>
      </c>
    </row>
    <row r="519">
      <c r="A519" s="2" t="inlineStr">
        <is>
          <t>SKL-00518</t>
        </is>
      </c>
      <c r="B519" s="2" t="inlineStr">
        <is>
          <t>SIP-0141</t>
        </is>
      </c>
      <c r="C519" s="2" t="inlineStr">
        <is>
          <t>YAREND-002</t>
        </is>
      </c>
      <c r="D519" s="5" t="n">
        <v>9</v>
      </c>
      <c r="E519" s="2" t="inlineStr">
        <is>
          <t>Adet</t>
        </is>
      </c>
      <c r="F519" s="3" t="n">
        <v>1211.99</v>
      </c>
      <c r="G519" s="4" t="n">
        <v>0.1092</v>
      </c>
      <c r="H519" s="3" t="n">
        <v>1079.64</v>
      </c>
      <c r="I519" s="3" t="n">
        <v>9716.76</v>
      </c>
      <c r="J519" s="3" t="n">
        <v>839.65</v>
      </c>
      <c r="K519" s="3" t="n">
        <v>7556.85</v>
      </c>
      <c r="L519" s="3" t="n">
        <v>2159.91</v>
      </c>
      <c r="M519" s="4" t="n">
        <v>0.2223</v>
      </c>
    </row>
    <row r="520">
      <c r="A520" s="2" t="inlineStr">
        <is>
          <t>SKL-00519</t>
        </is>
      </c>
      <c r="B520" s="2" t="inlineStr">
        <is>
          <t>SIP-0141</t>
        </is>
      </c>
      <c r="C520" s="2" t="inlineStr">
        <is>
          <t>YAREND-015</t>
        </is>
      </c>
      <c r="D520" s="5" t="n">
        <v>9</v>
      </c>
      <c r="E520" s="2" t="inlineStr">
        <is>
          <t>Adet</t>
        </is>
      </c>
      <c r="F520" s="3" t="n">
        <v>163.08</v>
      </c>
      <c r="G520" s="4" t="n">
        <v>0.0242</v>
      </c>
      <c r="H520" s="3" t="n">
        <v>159.13</v>
      </c>
      <c r="I520" s="3" t="n">
        <v>1432.17</v>
      </c>
      <c r="J520" s="3" t="n">
        <v>114.22</v>
      </c>
      <c r="K520" s="3" t="n">
        <v>1027.98</v>
      </c>
      <c r="L520" s="3" t="n">
        <v>404.19</v>
      </c>
      <c r="M520" s="4" t="n">
        <v>0.2822</v>
      </c>
    </row>
    <row r="521">
      <c r="A521" s="2" t="inlineStr">
        <is>
          <t>SKL-00520</t>
        </is>
      </c>
      <c r="B521" s="2" t="inlineStr">
        <is>
          <t>SIP-0141</t>
        </is>
      </c>
      <c r="C521" s="2" t="inlineStr">
        <is>
          <t>MEKSIZ-004</t>
        </is>
      </c>
      <c r="D521" s="5" t="n">
        <v>10</v>
      </c>
      <c r="E521" s="2" t="inlineStr">
        <is>
          <t>Adet</t>
        </is>
      </c>
      <c r="F521" s="3" t="n">
        <v>254.41</v>
      </c>
      <c r="G521" s="4" t="n">
        <v>0.0547</v>
      </c>
      <c r="H521" s="3" t="n">
        <v>240.49</v>
      </c>
      <c r="I521" s="3" t="n">
        <v>2404.9</v>
      </c>
      <c r="J521" s="3" t="n">
        <v>164.52</v>
      </c>
      <c r="K521" s="3" t="n">
        <v>1645.2</v>
      </c>
      <c r="L521" s="3" t="n">
        <v>759.7</v>
      </c>
      <c r="M521" s="4" t="n">
        <v>0.3159</v>
      </c>
    </row>
    <row r="522">
      <c r="A522" s="2" t="inlineStr">
        <is>
          <t>SKL-00521</t>
        </is>
      </c>
      <c r="B522" s="2" t="inlineStr">
        <is>
          <t>SIP-0142</t>
        </is>
      </c>
      <c r="C522" s="2" t="inlineStr">
        <is>
          <t>ENDVAN-012</t>
        </is>
      </c>
      <c r="D522" s="5" t="n">
        <v>12</v>
      </c>
      <c r="E522" s="2" t="inlineStr">
        <is>
          <t>Adet</t>
        </is>
      </c>
      <c r="F522" s="3" t="n">
        <v>358.84</v>
      </c>
      <c r="G522" s="4" t="n">
        <v>0.0054</v>
      </c>
      <c r="H522" s="3" t="n">
        <v>356.9</v>
      </c>
      <c r="I522" s="3" t="n">
        <v>4282.8</v>
      </c>
      <c r="J522" s="3" t="n">
        <v>281.71</v>
      </c>
      <c r="K522" s="3" t="n">
        <v>3380.52</v>
      </c>
      <c r="L522" s="3" t="n">
        <v>902.28</v>
      </c>
      <c r="M522" s="4" t="n">
        <v>0.2107</v>
      </c>
    </row>
    <row r="523">
      <c r="A523" s="2" t="inlineStr">
        <is>
          <t>SKL-00522</t>
        </is>
      </c>
      <c r="B523" s="2" t="inlineStr">
        <is>
          <t>SIP-0142</t>
        </is>
      </c>
      <c r="C523" s="2" t="inlineStr">
        <is>
          <t>ENDVAN-029</t>
        </is>
      </c>
      <c r="D523" s="5" t="n">
        <v>17</v>
      </c>
      <c r="E523" s="2" t="inlineStr">
        <is>
          <t>Adet</t>
        </is>
      </c>
      <c r="F523" s="3" t="n">
        <v>525.84</v>
      </c>
      <c r="G523" s="4" t="n">
        <v>0.0301</v>
      </c>
      <c r="H523" s="3" t="n">
        <v>510.01</v>
      </c>
      <c r="I523" s="3" t="n">
        <v>8670.17</v>
      </c>
      <c r="J523" s="3" t="n">
        <v>318.96</v>
      </c>
      <c r="K523" s="3" t="n">
        <v>5422.32</v>
      </c>
      <c r="L523" s="3" t="n">
        <v>3247.85</v>
      </c>
      <c r="M523" s="4" t="n">
        <v>0.3746</v>
      </c>
    </row>
    <row r="524">
      <c r="A524" s="2" t="inlineStr">
        <is>
          <t>SKL-00523</t>
        </is>
      </c>
      <c r="B524" s="2" t="inlineStr">
        <is>
          <t>SIP-0142</t>
        </is>
      </c>
      <c r="C524" s="2" t="inlineStr">
        <is>
          <t>ENDVAN-019</t>
        </is>
      </c>
      <c r="D524" s="5" t="n">
        <v>18</v>
      </c>
      <c r="E524" s="2" t="inlineStr">
        <is>
          <t>Adet</t>
        </is>
      </c>
      <c r="F524" s="3" t="n">
        <v>755.41</v>
      </c>
      <c r="G524" s="4" t="n">
        <v>0.0089</v>
      </c>
      <c r="H524" s="3" t="n">
        <v>748.6900000000001</v>
      </c>
      <c r="I524" s="3" t="n">
        <v>13476.42</v>
      </c>
      <c r="J524" s="3" t="n">
        <v>564.9400000000001</v>
      </c>
      <c r="K524" s="3" t="n">
        <v>10168.92</v>
      </c>
      <c r="L524" s="3" t="n">
        <v>3307.5</v>
      </c>
      <c r="M524" s="4" t="n">
        <v>0.2454</v>
      </c>
    </row>
    <row r="525">
      <c r="A525" s="2" t="inlineStr">
        <is>
          <t>SKL-00524</t>
        </is>
      </c>
      <c r="B525" s="2" t="inlineStr">
        <is>
          <t>SIP-0143</t>
        </is>
      </c>
      <c r="C525" s="2" t="inlineStr">
        <is>
          <t>ENDVAN-025</t>
        </is>
      </c>
      <c r="D525" s="5" t="n">
        <v>16</v>
      </c>
      <c r="E525" s="2" t="inlineStr">
        <is>
          <t>Adet</t>
        </is>
      </c>
      <c r="F525" s="3" t="n">
        <v>295.76</v>
      </c>
      <c r="G525" s="4" t="n">
        <v>0.0641</v>
      </c>
      <c r="H525" s="3" t="n">
        <v>276.8</v>
      </c>
      <c r="I525" s="3" t="n">
        <v>4428.8</v>
      </c>
      <c r="J525" s="3" t="n">
        <v>205.87</v>
      </c>
      <c r="K525" s="3" t="n">
        <v>3293.92</v>
      </c>
      <c r="L525" s="3" t="n">
        <v>1134.88</v>
      </c>
      <c r="M525" s="4" t="n">
        <v>0.2563</v>
      </c>
    </row>
    <row r="526">
      <c r="A526" s="2" t="inlineStr">
        <is>
          <t>SKL-00525</t>
        </is>
      </c>
      <c r="B526" s="2" t="inlineStr">
        <is>
          <t>SIP-0143</t>
        </is>
      </c>
      <c r="C526" s="2" t="inlineStr">
        <is>
          <t>ENDVAN-011</t>
        </is>
      </c>
      <c r="D526" s="5" t="n">
        <v>4</v>
      </c>
      <c r="E526" s="2" t="inlineStr">
        <is>
          <t>Adet</t>
        </is>
      </c>
      <c r="F526" s="3" t="n">
        <v>1009.07</v>
      </c>
      <c r="G526" s="4" t="n">
        <v>0.0207</v>
      </c>
      <c r="H526" s="3" t="n">
        <v>988.1799999999999</v>
      </c>
      <c r="I526" s="3" t="n">
        <v>3952.72</v>
      </c>
      <c r="J526" s="3" t="n">
        <v>615.55</v>
      </c>
      <c r="K526" s="3" t="n">
        <v>2462.2</v>
      </c>
      <c r="L526" s="3" t="n">
        <v>1490.52</v>
      </c>
      <c r="M526" s="4" t="n">
        <v>0.3771</v>
      </c>
    </row>
    <row r="527">
      <c r="A527" s="2" t="inlineStr">
        <is>
          <t>SKL-00526</t>
        </is>
      </c>
      <c r="B527" s="2" t="inlineStr">
        <is>
          <t>SIP-0144</t>
        </is>
      </c>
      <c r="C527" s="2" t="inlineStr">
        <is>
          <t>ENDVAN-030</t>
        </is>
      </c>
      <c r="D527" s="5" t="n">
        <v>7</v>
      </c>
      <c r="E527" s="2" t="inlineStr">
        <is>
          <t>Adet</t>
        </is>
      </c>
      <c r="F527" s="3" t="n">
        <v>442.08</v>
      </c>
      <c r="G527" s="4" t="n">
        <v>0.0234</v>
      </c>
      <c r="H527" s="3" t="n">
        <v>431.74</v>
      </c>
      <c r="I527" s="3" t="n">
        <v>3022.18</v>
      </c>
      <c r="J527" s="3" t="n">
        <v>303.77</v>
      </c>
      <c r="K527" s="3" t="n">
        <v>2126.39</v>
      </c>
      <c r="L527" s="3" t="n">
        <v>895.79</v>
      </c>
      <c r="M527" s="4" t="n">
        <v>0.2964</v>
      </c>
    </row>
    <row r="528">
      <c r="A528" s="2" t="inlineStr">
        <is>
          <t>SKL-00527</t>
        </is>
      </c>
      <c r="B528" s="2" t="inlineStr">
        <is>
          <t>SIP-0144</t>
        </is>
      </c>
      <c r="C528" s="2" t="inlineStr">
        <is>
          <t>ENDVAN-004</t>
        </is>
      </c>
      <c r="D528" s="5" t="n">
        <v>8</v>
      </c>
      <c r="E528" s="2" t="inlineStr">
        <is>
          <t>Adet</t>
        </is>
      </c>
      <c r="F528" s="3" t="n">
        <v>309.58</v>
      </c>
      <c r="G528" s="4" t="n">
        <v>0.0426</v>
      </c>
      <c r="H528" s="3" t="n">
        <v>296.39</v>
      </c>
      <c r="I528" s="3" t="n">
        <v>2371.12</v>
      </c>
      <c r="J528" s="3" t="n">
        <v>212.53</v>
      </c>
      <c r="K528" s="3" t="n">
        <v>1700.24</v>
      </c>
      <c r="L528" s="3" t="n">
        <v>670.88</v>
      </c>
      <c r="M528" s="4" t="n">
        <v>0.2829</v>
      </c>
    </row>
    <row r="529">
      <c r="A529" s="2" t="inlineStr">
        <is>
          <t>SKL-00528</t>
        </is>
      </c>
      <c r="B529" s="2" t="inlineStr">
        <is>
          <t>SIP-0144</t>
        </is>
      </c>
      <c r="C529" s="2" t="inlineStr">
        <is>
          <t>FLAIZO-015</t>
        </is>
      </c>
      <c r="D529" s="5" t="n">
        <v>42</v>
      </c>
      <c r="E529" s="2" t="inlineStr">
        <is>
          <t>Set</t>
        </is>
      </c>
      <c r="F529" s="3" t="n">
        <v>165.93</v>
      </c>
      <c r="G529" s="4" t="n">
        <v>0.0762</v>
      </c>
      <c r="H529" s="3" t="n">
        <v>153.29</v>
      </c>
      <c r="I529" s="3" t="n">
        <v>6438.18</v>
      </c>
      <c r="J529" s="3" t="n">
        <v>94.38</v>
      </c>
      <c r="K529" s="3" t="n">
        <v>3963.96</v>
      </c>
      <c r="L529" s="3" t="n">
        <v>2474.22</v>
      </c>
      <c r="M529" s="4" t="n">
        <v>0.3843</v>
      </c>
    </row>
    <row r="530">
      <c r="A530" s="2" t="inlineStr">
        <is>
          <t>SKL-00529</t>
        </is>
      </c>
      <c r="B530" s="2" t="inlineStr">
        <is>
          <t>SIP-0144</t>
        </is>
      </c>
      <c r="C530" s="2" t="inlineStr">
        <is>
          <t>ENDVAN-018</t>
        </is>
      </c>
      <c r="D530" s="5" t="n">
        <v>6</v>
      </c>
      <c r="E530" s="2" t="inlineStr">
        <is>
          <t>Adet</t>
        </is>
      </c>
      <c r="F530" s="3" t="n">
        <v>1074.08</v>
      </c>
      <c r="G530" s="4" t="n">
        <v>0.0347</v>
      </c>
      <c r="H530" s="3" t="n">
        <v>1036.81</v>
      </c>
      <c r="I530" s="3" t="n">
        <v>6220.86</v>
      </c>
      <c r="J530" s="3" t="n">
        <v>781.12</v>
      </c>
      <c r="K530" s="3" t="n">
        <v>4686.72</v>
      </c>
      <c r="L530" s="3" t="n">
        <v>1534.14</v>
      </c>
      <c r="M530" s="4" t="n">
        <v>0.2466</v>
      </c>
    </row>
    <row r="531">
      <c r="A531" s="2" t="inlineStr">
        <is>
          <t>SKL-00530</t>
        </is>
      </c>
      <c r="B531" s="2" t="inlineStr">
        <is>
          <t>SIP-0144</t>
        </is>
      </c>
      <c r="C531" s="2" t="inlineStr">
        <is>
          <t>FLAIZO-002</t>
        </is>
      </c>
      <c r="D531" s="5" t="n">
        <v>57</v>
      </c>
      <c r="E531" s="2" t="inlineStr">
        <is>
          <t>Set</t>
        </is>
      </c>
      <c r="F531" s="3" t="n">
        <v>106.71</v>
      </c>
      <c r="G531" s="4" t="n">
        <v>0.0067</v>
      </c>
      <c r="H531" s="3" t="n">
        <v>106</v>
      </c>
      <c r="I531" s="3" t="n">
        <v>6042</v>
      </c>
      <c r="J531" s="3" t="n">
        <v>54.73</v>
      </c>
      <c r="K531" s="3" t="n">
        <v>3119.61</v>
      </c>
      <c r="L531" s="3" t="n">
        <v>2922.39</v>
      </c>
      <c r="M531" s="4" t="n">
        <v>0.4837</v>
      </c>
    </row>
    <row r="532">
      <c r="A532" s="2" t="inlineStr">
        <is>
          <t>SKL-00531</t>
        </is>
      </c>
      <c r="B532" s="2" t="inlineStr">
        <is>
          <t>SIP-0144</t>
        </is>
      </c>
      <c r="C532" s="2" t="inlineStr">
        <is>
          <t>YAREND-015</t>
        </is>
      </c>
      <c r="D532" s="5" t="n">
        <v>8</v>
      </c>
      <c r="E532" s="2" t="inlineStr">
        <is>
          <t>Adet</t>
        </is>
      </c>
      <c r="F532" s="3" t="n">
        <v>152.97</v>
      </c>
      <c r="G532" s="4" t="n">
        <v>0.0683</v>
      </c>
      <c r="H532" s="3" t="n">
        <v>142.52</v>
      </c>
      <c r="I532" s="3" t="n">
        <v>1140.16</v>
      </c>
      <c r="J532" s="3" t="n">
        <v>114.22</v>
      </c>
      <c r="K532" s="3" t="n">
        <v>913.76</v>
      </c>
      <c r="L532" s="3" t="n">
        <v>226.4</v>
      </c>
      <c r="M532" s="4" t="n">
        <v>0.1986</v>
      </c>
    </row>
    <row r="533">
      <c r="A533" s="2" t="inlineStr">
        <is>
          <t>SKL-00532</t>
        </is>
      </c>
      <c r="B533" s="2" t="inlineStr">
        <is>
          <t>SIP-0145</t>
        </is>
      </c>
      <c r="C533" s="2" t="inlineStr">
        <is>
          <t>KAR/-001</t>
        </is>
      </c>
      <c r="D533" s="5" t="n">
        <v>2</v>
      </c>
      <c r="E533" s="2" t="inlineStr">
        <is>
          <t>Adet</t>
        </is>
      </c>
      <c r="F533" s="3" t="n">
        <v>9361.040000000001</v>
      </c>
      <c r="G533" s="4" t="n">
        <v>0.0271</v>
      </c>
      <c r="H533" s="3" t="n">
        <v>9107.360000000001</v>
      </c>
      <c r="I533" s="3" t="n">
        <v>18214.72</v>
      </c>
      <c r="J533" s="3" t="n">
        <v>7519.05</v>
      </c>
      <c r="K533" s="3" t="n">
        <v>15038.1</v>
      </c>
      <c r="L533" s="3" t="n">
        <v>3176.62</v>
      </c>
      <c r="M533" s="4" t="n">
        <v>0.1744</v>
      </c>
    </row>
    <row r="534">
      <c r="A534" s="2" t="inlineStr">
        <is>
          <t>SKL-00533</t>
        </is>
      </c>
      <c r="B534" s="2" t="inlineStr">
        <is>
          <t>SIP-0145</t>
        </is>
      </c>
      <c r="C534" s="2" t="inlineStr">
        <is>
          <t>FLAIZO-013</t>
        </is>
      </c>
      <c r="D534" s="5" t="n">
        <v>73</v>
      </c>
      <c r="E534" s="2" t="inlineStr">
        <is>
          <t>Set</t>
        </is>
      </c>
      <c r="F534" s="3" t="n">
        <v>34.63</v>
      </c>
      <c r="G534" s="4" t="n">
        <v>0.0608</v>
      </c>
      <c r="H534" s="3" t="n">
        <v>32.52</v>
      </c>
      <c r="I534" s="3" t="n">
        <v>2373.96</v>
      </c>
      <c r="J534" s="3" t="n">
        <v>19.05</v>
      </c>
      <c r="K534" s="3" t="n">
        <v>1390.65</v>
      </c>
      <c r="L534" s="3" t="n">
        <v>983.3099999999999</v>
      </c>
      <c r="M534" s="4" t="n">
        <v>0.4142</v>
      </c>
    </row>
    <row r="535">
      <c r="A535" s="2" t="inlineStr">
        <is>
          <t>SKL-00534</t>
        </is>
      </c>
      <c r="B535" s="2" t="inlineStr">
        <is>
          <t>SIP-0145</t>
        </is>
      </c>
      <c r="C535" s="2" t="inlineStr">
        <is>
          <t>YAREND-005</t>
        </is>
      </c>
      <c r="D535" s="5" t="n">
        <v>8</v>
      </c>
      <c r="E535" s="2" t="inlineStr">
        <is>
          <t>Adet</t>
        </is>
      </c>
      <c r="F535" s="3" t="n">
        <v>939.0599999999999</v>
      </c>
      <c r="G535" s="4" t="n">
        <v>0.035</v>
      </c>
      <c r="H535" s="3" t="n">
        <v>906.1900000000001</v>
      </c>
      <c r="I535" s="3" t="n">
        <v>7249.52</v>
      </c>
      <c r="J535" s="3" t="n">
        <v>729.01</v>
      </c>
      <c r="K535" s="3" t="n">
        <v>5832.08</v>
      </c>
      <c r="L535" s="3" t="n">
        <v>1417.44</v>
      </c>
      <c r="M535" s="4" t="n">
        <v>0.1955</v>
      </c>
    </row>
    <row r="536">
      <c r="A536" s="2" t="inlineStr">
        <is>
          <t>SKL-00535</t>
        </is>
      </c>
      <c r="B536" s="2" t="inlineStr">
        <is>
          <t>SIP-0146</t>
        </is>
      </c>
      <c r="C536" s="2" t="inlineStr">
        <is>
          <t>ENDVAN-003</t>
        </is>
      </c>
      <c r="D536" s="5" t="n">
        <v>19</v>
      </c>
      <c r="E536" s="2" t="inlineStr">
        <is>
          <t>Adet</t>
        </is>
      </c>
      <c r="F536" s="3" t="n">
        <v>1369.24</v>
      </c>
      <c r="G536" s="4" t="n">
        <v>0.0698</v>
      </c>
      <c r="H536" s="3" t="n">
        <v>1273.67</v>
      </c>
      <c r="I536" s="3" t="n">
        <v>24199.73</v>
      </c>
      <c r="J536" s="3" t="n">
        <v>1050.24</v>
      </c>
      <c r="K536" s="3" t="n">
        <v>19954.56</v>
      </c>
      <c r="L536" s="3" t="n">
        <v>4245.17</v>
      </c>
      <c r="M536" s="4" t="n">
        <v>0.1754</v>
      </c>
    </row>
    <row r="537">
      <c r="A537" s="2" t="inlineStr">
        <is>
          <t>SKL-00536</t>
        </is>
      </c>
      <c r="B537" s="2" t="inlineStr">
        <is>
          <t>SIP-0146</t>
        </is>
      </c>
      <c r="C537" s="2" t="inlineStr">
        <is>
          <t>ENDVAN-024</t>
        </is>
      </c>
      <c r="D537" s="5" t="n">
        <v>20</v>
      </c>
      <c r="E537" s="2" t="inlineStr">
        <is>
          <t>Adet</t>
        </is>
      </c>
      <c r="F537" s="3" t="n">
        <v>1626.54</v>
      </c>
      <c r="G537" s="4" t="n">
        <v>0.0603</v>
      </c>
      <c r="H537" s="3" t="n">
        <v>1528.46</v>
      </c>
      <c r="I537" s="3" t="n">
        <v>30569.2</v>
      </c>
      <c r="J537" s="3" t="n">
        <v>1156.64</v>
      </c>
      <c r="K537" s="3" t="n">
        <v>23132.8</v>
      </c>
      <c r="L537" s="3" t="n">
        <v>7436.4</v>
      </c>
      <c r="M537" s="4" t="n">
        <v>0.2433</v>
      </c>
    </row>
    <row r="538">
      <c r="A538" s="2" t="inlineStr">
        <is>
          <t>SKL-00537</t>
        </is>
      </c>
      <c r="B538" s="2" t="inlineStr">
        <is>
          <t>SIP-0146</t>
        </is>
      </c>
      <c r="C538" s="2" t="inlineStr">
        <is>
          <t>MEKSIZ-012</t>
        </is>
      </c>
      <c r="D538" s="5" t="n">
        <v>17</v>
      </c>
      <c r="E538" s="2" t="inlineStr">
        <is>
          <t>Adet</t>
        </is>
      </c>
      <c r="F538" s="3" t="n">
        <v>474.2</v>
      </c>
      <c r="G538" s="4" t="n">
        <v>0.0247</v>
      </c>
      <c r="H538" s="3" t="n">
        <v>462.49</v>
      </c>
      <c r="I538" s="3" t="n">
        <v>7862.33</v>
      </c>
      <c r="J538" s="3" t="n">
        <v>282.12</v>
      </c>
      <c r="K538" s="3" t="n">
        <v>4796.04</v>
      </c>
      <c r="L538" s="3" t="n">
        <v>3066.29</v>
      </c>
      <c r="M538" s="4" t="n">
        <v>0.39</v>
      </c>
    </row>
    <row r="539">
      <c r="A539" s="2" t="inlineStr">
        <is>
          <t>SKL-00538</t>
        </is>
      </c>
      <c r="B539" s="2" t="inlineStr">
        <is>
          <t>SIP-0146</t>
        </is>
      </c>
      <c r="C539" s="2" t="inlineStr">
        <is>
          <t>ENDVAN-013</t>
        </is>
      </c>
      <c r="D539" s="5" t="n">
        <v>20</v>
      </c>
      <c r="E539" s="2" t="inlineStr">
        <is>
          <t>Adet</t>
        </is>
      </c>
      <c r="F539" s="3" t="n">
        <v>1665.72</v>
      </c>
      <c r="G539" s="4" t="n">
        <v>0.0315</v>
      </c>
      <c r="H539" s="3" t="n">
        <v>1613.25</v>
      </c>
      <c r="I539" s="3" t="n">
        <v>32265</v>
      </c>
      <c r="J539" s="3" t="n">
        <v>1133.86</v>
      </c>
      <c r="K539" s="3" t="n">
        <v>22677.2</v>
      </c>
      <c r="L539" s="3" t="n">
        <v>9587.799999999999</v>
      </c>
      <c r="M539" s="4" t="n">
        <v>0.2972</v>
      </c>
    </row>
    <row r="540">
      <c r="A540" s="2" t="inlineStr">
        <is>
          <t>SKL-00539</t>
        </is>
      </c>
      <c r="B540" s="2" t="inlineStr">
        <is>
          <t>SIP-0146</t>
        </is>
      </c>
      <c r="C540" s="2" t="inlineStr">
        <is>
          <t>YAREND-011</t>
        </is>
      </c>
      <c r="D540" s="5" t="n">
        <v>10</v>
      </c>
      <c r="E540" s="2" t="inlineStr">
        <is>
          <t>Adet</t>
        </is>
      </c>
      <c r="F540" s="3" t="n">
        <v>1153.07</v>
      </c>
      <c r="G540" s="4" t="n">
        <v>0.0604</v>
      </c>
      <c r="H540" s="3" t="n">
        <v>1083.42</v>
      </c>
      <c r="I540" s="3" t="n">
        <v>10834.2</v>
      </c>
      <c r="J540" s="3" t="n">
        <v>777.02</v>
      </c>
      <c r="K540" s="3" t="n">
        <v>7770.2</v>
      </c>
      <c r="L540" s="3" t="n">
        <v>3064</v>
      </c>
      <c r="M540" s="4" t="n">
        <v>0.2828</v>
      </c>
    </row>
    <row r="541">
      <c r="A541" s="2" t="inlineStr">
        <is>
          <t>SKL-00540</t>
        </is>
      </c>
      <c r="B541" s="2" t="inlineStr">
        <is>
          <t>SIP-0147</t>
        </is>
      </c>
      <c r="C541" s="2" t="inlineStr">
        <is>
          <t>ENDVAN-008</t>
        </is>
      </c>
      <c r="D541" s="5" t="n">
        <v>12</v>
      </c>
      <c r="E541" s="2" t="inlineStr">
        <is>
          <t>Adet</t>
        </is>
      </c>
      <c r="F541" s="3" t="n">
        <v>555.17</v>
      </c>
      <c r="G541" s="4" t="n">
        <v>0.0261</v>
      </c>
      <c r="H541" s="3" t="n">
        <v>540.6799999999999</v>
      </c>
      <c r="I541" s="3" t="n">
        <v>6488.16</v>
      </c>
      <c r="J541" s="3" t="n">
        <v>429.42</v>
      </c>
      <c r="K541" s="3" t="n">
        <v>5153.04</v>
      </c>
      <c r="L541" s="3" t="n">
        <v>1335.12</v>
      </c>
      <c r="M541" s="4" t="n">
        <v>0.2058</v>
      </c>
    </row>
    <row r="542">
      <c r="A542" s="2" t="inlineStr">
        <is>
          <t>SKL-00541</t>
        </is>
      </c>
      <c r="B542" s="2" t="inlineStr">
        <is>
          <t>SIP-0147</t>
        </is>
      </c>
      <c r="C542" s="2" t="inlineStr">
        <is>
          <t>YAREND-007</t>
        </is>
      </c>
      <c r="D542" s="5" t="n">
        <v>7</v>
      </c>
      <c r="E542" s="2" t="inlineStr">
        <is>
          <t>Adet</t>
        </is>
      </c>
      <c r="F542" s="3" t="n">
        <v>659.24</v>
      </c>
      <c r="G542" s="4" t="n">
        <v>0.0041</v>
      </c>
      <c r="H542" s="3" t="n">
        <v>656.54</v>
      </c>
      <c r="I542" s="3" t="n">
        <v>4595.78</v>
      </c>
      <c r="J542" s="3" t="n">
        <v>459.17</v>
      </c>
      <c r="K542" s="3" t="n">
        <v>3214.19</v>
      </c>
      <c r="L542" s="3" t="n">
        <v>1381.59</v>
      </c>
      <c r="M542" s="4" t="n">
        <v>0.3006</v>
      </c>
    </row>
    <row r="543">
      <c r="A543" s="2" t="inlineStr">
        <is>
          <t>SKL-00542</t>
        </is>
      </c>
      <c r="B543" s="2" t="inlineStr">
        <is>
          <t>SIP-0147</t>
        </is>
      </c>
      <c r="C543" s="2" t="inlineStr">
        <is>
          <t>ENDVAN-016</t>
        </is>
      </c>
      <c r="D543" s="5" t="n">
        <v>21</v>
      </c>
      <c r="E543" s="2" t="inlineStr">
        <is>
          <t>Adet</t>
        </is>
      </c>
      <c r="F543" s="3" t="n">
        <v>915.21</v>
      </c>
      <c r="G543" s="4" t="n">
        <v>0.032</v>
      </c>
      <c r="H543" s="3" t="n">
        <v>885.92</v>
      </c>
      <c r="I543" s="3" t="n">
        <v>18604.32</v>
      </c>
      <c r="J543" s="3" t="n">
        <v>674.97</v>
      </c>
      <c r="K543" s="3" t="n">
        <v>14174.37</v>
      </c>
      <c r="L543" s="3" t="n">
        <v>4429.95</v>
      </c>
      <c r="M543" s="4" t="n">
        <v>0.2381</v>
      </c>
    </row>
    <row r="544">
      <c r="A544" s="2" t="inlineStr">
        <is>
          <t>SKL-00543</t>
        </is>
      </c>
      <c r="B544" s="2" t="inlineStr">
        <is>
          <t>SIP-0147</t>
        </is>
      </c>
      <c r="C544" s="2" t="inlineStr">
        <is>
          <t>KAR/-002</t>
        </is>
      </c>
      <c r="D544" s="5" t="n">
        <v>1</v>
      </c>
      <c r="E544" s="2" t="inlineStr">
        <is>
          <t>Adet</t>
        </is>
      </c>
      <c r="F544" s="3" t="n">
        <v>12724.35</v>
      </c>
      <c r="G544" s="4" t="n">
        <v>0.07140000000000001</v>
      </c>
      <c r="H544" s="3" t="n">
        <v>11815.83</v>
      </c>
      <c r="I544" s="3" t="n">
        <v>11815.83</v>
      </c>
      <c r="J544" s="3" t="n">
        <v>9102.83</v>
      </c>
      <c r="K544" s="3" t="n">
        <v>9102.83</v>
      </c>
      <c r="L544" s="3" t="n">
        <v>2713</v>
      </c>
      <c r="M544" s="4" t="n">
        <v>0.2296</v>
      </c>
    </row>
    <row r="545">
      <c r="A545" s="2" t="inlineStr">
        <is>
          <t>SKL-00544</t>
        </is>
      </c>
      <c r="B545" s="2" t="inlineStr">
        <is>
          <t>SIP-0148</t>
        </is>
      </c>
      <c r="C545" s="2" t="inlineStr">
        <is>
          <t>YAREND-008</t>
        </is>
      </c>
      <c r="D545" s="5" t="n">
        <v>7</v>
      </c>
      <c r="E545" s="2" t="inlineStr">
        <is>
          <t>Adet</t>
        </is>
      </c>
      <c r="F545" s="3" t="n">
        <v>983.13</v>
      </c>
      <c r="G545" s="4" t="n">
        <v>0.0484</v>
      </c>
      <c r="H545" s="3" t="n">
        <v>935.55</v>
      </c>
      <c r="I545" s="3" t="n">
        <v>6548.85</v>
      </c>
      <c r="J545" s="3" t="n">
        <v>582.91</v>
      </c>
      <c r="K545" s="3" t="n">
        <v>4080.37</v>
      </c>
      <c r="L545" s="3" t="n">
        <v>2468.48</v>
      </c>
      <c r="M545" s="4" t="n">
        <v>0.3769</v>
      </c>
    </row>
    <row r="546">
      <c r="A546" s="2" t="inlineStr">
        <is>
          <t>SKL-00545</t>
        </is>
      </c>
      <c r="B546" s="2" t="inlineStr">
        <is>
          <t>SIP-0148</t>
        </is>
      </c>
      <c r="C546" s="2" t="inlineStr">
        <is>
          <t>ENDVAN-001</t>
        </is>
      </c>
      <c r="D546" s="5" t="n">
        <v>7</v>
      </c>
      <c r="E546" s="2" t="inlineStr">
        <is>
          <t>Adet</t>
        </is>
      </c>
      <c r="F546" s="3" t="n">
        <v>296.39</v>
      </c>
      <c r="G546" s="4" t="n">
        <v>0.0843</v>
      </c>
      <c r="H546" s="3" t="n">
        <v>271.4</v>
      </c>
      <c r="I546" s="3" t="n">
        <v>1899.8</v>
      </c>
      <c r="J546" s="3" t="n">
        <v>192.02</v>
      </c>
      <c r="K546" s="3" t="n">
        <v>1344.14</v>
      </c>
      <c r="L546" s="3" t="n">
        <v>555.66</v>
      </c>
      <c r="M546" s="4" t="n">
        <v>0.2925</v>
      </c>
    </row>
    <row r="547">
      <c r="A547" s="2" t="inlineStr">
        <is>
          <t>SKL-00546</t>
        </is>
      </c>
      <c r="B547" s="2" t="inlineStr">
        <is>
          <t>SIP-0148</t>
        </is>
      </c>
      <c r="C547" s="2" t="inlineStr">
        <is>
          <t>YAREND-002</t>
        </is>
      </c>
      <c r="D547" s="5" t="n">
        <v>11</v>
      </c>
      <c r="E547" s="2" t="inlineStr">
        <is>
          <t>Adet</t>
        </is>
      </c>
      <c r="F547" s="3" t="n">
        <v>1337.24</v>
      </c>
      <c r="G547" s="4" t="n">
        <v>0.0539</v>
      </c>
      <c r="H547" s="3" t="n">
        <v>1265.16</v>
      </c>
      <c r="I547" s="3" t="n">
        <v>13916.76</v>
      </c>
      <c r="J547" s="3" t="n">
        <v>839.65</v>
      </c>
      <c r="K547" s="3" t="n">
        <v>9236.15</v>
      </c>
      <c r="L547" s="3" t="n">
        <v>4680.61</v>
      </c>
      <c r="M547" s="4" t="n">
        <v>0.3363</v>
      </c>
    </row>
    <row r="548">
      <c r="A548" s="2" t="inlineStr">
        <is>
          <t>SKL-00547</t>
        </is>
      </c>
      <c r="B548" s="2" t="inlineStr">
        <is>
          <t>SIP-0148</t>
        </is>
      </c>
      <c r="C548" s="2" t="inlineStr">
        <is>
          <t>YAREND-012</t>
        </is>
      </c>
      <c r="D548" s="5" t="n">
        <v>1</v>
      </c>
      <c r="E548" s="2" t="inlineStr">
        <is>
          <t>Adet</t>
        </is>
      </c>
      <c r="F548" s="3" t="n">
        <v>735.53</v>
      </c>
      <c r="G548" s="4" t="n">
        <v>0.0297</v>
      </c>
      <c r="H548" s="3" t="n">
        <v>713.6799999999999</v>
      </c>
      <c r="I548" s="3" t="n">
        <v>713.6799999999999</v>
      </c>
      <c r="J548" s="3" t="n">
        <v>528.15</v>
      </c>
      <c r="K548" s="3" t="n">
        <v>528.15</v>
      </c>
      <c r="L548" s="3" t="n">
        <v>185.53</v>
      </c>
      <c r="M548" s="4" t="n">
        <v>0.26</v>
      </c>
    </row>
    <row r="549">
      <c r="A549" s="2" t="inlineStr">
        <is>
          <t>SKL-00548</t>
        </is>
      </c>
      <c r="B549" s="2" t="inlineStr">
        <is>
          <t>SIP-0148</t>
        </is>
      </c>
      <c r="C549" s="2" t="inlineStr">
        <is>
          <t>YAREND-015</t>
        </is>
      </c>
      <c r="D549" s="5" t="n">
        <v>13</v>
      </c>
      <c r="E549" s="2" t="inlineStr">
        <is>
          <t>Adet</t>
        </is>
      </c>
      <c r="F549" s="3" t="n">
        <v>158.93</v>
      </c>
      <c r="G549" s="4" t="n">
        <v>0.0454</v>
      </c>
      <c r="H549" s="3" t="n">
        <v>151.71</v>
      </c>
      <c r="I549" s="3" t="n">
        <v>1972.23</v>
      </c>
      <c r="J549" s="3" t="n">
        <v>114.22</v>
      </c>
      <c r="K549" s="3" t="n">
        <v>1484.86</v>
      </c>
      <c r="L549" s="3" t="n">
        <v>487.37</v>
      </c>
      <c r="M549" s="4" t="n">
        <v>0.2471</v>
      </c>
    </row>
    <row r="550">
      <c r="A550" s="2" t="inlineStr">
        <is>
          <t>SKL-00549</t>
        </is>
      </c>
      <c r="B550" s="2" t="inlineStr">
        <is>
          <t>SIP-0148</t>
        </is>
      </c>
      <c r="C550" s="2" t="inlineStr">
        <is>
          <t>FLAIZO-002</t>
        </is>
      </c>
      <c r="D550" s="5" t="n">
        <v>73</v>
      </c>
      <c r="E550" s="2" t="inlineStr">
        <is>
          <t>Set</t>
        </is>
      </c>
      <c r="F550" s="3" t="n">
        <v>108.17</v>
      </c>
      <c r="G550" s="4" t="n">
        <v>0.0541</v>
      </c>
      <c r="H550" s="3" t="n">
        <v>102.32</v>
      </c>
      <c r="I550" s="3" t="n">
        <v>7469.36</v>
      </c>
      <c r="J550" s="3" t="n">
        <v>54.73</v>
      </c>
      <c r="K550" s="3" t="n">
        <v>3995.29</v>
      </c>
      <c r="L550" s="3" t="n">
        <v>3474.07</v>
      </c>
      <c r="M550" s="4" t="n">
        <v>0.4651</v>
      </c>
    </row>
    <row r="551">
      <c r="A551" s="2" t="inlineStr">
        <is>
          <t>SKL-00550</t>
        </is>
      </c>
      <c r="B551" s="2" t="inlineStr">
        <is>
          <t>SIP-0148</t>
        </is>
      </c>
      <c r="C551" s="2" t="inlineStr">
        <is>
          <t>KAR/-010</t>
        </is>
      </c>
      <c r="D551" s="5" t="n">
        <v>1</v>
      </c>
      <c r="E551" s="2" t="inlineStr">
        <is>
          <t>Adet</t>
        </is>
      </c>
      <c r="F551" s="3" t="n">
        <v>9097.719999999999</v>
      </c>
      <c r="G551" s="4" t="n">
        <v>0.0159</v>
      </c>
      <c r="H551" s="3" t="n">
        <v>8953.07</v>
      </c>
      <c r="I551" s="3" t="n">
        <v>8953.07</v>
      </c>
      <c r="J551" s="3" t="n">
        <v>6787.7</v>
      </c>
      <c r="K551" s="3" t="n">
        <v>6787.7</v>
      </c>
      <c r="L551" s="3" t="n">
        <v>2165.37</v>
      </c>
      <c r="M551" s="4" t="n">
        <v>0.2419</v>
      </c>
    </row>
    <row r="552">
      <c r="A552" s="2" t="inlineStr">
        <is>
          <t>SKL-00551</t>
        </is>
      </c>
      <c r="B552" s="2" t="inlineStr">
        <is>
          <t>SIP-0148</t>
        </is>
      </c>
      <c r="C552" s="2" t="inlineStr">
        <is>
          <t>YAREND-010</t>
        </is>
      </c>
      <c r="D552" s="5" t="n">
        <v>5</v>
      </c>
      <c r="E552" s="2" t="inlineStr">
        <is>
          <t>Adet</t>
        </is>
      </c>
      <c r="F552" s="3" t="n">
        <v>978.22</v>
      </c>
      <c r="G552" s="4" t="n">
        <v>0.0047</v>
      </c>
      <c r="H552" s="3" t="n">
        <v>973.62</v>
      </c>
      <c r="I552" s="3" t="n">
        <v>4868.1</v>
      </c>
      <c r="J552" s="3" t="n">
        <v>593.24</v>
      </c>
      <c r="K552" s="3" t="n">
        <v>2966.2</v>
      </c>
      <c r="L552" s="3" t="n">
        <v>1901.9</v>
      </c>
      <c r="M552" s="4" t="n">
        <v>0.3907</v>
      </c>
    </row>
    <row r="553">
      <c r="A553" s="2" t="inlineStr">
        <is>
          <t>SKL-00552</t>
        </is>
      </c>
      <c r="B553" s="2" t="inlineStr">
        <is>
          <t>SIP-0149</t>
        </is>
      </c>
      <c r="C553" s="2" t="inlineStr">
        <is>
          <t>FLAIZO-013</t>
        </is>
      </c>
      <c r="D553" s="5" t="n">
        <v>70</v>
      </c>
      <c r="E553" s="2" t="inlineStr">
        <is>
          <t>Set</t>
        </is>
      </c>
      <c r="F553" s="3" t="n">
        <v>37.12</v>
      </c>
      <c r="G553" s="4" t="n">
        <v>0.1045</v>
      </c>
      <c r="H553" s="3" t="n">
        <v>33.24</v>
      </c>
      <c r="I553" s="3" t="n">
        <v>2326.8</v>
      </c>
      <c r="J553" s="3" t="n">
        <v>19.05</v>
      </c>
      <c r="K553" s="3" t="n">
        <v>1333.5</v>
      </c>
      <c r="L553" s="3" t="n">
        <v>993.3</v>
      </c>
      <c r="M553" s="4" t="n">
        <v>0.4269</v>
      </c>
    </row>
    <row r="554">
      <c r="A554" s="2" t="inlineStr">
        <is>
          <t>SKL-00553</t>
        </is>
      </c>
      <c r="B554" s="2" t="inlineStr">
        <is>
          <t>SIP-0149</t>
        </is>
      </c>
      <c r="C554" s="2" t="inlineStr">
        <is>
          <t>KAR/-001</t>
        </is>
      </c>
      <c r="D554" s="5" t="n">
        <v>3</v>
      </c>
      <c r="E554" s="2" t="inlineStr">
        <is>
          <t>Adet</t>
        </is>
      </c>
      <c r="F554" s="3" t="n">
        <v>9639.48</v>
      </c>
      <c r="G554" s="4" t="n">
        <v>0.06850000000000001</v>
      </c>
      <c r="H554" s="3" t="n">
        <v>8979.18</v>
      </c>
      <c r="I554" s="3" t="n">
        <v>26937.54</v>
      </c>
      <c r="J554" s="3" t="n">
        <v>7519.05</v>
      </c>
      <c r="K554" s="3" t="n">
        <v>22557.15</v>
      </c>
      <c r="L554" s="3" t="n">
        <v>4380.39</v>
      </c>
      <c r="M554" s="4" t="n">
        <v>0.1626</v>
      </c>
    </row>
    <row r="555">
      <c r="A555" s="2" t="inlineStr">
        <is>
          <t>SKL-00554</t>
        </is>
      </c>
      <c r="B555" s="2" t="inlineStr">
        <is>
          <t>SIP-0149</t>
        </is>
      </c>
      <c r="C555" s="2" t="inlineStr">
        <is>
          <t>ENDVAN-031</t>
        </is>
      </c>
      <c r="D555" s="5" t="n">
        <v>8</v>
      </c>
      <c r="E555" s="2" t="inlineStr">
        <is>
          <t>Adet</t>
        </is>
      </c>
      <c r="F555" s="3" t="n">
        <v>303.78</v>
      </c>
      <c r="G555" s="4" t="n">
        <v>0.0383</v>
      </c>
      <c r="H555" s="3" t="n">
        <v>292.15</v>
      </c>
      <c r="I555" s="3" t="n">
        <v>2337.2</v>
      </c>
      <c r="J555" s="3" t="n">
        <v>247.14</v>
      </c>
      <c r="K555" s="3" t="n">
        <v>1977.12</v>
      </c>
      <c r="L555" s="3" t="n">
        <v>360.08</v>
      </c>
      <c r="M555" s="4" t="n">
        <v>0.1541</v>
      </c>
    </row>
    <row r="556">
      <c r="A556" s="2" t="inlineStr">
        <is>
          <t>SKL-00555</t>
        </is>
      </c>
      <c r="B556" s="2" t="inlineStr">
        <is>
          <t>SIP-0150</t>
        </is>
      </c>
      <c r="C556" s="2" t="inlineStr">
        <is>
          <t>FLAIZO-012</t>
        </is>
      </c>
      <c r="D556" s="5" t="n">
        <v>28</v>
      </c>
      <c r="E556" s="2" t="inlineStr">
        <is>
          <t>Set</t>
        </is>
      </c>
      <c r="F556" s="3" t="n">
        <v>48.98</v>
      </c>
      <c r="G556" s="4" t="n">
        <v>0.0067</v>
      </c>
      <c r="H556" s="3" t="n">
        <v>48.65</v>
      </c>
      <c r="I556" s="3" t="n">
        <v>1362.2</v>
      </c>
      <c r="J556" s="3" t="n">
        <v>30.33</v>
      </c>
      <c r="K556" s="3" t="n">
        <v>849.24</v>
      </c>
      <c r="L556" s="3" t="n">
        <v>512.96</v>
      </c>
      <c r="M556" s="4" t="n">
        <v>0.3766</v>
      </c>
    </row>
    <row r="557">
      <c r="A557" s="2" t="inlineStr">
        <is>
          <t>SKL-00556</t>
        </is>
      </c>
      <c r="B557" s="2" t="inlineStr">
        <is>
          <t>SIP-0150</t>
        </is>
      </c>
      <c r="C557" s="2" t="inlineStr">
        <is>
          <t>YAREND-007</t>
        </is>
      </c>
      <c r="D557" s="5" t="n">
        <v>17</v>
      </c>
      <c r="E557" s="2" t="inlineStr">
        <is>
          <t>Adet</t>
        </is>
      </c>
      <c r="F557" s="3" t="n">
        <v>643.62</v>
      </c>
      <c r="G557" s="4" t="n">
        <v>0.016</v>
      </c>
      <c r="H557" s="3" t="n">
        <v>633.3200000000001</v>
      </c>
      <c r="I557" s="3" t="n">
        <v>10766.44</v>
      </c>
      <c r="J557" s="3" t="n">
        <v>459.17</v>
      </c>
      <c r="K557" s="3" t="n">
        <v>7805.89</v>
      </c>
      <c r="L557" s="3" t="n">
        <v>2960.55</v>
      </c>
      <c r="M557" s="4" t="n">
        <v>0.275</v>
      </c>
    </row>
    <row r="558">
      <c r="A558" s="2" t="inlineStr">
        <is>
          <t>SKL-00557</t>
        </is>
      </c>
      <c r="B558" s="2" t="inlineStr">
        <is>
          <t>SIP-0150</t>
        </is>
      </c>
      <c r="C558" s="2" t="inlineStr">
        <is>
          <t>YAREND-013</t>
        </is>
      </c>
      <c r="D558" s="5" t="n">
        <v>11</v>
      </c>
      <c r="E558" s="2" t="inlineStr">
        <is>
          <t>Adet</t>
        </is>
      </c>
      <c r="F558" s="3" t="n">
        <v>589.28</v>
      </c>
      <c r="G558" s="4" t="n">
        <v>0.0018</v>
      </c>
      <c r="H558" s="3" t="n">
        <v>588.22</v>
      </c>
      <c r="I558" s="3" t="n">
        <v>6470.42</v>
      </c>
      <c r="J558" s="3" t="n">
        <v>387.77</v>
      </c>
      <c r="K558" s="3" t="n">
        <v>4265.47</v>
      </c>
      <c r="L558" s="3" t="n">
        <v>2204.95</v>
      </c>
      <c r="M558" s="4" t="n">
        <v>0.3408</v>
      </c>
    </row>
    <row r="559">
      <c r="A559" s="2" t="inlineStr">
        <is>
          <t>SKL-00558</t>
        </is>
      </c>
      <c r="B559" s="2" t="inlineStr">
        <is>
          <t>SIP-0151</t>
        </is>
      </c>
      <c r="C559" s="2" t="inlineStr">
        <is>
          <t>FLAIZO-003</t>
        </is>
      </c>
      <c r="D559" s="5" t="n">
        <v>43</v>
      </c>
      <c r="E559" s="2" t="inlineStr">
        <is>
          <t>Set</t>
        </is>
      </c>
      <c r="F559" s="3" t="n">
        <v>145.21</v>
      </c>
      <c r="G559" s="4" t="n">
        <v>0.0507</v>
      </c>
      <c r="H559" s="3" t="n">
        <v>137.85</v>
      </c>
      <c r="I559" s="3" t="n">
        <v>5927.55</v>
      </c>
      <c r="J559" s="3" t="n">
        <v>90.26000000000001</v>
      </c>
      <c r="K559" s="3" t="n">
        <v>3881.18</v>
      </c>
      <c r="L559" s="3" t="n">
        <v>2046.37</v>
      </c>
      <c r="M559" s="4" t="n">
        <v>0.3452</v>
      </c>
    </row>
    <row r="560">
      <c r="A560" s="2" t="inlineStr">
        <is>
          <t>SKL-00559</t>
        </is>
      </c>
      <c r="B560" s="2" t="inlineStr">
        <is>
          <t>SIP-0151</t>
        </is>
      </c>
      <c r="C560" s="2" t="inlineStr">
        <is>
          <t>FLAIZO-001</t>
        </is>
      </c>
      <c r="D560" s="5" t="n">
        <v>81</v>
      </c>
      <c r="E560" s="2" t="inlineStr">
        <is>
          <t>Set</t>
        </is>
      </c>
      <c r="F560" s="3" t="n">
        <v>111.46</v>
      </c>
      <c r="G560" s="4" t="n">
        <v>0.0345</v>
      </c>
      <c r="H560" s="3" t="n">
        <v>107.61</v>
      </c>
      <c r="I560" s="3" t="n">
        <v>8716.41</v>
      </c>
      <c r="J560" s="3" t="n">
        <v>72.90000000000001</v>
      </c>
      <c r="K560" s="3" t="n">
        <v>5904.9</v>
      </c>
      <c r="L560" s="3" t="n">
        <v>2811.51</v>
      </c>
      <c r="M560" s="4" t="n">
        <v>0.3226</v>
      </c>
    </row>
    <row r="561">
      <c r="A561" s="2" t="inlineStr">
        <is>
          <t>SKL-00560</t>
        </is>
      </c>
      <c r="B561" s="2" t="inlineStr">
        <is>
          <t>SIP-0151</t>
        </is>
      </c>
      <c r="C561" s="2" t="inlineStr">
        <is>
          <t>ENDVAN-008</t>
        </is>
      </c>
      <c r="D561" s="5" t="n">
        <v>15</v>
      </c>
      <c r="E561" s="2" t="inlineStr">
        <is>
          <t>Adet</t>
        </is>
      </c>
      <c r="F561" s="3" t="n">
        <v>554.6799999999999</v>
      </c>
      <c r="G561" s="4" t="n">
        <v>0.0056</v>
      </c>
      <c r="H561" s="3" t="n">
        <v>551.5700000000001</v>
      </c>
      <c r="I561" s="3" t="n">
        <v>8273.549999999999</v>
      </c>
      <c r="J561" s="3" t="n">
        <v>429.42</v>
      </c>
      <c r="K561" s="3" t="n">
        <v>6441.3</v>
      </c>
      <c r="L561" s="3" t="n">
        <v>1832.25</v>
      </c>
      <c r="M561" s="4" t="n">
        <v>0.2215</v>
      </c>
    </row>
    <row r="562">
      <c r="A562" s="2" t="inlineStr">
        <is>
          <t>SKL-00561</t>
        </is>
      </c>
      <c r="B562" s="2" t="inlineStr">
        <is>
          <t>SIP-0152</t>
        </is>
      </c>
      <c r="C562" s="2" t="inlineStr">
        <is>
          <t>MEKSIZ-011</t>
        </is>
      </c>
      <c r="D562" s="5" t="n">
        <v>4</v>
      </c>
      <c r="E562" s="2" t="inlineStr">
        <is>
          <t>Adet</t>
        </is>
      </c>
      <c r="F562" s="3" t="n">
        <v>460.84</v>
      </c>
      <c r="G562" s="4" t="n">
        <v>0.1085</v>
      </c>
      <c r="H562" s="3" t="n">
        <v>410.84</v>
      </c>
      <c r="I562" s="3" t="n">
        <v>1643.36</v>
      </c>
      <c r="J562" s="3" t="n">
        <v>258.54</v>
      </c>
      <c r="K562" s="3" t="n">
        <v>1034.16</v>
      </c>
      <c r="L562" s="3" t="n">
        <v>609.2</v>
      </c>
      <c r="M562" s="4" t="n">
        <v>0.3707</v>
      </c>
    </row>
    <row r="563">
      <c r="A563" s="2" t="inlineStr">
        <is>
          <t>SKL-00562</t>
        </is>
      </c>
      <c r="B563" s="2" t="inlineStr">
        <is>
          <t>SIP-0152</t>
        </is>
      </c>
      <c r="C563" s="2" t="inlineStr">
        <is>
          <t>MEKSIZ-013</t>
        </is>
      </c>
      <c r="D563" s="5" t="n">
        <v>6</v>
      </c>
      <c r="E563" s="2" t="inlineStr">
        <is>
          <t>Adet</t>
        </is>
      </c>
      <c r="F563" s="3" t="n">
        <v>68.11</v>
      </c>
      <c r="G563" s="4" t="n">
        <v>0.0834</v>
      </c>
      <c r="H563" s="3" t="n">
        <v>62.43</v>
      </c>
      <c r="I563" s="3" t="n">
        <v>374.58</v>
      </c>
      <c r="J563" s="3" t="n">
        <v>45.62</v>
      </c>
      <c r="K563" s="3" t="n">
        <v>273.72</v>
      </c>
      <c r="L563" s="3" t="n">
        <v>100.86</v>
      </c>
      <c r="M563" s="4" t="n">
        <v>0.2693</v>
      </c>
    </row>
    <row r="564">
      <c r="A564" s="2" t="inlineStr">
        <is>
          <t>SKL-00563</t>
        </is>
      </c>
      <c r="B564" s="2" t="inlineStr">
        <is>
          <t>SIP-0152</t>
        </is>
      </c>
      <c r="C564" s="2" t="inlineStr">
        <is>
          <t>FLAIZO-010</t>
        </is>
      </c>
      <c r="D564" s="5" t="n">
        <v>56</v>
      </c>
      <c r="E564" s="2" t="inlineStr">
        <is>
          <t>Set</t>
        </is>
      </c>
      <c r="F564" s="3" t="n">
        <v>147.28</v>
      </c>
      <c r="G564" s="4" t="n">
        <v>0.0064</v>
      </c>
      <c r="H564" s="3" t="n">
        <v>146.34</v>
      </c>
      <c r="I564" s="3" t="n">
        <v>8195.040000000001</v>
      </c>
      <c r="J564" s="3" t="n">
        <v>82.88</v>
      </c>
      <c r="K564" s="3" t="n">
        <v>4641.28</v>
      </c>
      <c r="L564" s="3" t="n">
        <v>3553.76</v>
      </c>
      <c r="M564" s="4" t="n">
        <v>0.4336</v>
      </c>
    </row>
    <row r="565">
      <c r="A565" s="2" t="inlineStr">
        <is>
          <t>SKL-00564</t>
        </is>
      </c>
      <c r="B565" s="2" t="inlineStr">
        <is>
          <t>SIP-0152</t>
        </is>
      </c>
      <c r="C565" s="2" t="inlineStr">
        <is>
          <t>FLAIZO-015</t>
        </is>
      </c>
      <c r="D565" s="5" t="n">
        <v>14</v>
      </c>
      <c r="E565" s="2" t="inlineStr">
        <is>
          <t>Set</t>
        </is>
      </c>
      <c r="F565" s="3" t="n">
        <v>176.98</v>
      </c>
      <c r="G565" s="4" t="n">
        <v>0.0321</v>
      </c>
      <c r="H565" s="3" t="n">
        <v>171.3</v>
      </c>
      <c r="I565" s="3" t="n">
        <v>2398.2</v>
      </c>
      <c r="J565" s="3" t="n">
        <v>94.38</v>
      </c>
      <c r="K565" s="3" t="n">
        <v>1321.32</v>
      </c>
      <c r="L565" s="3" t="n">
        <v>1076.88</v>
      </c>
      <c r="M565" s="4" t="n">
        <v>0.449</v>
      </c>
    </row>
    <row r="566">
      <c r="A566" s="2" t="inlineStr">
        <is>
          <t>SKL-00565</t>
        </is>
      </c>
      <c r="B566" s="2" t="inlineStr">
        <is>
          <t>SIP-0152</t>
        </is>
      </c>
      <c r="C566" s="2" t="inlineStr">
        <is>
          <t>KAR/-012</t>
        </is>
      </c>
      <c r="D566" s="5" t="n">
        <v>3</v>
      </c>
      <c r="E566" s="2" t="inlineStr">
        <is>
          <t>Adet</t>
        </is>
      </c>
      <c r="F566" s="3" t="n">
        <v>7565.99</v>
      </c>
      <c r="G566" s="4" t="n">
        <v>0.08840000000000001</v>
      </c>
      <c r="H566" s="3" t="n">
        <v>6897.16</v>
      </c>
      <c r="I566" s="3" t="n">
        <v>20691.48</v>
      </c>
      <c r="J566" s="3" t="n">
        <v>5176.41</v>
      </c>
      <c r="K566" s="3" t="n">
        <v>15529.23</v>
      </c>
      <c r="L566" s="3" t="n">
        <v>5162.25</v>
      </c>
      <c r="M566" s="4" t="n">
        <v>0.2495</v>
      </c>
    </row>
    <row r="567">
      <c r="A567" s="2" t="inlineStr">
        <is>
          <t>SKL-00566</t>
        </is>
      </c>
      <c r="B567" s="2" t="inlineStr">
        <is>
          <t>SIP-0152</t>
        </is>
      </c>
      <c r="C567" s="2" t="inlineStr">
        <is>
          <t>ENDVAN-028</t>
        </is>
      </c>
      <c r="D567" s="5" t="n">
        <v>16</v>
      </c>
      <c r="E567" s="2" t="inlineStr">
        <is>
          <t>Adet</t>
        </is>
      </c>
      <c r="F567" s="3" t="n">
        <v>1128.56</v>
      </c>
      <c r="G567" s="4" t="n">
        <v>0.0588</v>
      </c>
      <c r="H567" s="3" t="n">
        <v>1062.2</v>
      </c>
      <c r="I567" s="3" t="n">
        <v>16995.2</v>
      </c>
      <c r="J567" s="3" t="n">
        <v>812.05</v>
      </c>
      <c r="K567" s="3" t="n">
        <v>12992.8</v>
      </c>
      <c r="L567" s="3" t="n">
        <v>4002.4</v>
      </c>
      <c r="M567" s="4" t="n">
        <v>0.2355</v>
      </c>
    </row>
    <row r="568">
      <c r="A568" s="2" t="inlineStr">
        <is>
          <t>SKL-00567</t>
        </is>
      </c>
      <c r="B568" s="2" t="inlineStr">
        <is>
          <t>SIP-0153</t>
        </is>
      </c>
      <c r="C568" s="2" t="inlineStr">
        <is>
          <t>ENDVAN-013</t>
        </is>
      </c>
      <c r="D568" s="5" t="n">
        <v>14</v>
      </c>
      <c r="E568" s="2" t="inlineStr">
        <is>
          <t>Adet</t>
        </is>
      </c>
      <c r="F568" s="3" t="n">
        <v>1626.99</v>
      </c>
      <c r="G568" s="4" t="n">
        <v>0.0116</v>
      </c>
      <c r="H568" s="3" t="n">
        <v>1608.12</v>
      </c>
      <c r="I568" s="3" t="n">
        <v>22513.68</v>
      </c>
      <c r="J568" s="3" t="n">
        <v>1133.86</v>
      </c>
      <c r="K568" s="3" t="n">
        <v>15874.04</v>
      </c>
      <c r="L568" s="3" t="n">
        <v>6639.64</v>
      </c>
      <c r="M568" s="4" t="n">
        <v>0.2949</v>
      </c>
    </row>
    <row r="569">
      <c r="A569" s="2" t="inlineStr">
        <is>
          <t>SKL-00568</t>
        </is>
      </c>
      <c r="B569" s="2" t="inlineStr">
        <is>
          <t>SIP-0153</t>
        </is>
      </c>
      <c r="C569" s="2" t="inlineStr">
        <is>
          <t>ENDVAN-003</t>
        </is>
      </c>
      <c r="D569" s="5" t="n">
        <v>5</v>
      </c>
      <c r="E569" s="2" t="inlineStr">
        <is>
          <t>Adet</t>
        </is>
      </c>
      <c r="F569" s="3" t="n">
        <v>1333.51</v>
      </c>
      <c r="G569" s="4" t="n">
        <v>0.09959999999999999</v>
      </c>
      <c r="H569" s="3" t="n">
        <v>1200.69</v>
      </c>
      <c r="I569" s="3" t="n">
        <v>6003.45</v>
      </c>
      <c r="J569" s="3" t="n">
        <v>1050.24</v>
      </c>
      <c r="K569" s="3" t="n">
        <v>5251.2</v>
      </c>
      <c r="L569" s="3" t="n">
        <v>752.25</v>
      </c>
      <c r="M569" s="4" t="n">
        <v>0.1253</v>
      </c>
    </row>
    <row r="570">
      <c r="A570" s="2" t="inlineStr">
        <is>
          <t>SKL-00569</t>
        </is>
      </c>
      <c r="B570" s="2" t="inlineStr">
        <is>
          <t>SIP-0153</t>
        </is>
      </c>
      <c r="C570" s="2" t="inlineStr">
        <is>
          <t>ENDVAN-022</t>
        </is>
      </c>
      <c r="D570" s="5" t="n">
        <v>12</v>
      </c>
      <c r="E570" s="2" t="inlineStr">
        <is>
          <t>Adet</t>
        </is>
      </c>
      <c r="F570" s="3" t="n">
        <v>227.04</v>
      </c>
      <c r="G570" s="4" t="n">
        <v>0.0155</v>
      </c>
      <c r="H570" s="3" t="n">
        <v>223.52</v>
      </c>
      <c r="I570" s="3" t="n">
        <v>2682.24</v>
      </c>
      <c r="J570" s="3" t="n">
        <v>163.9</v>
      </c>
      <c r="K570" s="3" t="n">
        <v>1966.8</v>
      </c>
      <c r="L570" s="3" t="n">
        <v>715.4400000000001</v>
      </c>
      <c r="M570" s="4" t="n">
        <v>0.2667</v>
      </c>
    </row>
    <row r="571">
      <c r="A571" s="2" t="inlineStr">
        <is>
          <t>SKL-00570</t>
        </is>
      </c>
      <c r="B571" s="2" t="inlineStr">
        <is>
          <t>SIP-0153</t>
        </is>
      </c>
      <c r="C571" s="2" t="inlineStr">
        <is>
          <t>YAREND-004</t>
        </is>
      </c>
      <c r="D571" s="5" t="n">
        <v>26</v>
      </c>
      <c r="E571" s="2" t="inlineStr">
        <is>
          <t>Adet</t>
        </is>
      </c>
      <c r="F571" s="3" t="n">
        <v>1118.96</v>
      </c>
      <c r="G571" s="4" t="n">
        <v>0.0711</v>
      </c>
      <c r="H571" s="3" t="n">
        <v>1039.4</v>
      </c>
      <c r="I571" s="3" t="n">
        <v>27024.4</v>
      </c>
      <c r="J571" s="3" t="n">
        <v>774.26</v>
      </c>
      <c r="K571" s="3" t="n">
        <v>20130.76</v>
      </c>
      <c r="L571" s="3" t="n">
        <v>6893.64</v>
      </c>
      <c r="M571" s="4" t="n">
        <v>0.2551</v>
      </c>
    </row>
    <row r="572">
      <c r="A572" s="2" t="inlineStr">
        <is>
          <t>SKL-00571</t>
        </is>
      </c>
      <c r="B572" s="2" t="inlineStr">
        <is>
          <t>SIP-0153</t>
        </is>
      </c>
      <c r="C572" s="2" t="inlineStr">
        <is>
          <t>KAR/-002</t>
        </is>
      </c>
      <c r="D572" s="5" t="n">
        <v>1</v>
      </c>
      <c r="E572" s="2" t="inlineStr">
        <is>
          <t>Adet</t>
        </is>
      </c>
      <c r="F572" s="3" t="n">
        <v>12537.46</v>
      </c>
      <c r="G572" s="4" t="n">
        <v>0.0132</v>
      </c>
      <c r="H572" s="3" t="n">
        <v>12371.97</v>
      </c>
      <c r="I572" s="3" t="n">
        <v>12371.97</v>
      </c>
      <c r="J572" s="3" t="n">
        <v>9102.83</v>
      </c>
      <c r="K572" s="3" t="n">
        <v>9102.83</v>
      </c>
      <c r="L572" s="3" t="n">
        <v>3269.14</v>
      </c>
      <c r="M572" s="4" t="n">
        <v>0.2642</v>
      </c>
    </row>
    <row r="573">
      <c r="A573" s="2" t="inlineStr">
        <is>
          <t>SKL-00572</t>
        </is>
      </c>
      <c r="B573" s="2" t="inlineStr">
        <is>
          <t>SIP-0154</t>
        </is>
      </c>
      <c r="C573" s="2" t="inlineStr">
        <is>
          <t>KAR/-001</t>
        </is>
      </c>
      <c r="D573" s="5" t="n">
        <v>1</v>
      </c>
      <c r="E573" s="2" t="inlineStr">
        <is>
          <t>Adet</t>
        </is>
      </c>
      <c r="F573" s="3" t="n">
        <v>10408.33</v>
      </c>
      <c r="G573" s="4" t="n">
        <v>0.1016</v>
      </c>
      <c r="H573" s="3" t="n">
        <v>9350.84</v>
      </c>
      <c r="I573" s="3" t="n">
        <v>9350.84</v>
      </c>
      <c r="J573" s="3" t="n">
        <v>7519.05</v>
      </c>
      <c r="K573" s="3" t="n">
        <v>7519.05</v>
      </c>
      <c r="L573" s="3" t="n">
        <v>1831.79</v>
      </c>
      <c r="M573" s="4" t="n">
        <v>0.1959</v>
      </c>
    </row>
    <row r="574">
      <c r="A574" s="2" t="inlineStr">
        <is>
          <t>SKL-00573</t>
        </is>
      </c>
      <c r="B574" s="2" t="inlineStr">
        <is>
          <t>SIP-0154</t>
        </is>
      </c>
      <c r="C574" s="2" t="inlineStr">
        <is>
          <t>ENDVAN-016</t>
        </is>
      </c>
      <c r="D574" s="5" t="n">
        <v>9</v>
      </c>
      <c r="E574" s="2" t="inlineStr">
        <is>
          <t>Adet</t>
        </is>
      </c>
      <c r="F574" s="3" t="n">
        <v>934.54</v>
      </c>
      <c r="G574" s="4" t="n">
        <v>0.0696</v>
      </c>
      <c r="H574" s="3" t="n">
        <v>869.5</v>
      </c>
      <c r="I574" s="3" t="n">
        <v>7825.5</v>
      </c>
      <c r="J574" s="3" t="n">
        <v>674.97</v>
      </c>
      <c r="K574" s="3" t="n">
        <v>6074.73</v>
      </c>
      <c r="L574" s="3" t="n">
        <v>1750.77</v>
      </c>
      <c r="M574" s="4" t="n">
        <v>0.2237</v>
      </c>
    </row>
    <row r="575">
      <c r="A575" s="2" t="inlineStr">
        <is>
          <t>SKL-00574</t>
        </is>
      </c>
      <c r="B575" s="2" t="inlineStr">
        <is>
          <t>SIP-0154</t>
        </is>
      </c>
      <c r="C575" s="2" t="inlineStr">
        <is>
          <t>ENDVAN-020</t>
        </is>
      </c>
      <c r="D575" s="5" t="n">
        <v>3</v>
      </c>
      <c r="E575" s="2" t="inlineStr">
        <is>
          <t>Adet</t>
        </is>
      </c>
      <c r="F575" s="3" t="n">
        <v>625.36</v>
      </c>
      <c r="G575" s="4" t="n">
        <v>0.0601</v>
      </c>
      <c r="H575" s="3" t="n">
        <v>587.78</v>
      </c>
      <c r="I575" s="3" t="n">
        <v>1763.34</v>
      </c>
      <c r="J575" s="3" t="n">
        <v>433.62</v>
      </c>
      <c r="K575" s="3" t="n">
        <v>1300.86</v>
      </c>
      <c r="L575" s="3" t="n">
        <v>462.48</v>
      </c>
      <c r="M575" s="4" t="n">
        <v>0.2623</v>
      </c>
    </row>
    <row r="576">
      <c r="A576" s="2" t="inlineStr">
        <is>
          <t>SKL-00575</t>
        </is>
      </c>
      <c r="B576" s="2" t="inlineStr">
        <is>
          <t>SIP-0154</t>
        </is>
      </c>
      <c r="C576" s="2" t="inlineStr">
        <is>
          <t>YAREND-004</t>
        </is>
      </c>
      <c r="D576" s="5" t="n">
        <v>11</v>
      </c>
      <c r="E576" s="2" t="inlineStr">
        <is>
          <t>Adet</t>
        </is>
      </c>
      <c r="F576" s="3" t="n">
        <v>1077.85</v>
      </c>
      <c r="G576" s="4" t="n">
        <v>0.0888</v>
      </c>
      <c r="H576" s="3" t="n">
        <v>982.14</v>
      </c>
      <c r="I576" s="3" t="n">
        <v>10803.54</v>
      </c>
      <c r="J576" s="3" t="n">
        <v>774.26</v>
      </c>
      <c r="K576" s="3" t="n">
        <v>8516.860000000001</v>
      </c>
      <c r="L576" s="3" t="n">
        <v>2286.68</v>
      </c>
      <c r="M576" s="4" t="n">
        <v>0.2117</v>
      </c>
    </row>
    <row r="577">
      <c r="A577" s="2" t="inlineStr">
        <is>
          <t>SKL-00576</t>
        </is>
      </c>
      <c r="B577" s="2" t="inlineStr">
        <is>
          <t>SIP-0155</t>
        </is>
      </c>
      <c r="C577" s="2" t="inlineStr">
        <is>
          <t>YAREND-012</t>
        </is>
      </c>
      <c r="D577" s="5" t="n">
        <v>9</v>
      </c>
      <c r="E577" s="2" t="inlineStr">
        <is>
          <t>Adet</t>
        </is>
      </c>
      <c r="F577" s="3" t="n">
        <v>774.48</v>
      </c>
      <c r="G577" s="4" t="n">
        <v>0.0669</v>
      </c>
      <c r="H577" s="3" t="n">
        <v>722.67</v>
      </c>
      <c r="I577" s="3" t="n">
        <v>6504.03</v>
      </c>
      <c r="J577" s="3" t="n">
        <v>528.15</v>
      </c>
      <c r="K577" s="3" t="n">
        <v>4753.35</v>
      </c>
      <c r="L577" s="3" t="n">
        <v>1750.68</v>
      </c>
      <c r="M577" s="4" t="n">
        <v>0.2692</v>
      </c>
    </row>
    <row r="578">
      <c r="A578" s="2" t="inlineStr">
        <is>
          <t>SKL-00577</t>
        </is>
      </c>
      <c r="B578" s="2" t="inlineStr">
        <is>
          <t>SIP-0155</t>
        </is>
      </c>
      <c r="C578" s="2" t="inlineStr">
        <is>
          <t>ENDVAN-016</t>
        </is>
      </c>
      <c r="D578" s="5" t="n">
        <v>5</v>
      </c>
      <c r="E578" s="2" t="inlineStr">
        <is>
          <t>Adet</t>
        </is>
      </c>
      <c r="F578" s="3" t="n">
        <v>888.8200000000001</v>
      </c>
      <c r="G578" s="4" t="n">
        <v>0.0271</v>
      </c>
      <c r="H578" s="3" t="n">
        <v>864.73</v>
      </c>
      <c r="I578" s="3" t="n">
        <v>4323.65</v>
      </c>
      <c r="J578" s="3" t="n">
        <v>674.97</v>
      </c>
      <c r="K578" s="3" t="n">
        <v>3374.85</v>
      </c>
      <c r="L578" s="3" t="n">
        <v>948.8</v>
      </c>
      <c r="M578" s="4" t="n">
        <v>0.2194</v>
      </c>
    </row>
    <row r="579">
      <c r="A579" s="2" t="inlineStr">
        <is>
          <t>SKL-00578</t>
        </is>
      </c>
      <c r="B579" s="2" t="inlineStr">
        <is>
          <t>SIP-0155</t>
        </is>
      </c>
      <c r="C579" s="2" t="inlineStr">
        <is>
          <t>KAR/-006</t>
        </is>
      </c>
      <c r="D579" s="5" t="n">
        <v>2</v>
      </c>
      <c r="E579" s="2" t="inlineStr">
        <is>
          <t>Adet</t>
        </is>
      </c>
      <c r="F579" s="3" t="n">
        <v>4889.03</v>
      </c>
      <c r="G579" s="4" t="n">
        <v>0.068</v>
      </c>
      <c r="H579" s="3" t="n">
        <v>4556.58</v>
      </c>
      <c r="I579" s="3" t="n">
        <v>9113.16</v>
      </c>
      <c r="J579" s="3" t="n">
        <v>3681.11</v>
      </c>
      <c r="K579" s="3" t="n">
        <v>7362.22</v>
      </c>
      <c r="L579" s="3" t="n">
        <v>1750.94</v>
      </c>
      <c r="M579" s="4" t="n">
        <v>0.1921</v>
      </c>
    </row>
    <row r="580">
      <c r="A580" s="2" t="inlineStr">
        <is>
          <t>SKL-00579</t>
        </is>
      </c>
      <c r="B580" s="2" t="inlineStr">
        <is>
          <t>SIP-0156</t>
        </is>
      </c>
      <c r="C580" s="2" t="inlineStr">
        <is>
          <t>ENDVAN-015</t>
        </is>
      </c>
      <c r="D580" s="5" t="n">
        <v>11</v>
      </c>
      <c r="E580" s="2" t="inlineStr">
        <is>
          <t>Adet</t>
        </is>
      </c>
      <c r="F580" s="3" t="n">
        <v>1681.43</v>
      </c>
      <c r="G580" s="4" t="n">
        <v>0.0998</v>
      </c>
      <c r="H580" s="3" t="n">
        <v>1513.62</v>
      </c>
      <c r="I580" s="3" t="n">
        <v>16649.82</v>
      </c>
      <c r="J580" s="3" t="n">
        <v>1019.05</v>
      </c>
      <c r="K580" s="3" t="n">
        <v>11209.55</v>
      </c>
      <c r="L580" s="3" t="n">
        <v>5440.27</v>
      </c>
      <c r="M580" s="4" t="n">
        <v>0.3267</v>
      </c>
    </row>
    <row r="581">
      <c r="A581" s="2" t="inlineStr">
        <is>
          <t>SKL-00580</t>
        </is>
      </c>
      <c r="B581" s="2" t="inlineStr">
        <is>
          <t>SIP-0156</t>
        </is>
      </c>
      <c r="C581" s="2" t="inlineStr">
        <is>
          <t>ENDVAN-025</t>
        </is>
      </c>
      <c r="D581" s="5" t="n">
        <v>3</v>
      </c>
      <c r="E581" s="2" t="inlineStr">
        <is>
          <t>Adet</t>
        </is>
      </c>
      <c r="F581" s="3" t="n">
        <v>307.73</v>
      </c>
      <c r="G581" s="4" t="n">
        <v>0.0336</v>
      </c>
      <c r="H581" s="3" t="n">
        <v>297.39</v>
      </c>
      <c r="I581" s="3" t="n">
        <v>892.17</v>
      </c>
      <c r="J581" s="3" t="n">
        <v>205.87</v>
      </c>
      <c r="K581" s="3" t="n">
        <v>617.61</v>
      </c>
      <c r="L581" s="3" t="n">
        <v>274.56</v>
      </c>
      <c r="M581" s="4" t="n">
        <v>0.3077</v>
      </c>
    </row>
    <row r="582">
      <c r="A582" s="2" t="inlineStr">
        <is>
          <t>SKL-00581</t>
        </is>
      </c>
      <c r="B582" s="2" t="inlineStr">
        <is>
          <t>SIP-0156</t>
        </is>
      </c>
      <c r="C582" s="2" t="inlineStr">
        <is>
          <t>ENDVAN-019</t>
        </is>
      </c>
      <c r="D582" s="5" t="n">
        <v>10</v>
      </c>
      <c r="E582" s="2" t="inlineStr">
        <is>
          <t>Adet</t>
        </is>
      </c>
      <c r="F582" s="3" t="n">
        <v>747.4</v>
      </c>
      <c r="G582" s="4" t="n">
        <v>0.0217</v>
      </c>
      <c r="H582" s="3" t="n">
        <v>731.1799999999999</v>
      </c>
      <c r="I582" s="3" t="n">
        <v>7311.8</v>
      </c>
      <c r="J582" s="3" t="n">
        <v>564.9400000000001</v>
      </c>
      <c r="K582" s="3" t="n">
        <v>5649.4</v>
      </c>
      <c r="L582" s="3" t="n">
        <v>1662.4</v>
      </c>
      <c r="M582" s="4" t="n">
        <v>0.2274</v>
      </c>
    </row>
    <row r="583">
      <c r="A583" s="2" t="inlineStr">
        <is>
          <t>SKL-00582</t>
        </is>
      </c>
      <c r="B583" s="2" t="inlineStr">
        <is>
          <t>SIP-0157</t>
        </is>
      </c>
      <c r="C583" s="2" t="inlineStr">
        <is>
          <t>ENDVAN-023</t>
        </is>
      </c>
      <c r="D583" s="5" t="n">
        <v>6</v>
      </c>
      <c r="E583" s="2" t="inlineStr">
        <is>
          <t>Adet</t>
        </is>
      </c>
      <c r="F583" s="3" t="n">
        <v>1118.55</v>
      </c>
      <c r="G583" s="4" t="n">
        <v>0.015</v>
      </c>
      <c r="H583" s="3" t="n">
        <v>1101.77</v>
      </c>
      <c r="I583" s="3" t="n">
        <v>6610.62</v>
      </c>
      <c r="J583" s="3" t="n">
        <v>763.0599999999999</v>
      </c>
      <c r="K583" s="3" t="n">
        <v>4578.36</v>
      </c>
      <c r="L583" s="3" t="n">
        <v>2032.26</v>
      </c>
      <c r="M583" s="4" t="n">
        <v>0.3074</v>
      </c>
    </row>
    <row r="584">
      <c r="A584" s="2" t="inlineStr">
        <is>
          <t>SKL-00583</t>
        </is>
      </c>
      <c r="B584" s="2" t="inlineStr">
        <is>
          <t>SIP-0157</t>
        </is>
      </c>
      <c r="C584" s="2" t="inlineStr">
        <is>
          <t>FLAIZO-003</t>
        </is>
      </c>
      <c r="D584" s="5" t="n">
        <v>18</v>
      </c>
      <c r="E584" s="2" t="inlineStr">
        <is>
          <t>Set</t>
        </is>
      </c>
      <c r="F584" s="3" t="n">
        <v>143.71</v>
      </c>
      <c r="G584" s="4" t="n">
        <v>0.09810000000000001</v>
      </c>
      <c r="H584" s="3" t="n">
        <v>129.61</v>
      </c>
      <c r="I584" s="3" t="n">
        <v>2332.98</v>
      </c>
      <c r="J584" s="3" t="n">
        <v>90.26000000000001</v>
      </c>
      <c r="K584" s="3" t="n">
        <v>1624.68</v>
      </c>
      <c r="L584" s="3" t="n">
        <v>708.3</v>
      </c>
      <c r="M584" s="4" t="n">
        <v>0.3036</v>
      </c>
    </row>
    <row r="585">
      <c r="A585" s="2" t="inlineStr">
        <is>
          <t>SKL-00584</t>
        </is>
      </c>
      <c r="B585" s="2" t="inlineStr">
        <is>
          <t>SIP-0157</t>
        </is>
      </c>
      <c r="C585" s="2" t="inlineStr">
        <is>
          <t>ENDVAN-002</t>
        </is>
      </c>
      <c r="D585" s="5" t="n">
        <v>5</v>
      </c>
      <c r="E585" s="2" t="inlineStr">
        <is>
          <t>Adet</t>
        </is>
      </c>
      <c r="F585" s="3" t="n">
        <v>256.54</v>
      </c>
      <c r="G585" s="4" t="n">
        <v>0.1059</v>
      </c>
      <c r="H585" s="3" t="n">
        <v>229.37</v>
      </c>
      <c r="I585" s="3" t="n">
        <v>1146.85</v>
      </c>
      <c r="J585" s="3" t="n">
        <v>186.74</v>
      </c>
      <c r="K585" s="3" t="n">
        <v>933.7</v>
      </c>
      <c r="L585" s="3" t="n">
        <v>213.15</v>
      </c>
      <c r="M585" s="4" t="n">
        <v>0.1859</v>
      </c>
    </row>
    <row r="586">
      <c r="A586" s="2" t="inlineStr">
        <is>
          <t>SKL-00585</t>
        </is>
      </c>
      <c r="B586" s="2" t="inlineStr">
        <is>
          <t>SIP-0157</t>
        </is>
      </c>
      <c r="C586" s="2" t="inlineStr">
        <is>
          <t>YAREND-006</t>
        </is>
      </c>
      <c r="D586" s="5" t="n">
        <v>3</v>
      </c>
      <c r="E586" s="2" t="inlineStr">
        <is>
          <t>Adet</t>
        </is>
      </c>
      <c r="F586" s="3" t="n">
        <v>531.24</v>
      </c>
      <c r="G586" s="4" t="n">
        <v>0.0369</v>
      </c>
      <c r="H586" s="3" t="n">
        <v>511.64</v>
      </c>
      <c r="I586" s="3" t="n">
        <v>1534.92</v>
      </c>
      <c r="J586" s="3" t="n">
        <v>363.57</v>
      </c>
      <c r="K586" s="3" t="n">
        <v>1090.71</v>
      </c>
      <c r="L586" s="3" t="n">
        <v>444.21</v>
      </c>
      <c r="M586" s="4" t="n">
        <v>0.2894</v>
      </c>
    </row>
    <row r="587">
      <c r="A587" s="2" t="inlineStr">
        <is>
          <t>SKL-00586</t>
        </is>
      </c>
      <c r="B587" s="2" t="inlineStr">
        <is>
          <t>SIP-0158</t>
        </is>
      </c>
      <c r="C587" s="2" t="inlineStr">
        <is>
          <t>ENDVAN-023</t>
        </is>
      </c>
      <c r="D587" s="5" t="n">
        <v>20</v>
      </c>
      <c r="E587" s="2" t="inlineStr">
        <is>
          <t>Adet</t>
        </is>
      </c>
      <c r="F587" s="3" t="n">
        <v>1105.71</v>
      </c>
      <c r="G587" s="4" t="n">
        <v>0.07820000000000001</v>
      </c>
      <c r="H587" s="3" t="n">
        <v>1019.24</v>
      </c>
      <c r="I587" s="3" t="n">
        <v>20384.8</v>
      </c>
      <c r="J587" s="3" t="n">
        <v>763.0599999999999</v>
      </c>
      <c r="K587" s="3" t="n">
        <v>15261.2</v>
      </c>
      <c r="L587" s="3" t="n">
        <v>5123.6</v>
      </c>
      <c r="M587" s="4" t="n">
        <v>0.2513</v>
      </c>
    </row>
    <row r="588">
      <c r="A588" s="2" t="inlineStr">
        <is>
          <t>SKL-00587</t>
        </is>
      </c>
      <c r="B588" s="2" t="inlineStr">
        <is>
          <t>SIP-0158</t>
        </is>
      </c>
      <c r="C588" s="2" t="inlineStr">
        <is>
          <t>ENDVAN-014</t>
        </is>
      </c>
      <c r="D588" s="5" t="n">
        <v>15</v>
      </c>
      <c r="E588" s="2" t="inlineStr">
        <is>
          <t>Adet</t>
        </is>
      </c>
      <c r="F588" s="3" t="n">
        <v>1639.5</v>
      </c>
      <c r="G588" s="4" t="n">
        <v>0.07480000000000001</v>
      </c>
      <c r="H588" s="3" t="n">
        <v>1516.87</v>
      </c>
      <c r="I588" s="3" t="n">
        <v>22753.05</v>
      </c>
      <c r="J588" s="3" t="n">
        <v>1025.06</v>
      </c>
      <c r="K588" s="3" t="n">
        <v>15375.9</v>
      </c>
      <c r="L588" s="3" t="n">
        <v>7377.15</v>
      </c>
      <c r="M588" s="4" t="n">
        <v>0.3242</v>
      </c>
    </row>
    <row r="589">
      <c r="A589" s="2" t="inlineStr">
        <is>
          <t>SKL-00588</t>
        </is>
      </c>
      <c r="B589" s="2" t="inlineStr">
        <is>
          <t>SIP-0158</t>
        </is>
      </c>
      <c r="C589" s="2" t="inlineStr">
        <is>
          <t>PROTAN-009</t>
        </is>
      </c>
      <c r="D589" s="5" t="n">
        <v>2</v>
      </c>
      <c r="E589" s="2" t="inlineStr">
        <is>
          <t>Adet</t>
        </is>
      </c>
      <c r="F589" s="3" t="n">
        <v>14878.78</v>
      </c>
      <c r="G589" s="4" t="n">
        <v>0.0568</v>
      </c>
      <c r="H589" s="3" t="n">
        <v>14033.67</v>
      </c>
      <c r="I589" s="3" t="n">
        <v>28067.34</v>
      </c>
      <c r="J589" s="3" t="n">
        <v>12443.59</v>
      </c>
      <c r="K589" s="3" t="n">
        <v>24887.18</v>
      </c>
      <c r="L589" s="3" t="n">
        <v>3180.16</v>
      </c>
      <c r="M589" s="4" t="n">
        <v>0.1133</v>
      </c>
    </row>
    <row r="590">
      <c r="A590" s="2" t="inlineStr">
        <is>
          <t>SKL-00589</t>
        </is>
      </c>
      <c r="B590" s="2" t="inlineStr">
        <is>
          <t>SIP-0158</t>
        </is>
      </c>
      <c r="C590" s="2" t="inlineStr">
        <is>
          <t>YAREND-008</t>
        </is>
      </c>
      <c r="D590" s="5" t="n">
        <v>13</v>
      </c>
      <c r="E590" s="2" t="inlineStr">
        <is>
          <t>Adet</t>
        </is>
      </c>
      <c r="F590" s="3" t="n">
        <v>983.61</v>
      </c>
      <c r="G590" s="4" t="n">
        <v>0.0849</v>
      </c>
      <c r="H590" s="3" t="n">
        <v>900.1</v>
      </c>
      <c r="I590" s="3" t="n">
        <v>11701.3</v>
      </c>
      <c r="J590" s="3" t="n">
        <v>582.91</v>
      </c>
      <c r="K590" s="3" t="n">
        <v>7577.83</v>
      </c>
      <c r="L590" s="3" t="n">
        <v>4123.47</v>
      </c>
      <c r="M590" s="4" t="n">
        <v>0.3524</v>
      </c>
    </row>
    <row r="591">
      <c r="A591" s="2" t="inlineStr">
        <is>
          <t>SKL-00590</t>
        </is>
      </c>
      <c r="B591" s="2" t="inlineStr">
        <is>
          <t>SIP-0158</t>
        </is>
      </c>
      <c r="C591" s="2" t="inlineStr">
        <is>
          <t>ENDVAN-013</t>
        </is>
      </c>
      <c r="D591" s="5" t="n">
        <v>8</v>
      </c>
      <c r="E591" s="2" t="inlineStr">
        <is>
          <t>Adet</t>
        </is>
      </c>
      <c r="F591" s="3" t="n">
        <v>1613.62</v>
      </c>
      <c r="G591" s="4" t="n">
        <v>0.0341</v>
      </c>
      <c r="H591" s="3" t="n">
        <v>1558.6</v>
      </c>
      <c r="I591" s="3" t="n">
        <v>12468.8</v>
      </c>
      <c r="J591" s="3" t="n">
        <v>1133.86</v>
      </c>
      <c r="K591" s="3" t="n">
        <v>9070.879999999999</v>
      </c>
      <c r="L591" s="3" t="n">
        <v>3397.92</v>
      </c>
      <c r="M591" s="4" t="n">
        <v>0.2725</v>
      </c>
    </row>
    <row r="592">
      <c r="A592" s="2" t="inlineStr">
        <is>
          <t>SKL-00591</t>
        </is>
      </c>
      <c r="B592" s="2" t="inlineStr">
        <is>
          <t>SIP-0158</t>
        </is>
      </c>
      <c r="C592" s="2" t="inlineStr">
        <is>
          <t>KAR/-001</t>
        </is>
      </c>
      <c r="D592" s="5" t="n">
        <v>2</v>
      </c>
      <c r="E592" s="2" t="inlineStr">
        <is>
          <t>Adet</t>
        </is>
      </c>
      <c r="F592" s="3" t="n">
        <v>9660.209999999999</v>
      </c>
      <c r="G592" s="4" t="n">
        <v>0.0101</v>
      </c>
      <c r="H592" s="3" t="n">
        <v>9562.639999999999</v>
      </c>
      <c r="I592" s="3" t="n">
        <v>19125.28</v>
      </c>
      <c r="J592" s="3" t="n">
        <v>7519.05</v>
      </c>
      <c r="K592" s="3" t="n">
        <v>15038.1</v>
      </c>
      <c r="L592" s="3" t="n">
        <v>4087.18</v>
      </c>
      <c r="M592" s="4" t="n">
        <v>0.2137</v>
      </c>
    </row>
    <row r="593">
      <c r="A593" s="2" t="inlineStr">
        <is>
          <t>SKL-00592</t>
        </is>
      </c>
      <c r="B593" s="2" t="inlineStr">
        <is>
          <t>SIP-0158</t>
        </is>
      </c>
      <c r="C593" s="2" t="inlineStr">
        <is>
          <t>YAREND-003</t>
        </is>
      </c>
      <c r="D593" s="5" t="n">
        <v>3</v>
      </c>
      <c r="E593" s="2" t="inlineStr">
        <is>
          <t>Adet</t>
        </is>
      </c>
      <c r="F593" s="3" t="n">
        <v>214.73</v>
      </c>
      <c r="G593" s="4" t="n">
        <v>0.0495</v>
      </c>
      <c r="H593" s="3" t="n">
        <v>204.1</v>
      </c>
      <c r="I593" s="3" t="n">
        <v>612.3</v>
      </c>
      <c r="J593" s="3" t="n">
        <v>159.13</v>
      </c>
      <c r="K593" s="3" t="n">
        <v>477.39</v>
      </c>
      <c r="L593" s="3" t="n">
        <v>134.91</v>
      </c>
      <c r="M593" s="4" t="n">
        <v>0.2203</v>
      </c>
    </row>
    <row r="594">
      <c r="A594" s="2" t="inlineStr">
        <is>
          <t>SKL-00593</t>
        </is>
      </c>
      <c r="B594" s="2" t="inlineStr">
        <is>
          <t>SIP-0158</t>
        </is>
      </c>
      <c r="C594" s="2" t="inlineStr">
        <is>
          <t>ENDVAN-012</t>
        </is>
      </c>
      <c r="D594" s="5" t="n">
        <v>18</v>
      </c>
      <c r="E594" s="2" t="inlineStr">
        <is>
          <t>Adet</t>
        </is>
      </c>
      <c r="F594" s="3" t="n">
        <v>358.38</v>
      </c>
      <c r="G594" s="4" t="n">
        <v>0.06370000000000001</v>
      </c>
      <c r="H594" s="3" t="n">
        <v>335.55</v>
      </c>
      <c r="I594" s="3" t="n">
        <v>6039.9</v>
      </c>
      <c r="J594" s="3" t="n">
        <v>281.71</v>
      </c>
      <c r="K594" s="3" t="n">
        <v>5070.78</v>
      </c>
      <c r="L594" s="3" t="n">
        <v>969.12</v>
      </c>
      <c r="M594" s="4" t="n">
        <v>0.1605</v>
      </c>
    </row>
    <row r="595">
      <c r="A595" s="2" t="inlineStr">
        <is>
          <t>SKL-00594</t>
        </is>
      </c>
      <c r="B595" s="2" t="inlineStr">
        <is>
          <t>SIP-0159</t>
        </is>
      </c>
      <c r="C595" s="2" t="inlineStr">
        <is>
          <t>MEKSIZ-010</t>
        </is>
      </c>
      <c r="D595" s="5" t="n">
        <v>26</v>
      </c>
      <c r="E595" s="2" t="inlineStr">
        <is>
          <t>Adet</t>
        </is>
      </c>
      <c r="F595" s="3" t="n">
        <v>699.45</v>
      </c>
      <c r="G595" s="4" t="n">
        <v>0.0083</v>
      </c>
      <c r="H595" s="3" t="n">
        <v>693.64</v>
      </c>
      <c r="I595" s="3" t="n">
        <v>18034.64</v>
      </c>
      <c r="J595" s="3" t="n">
        <v>421.08</v>
      </c>
      <c r="K595" s="3" t="n">
        <v>10948.08</v>
      </c>
      <c r="L595" s="3" t="n">
        <v>7086.56</v>
      </c>
      <c r="M595" s="4" t="n">
        <v>0.3929</v>
      </c>
    </row>
    <row r="596">
      <c r="A596" s="2" t="inlineStr">
        <is>
          <t>SKL-00595</t>
        </is>
      </c>
      <c r="B596" s="2" t="inlineStr">
        <is>
          <t>SIP-0159</t>
        </is>
      </c>
      <c r="C596" s="2" t="inlineStr">
        <is>
          <t>KAR/-010</t>
        </is>
      </c>
      <c r="D596" s="5" t="n">
        <v>2</v>
      </c>
      <c r="E596" s="2" t="inlineStr">
        <is>
          <t>Adet</t>
        </is>
      </c>
      <c r="F596" s="3" t="n">
        <v>9424.48</v>
      </c>
      <c r="G596" s="4" t="n">
        <v>0.0047</v>
      </c>
      <c r="H596" s="3" t="n">
        <v>9380.18</v>
      </c>
      <c r="I596" s="3" t="n">
        <v>18760.36</v>
      </c>
      <c r="J596" s="3" t="n">
        <v>6787.7</v>
      </c>
      <c r="K596" s="3" t="n">
        <v>13575.4</v>
      </c>
      <c r="L596" s="3" t="n">
        <v>5184.96</v>
      </c>
      <c r="M596" s="4" t="n">
        <v>0.2764</v>
      </c>
    </row>
    <row r="597">
      <c r="A597" s="2" t="inlineStr">
        <is>
          <t>SKL-00596</t>
        </is>
      </c>
      <c r="B597" s="2" t="inlineStr">
        <is>
          <t>SIP-0159</t>
        </is>
      </c>
      <c r="C597" s="2" t="inlineStr">
        <is>
          <t>ENDVAN-019</t>
        </is>
      </c>
      <c r="D597" s="5" t="n">
        <v>12</v>
      </c>
      <c r="E597" s="2" t="inlineStr">
        <is>
          <t>Adet</t>
        </is>
      </c>
      <c r="F597" s="3" t="n">
        <v>775.89</v>
      </c>
      <c r="G597" s="4" t="n">
        <v>0.0447</v>
      </c>
      <c r="H597" s="3" t="n">
        <v>741.21</v>
      </c>
      <c r="I597" s="3" t="n">
        <v>8894.52</v>
      </c>
      <c r="J597" s="3" t="n">
        <v>564.9400000000001</v>
      </c>
      <c r="K597" s="3" t="n">
        <v>6779.28</v>
      </c>
      <c r="L597" s="3" t="n">
        <v>2115.24</v>
      </c>
      <c r="M597" s="4" t="n">
        <v>0.2378</v>
      </c>
    </row>
    <row r="598">
      <c r="A598" s="2" t="inlineStr">
        <is>
          <t>SKL-00597</t>
        </is>
      </c>
      <c r="B598" s="2" t="inlineStr">
        <is>
          <t>SIP-0159</t>
        </is>
      </c>
      <c r="C598" s="2" t="inlineStr">
        <is>
          <t>MEKSIZ-005</t>
        </is>
      </c>
      <c r="D598" s="5" t="n">
        <v>20</v>
      </c>
      <c r="E598" s="2" t="inlineStr">
        <is>
          <t>Adet</t>
        </is>
      </c>
      <c r="F598" s="3" t="n">
        <v>620.95</v>
      </c>
      <c r="G598" s="4" t="n">
        <v>0.0934</v>
      </c>
      <c r="H598" s="3" t="n">
        <v>562.95</v>
      </c>
      <c r="I598" s="3" t="n">
        <v>11259</v>
      </c>
      <c r="J598" s="3" t="n">
        <v>370.26</v>
      </c>
      <c r="K598" s="3" t="n">
        <v>7405.2</v>
      </c>
      <c r="L598" s="3" t="n">
        <v>3853.8</v>
      </c>
      <c r="M598" s="4" t="n">
        <v>0.3423</v>
      </c>
    </row>
    <row r="599">
      <c r="A599" s="2" t="inlineStr">
        <is>
          <t>SKL-00598</t>
        </is>
      </c>
      <c r="B599" s="2" t="inlineStr">
        <is>
          <t>SIP-0159</t>
        </is>
      </c>
      <c r="C599" s="2" t="inlineStr">
        <is>
          <t>YAREND-010</t>
        </is>
      </c>
      <c r="D599" s="5" t="n">
        <v>15</v>
      </c>
      <c r="E599" s="2" t="inlineStr">
        <is>
          <t>Adet</t>
        </is>
      </c>
      <c r="F599" s="3" t="n">
        <v>1002.05</v>
      </c>
      <c r="G599" s="4" t="n">
        <v>0.0475</v>
      </c>
      <c r="H599" s="3" t="n">
        <v>954.45</v>
      </c>
      <c r="I599" s="3" t="n">
        <v>14316.75</v>
      </c>
      <c r="J599" s="3" t="n">
        <v>593.24</v>
      </c>
      <c r="K599" s="3" t="n">
        <v>8898.6</v>
      </c>
      <c r="L599" s="3" t="n">
        <v>5418.15</v>
      </c>
      <c r="M599" s="4" t="n">
        <v>0.3784</v>
      </c>
    </row>
    <row r="600">
      <c r="A600" s="2" t="inlineStr">
        <is>
          <t>SKL-00599</t>
        </is>
      </c>
      <c r="B600" s="2" t="inlineStr">
        <is>
          <t>SIP-0160</t>
        </is>
      </c>
      <c r="C600" s="2" t="inlineStr">
        <is>
          <t>FLAIZO-011</t>
        </is>
      </c>
      <c r="D600" s="5" t="n">
        <v>25</v>
      </c>
      <c r="E600" s="2" t="inlineStr">
        <is>
          <t>Set</t>
        </is>
      </c>
      <c r="F600" s="3" t="n">
        <v>168.24</v>
      </c>
      <c r="G600" s="4" t="n">
        <v>0.09859999999999999</v>
      </c>
      <c r="H600" s="3" t="n">
        <v>151.65</v>
      </c>
      <c r="I600" s="3" t="n">
        <v>3791.25</v>
      </c>
      <c r="J600" s="3" t="n">
        <v>86.27</v>
      </c>
      <c r="K600" s="3" t="n">
        <v>2156.75</v>
      </c>
      <c r="L600" s="3" t="n">
        <v>1634.5</v>
      </c>
      <c r="M600" s="4" t="n">
        <v>0.4311</v>
      </c>
    </row>
    <row r="601">
      <c r="A601" s="2" t="inlineStr">
        <is>
          <t>SKL-00600</t>
        </is>
      </c>
      <c r="B601" s="2" t="inlineStr">
        <is>
          <t>SIP-0160</t>
        </is>
      </c>
      <c r="C601" s="2" t="inlineStr">
        <is>
          <t>YAREND-013</t>
        </is>
      </c>
      <c r="D601" s="5" t="n">
        <v>5</v>
      </c>
      <c r="E601" s="2" t="inlineStr">
        <is>
          <t>Adet</t>
        </is>
      </c>
      <c r="F601" s="3" t="n">
        <v>547.73</v>
      </c>
      <c r="G601" s="4" t="n">
        <v>0.0177</v>
      </c>
      <c r="H601" s="3" t="n">
        <v>538.04</v>
      </c>
      <c r="I601" s="3" t="n">
        <v>2690.2</v>
      </c>
      <c r="J601" s="3" t="n">
        <v>387.77</v>
      </c>
      <c r="K601" s="3" t="n">
        <v>1938.85</v>
      </c>
      <c r="L601" s="3" t="n">
        <v>751.35</v>
      </c>
      <c r="M601" s="4" t="n">
        <v>0.2793</v>
      </c>
    </row>
    <row r="602">
      <c r="A602" s="2" t="inlineStr">
        <is>
          <t>SKL-00601</t>
        </is>
      </c>
      <c r="B602" s="2" t="inlineStr">
        <is>
          <t>SIP-0160</t>
        </is>
      </c>
      <c r="C602" s="2" t="inlineStr">
        <is>
          <t>YAREND-001</t>
        </is>
      </c>
      <c r="D602" s="5" t="n">
        <v>10</v>
      </c>
      <c r="E602" s="2" t="inlineStr">
        <is>
          <t>Adet</t>
        </is>
      </c>
      <c r="F602" s="3" t="n">
        <v>1549.14</v>
      </c>
      <c r="G602" s="4" t="n">
        <v>0.0645</v>
      </c>
      <c r="H602" s="3" t="n">
        <v>1449.22</v>
      </c>
      <c r="I602" s="3" t="n">
        <v>14492.2</v>
      </c>
      <c r="J602" s="3" t="n">
        <v>945.3099999999999</v>
      </c>
      <c r="K602" s="3" t="n">
        <v>9453.1</v>
      </c>
      <c r="L602" s="3" t="n">
        <v>5039.1</v>
      </c>
      <c r="M602" s="4" t="n">
        <v>0.3477</v>
      </c>
    </row>
    <row r="603">
      <c r="A603" s="2" t="inlineStr">
        <is>
          <t>SKL-00602</t>
        </is>
      </c>
      <c r="B603" s="2" t="inlineStr">
        <is>
          <t>SIP-0161</t>
        </is>
      </c>
      <c r="C603" s="2" t="inlineStr">
        <is>
          <t>ENDVAN-007</t>
        </is>
      </c>
      <c r="D603" s="5" t="n">
        <v>6</v>
      </c>
      <c r="E603" s="2" t="inlineStr">
        <is>
          <t>Adet</t>
        </is>
      </c>
      <c r="F603" s="3" t="n">
        <v>205.19</v>
      </c>
      <c r="G603" s="4" t="n">
        <v>0.0577</v>
      </c>
      <c r="H603" s="3" t="n">
        <v>193.35</v>
      </c>
      <c r="I603" s="3" t="n">
        <v>1160.1</v>
      </c>
      <c r="J603" s="3" t="n">
        <v>126.94</v>
      </c>
      <c r="K603" s="3" t="n">
        <v>761.64</v>
      </c>
      <c r="L603" s="3" t="n">
        <v>398.46</v>
      </c>
      <c r="M603" s="4" t="n">
        <v>0.3435</v>
      </c>
    </row>
    <row r="604">
      <c r="A604" s="2" t="inlineStr">
        <is>
          <t>SKL-00603</t>
        </is>
      </c>
      <c r="B604" s="2" t="inlineStr">
        <is>
          <t>SIP-0161</t>
        </is>
      </c>
      <c r="C604" s="2" t="inlineStr">
        <is>
          <t>ENDVAN-033</t>
        </is>
      </c>
      <c r="D604" s="5" t="n">
        <v>4</v>
      </c>
      <c r="E604" s="2" t="inlineStr">
        <is>
          <t>Adet</t>
        </is>
      </c>
      <c r="F604" s="3" t="n">
        <v>1774.16</v>
      </c>
      <c r="G604" s="4" t="n">
        <v>0.0532</v>
      </c>
      <c r="H604" s="3" t="n">
        <v>1679.77</v>
      </c>
      <c r="I604" s="3" t="n">
        <v>6719.08</v>
      </c>
      <c r="J604" s="3" t="n">
        <v>1125.6</v>
      </c>
      <c r="K604" s="3" t="n">
        <v>4502.4</v>
      </c>
      <c r="L604" s="3" t="n">
        <v>2216.68</v>
      </c>
      <c r="M604" s="4" t="n">
        <v>0.3299</v>
      </c>
    </row>
    <row r="605">
      <c r="A605" s="2" t="inlineStr">
        <is>
          <t>SKL-00604</t>
        </is>
      </c>
      <c r="B605" s="2" t="inlineStr">
        <is>
          <t>SIP-0161</t>
        </is>
      </c>
      <c r="C605" s="2" t="inlineStr">
        <is>
          <t>ENDVAN-012</t>
        </is>
      </c>
      <c r="D605" s="5" t="n">
        <v>8</v>
      </c>
      <c r="E605" s="2" t="inlineStr">
        <is>
          <t>Adet</t>
        </is>
      </c>
      <c r="F605" s="3" t="n">
        <v>377.13</v>
      </c>
      <c r="G605" s="4" t="n">
        <v>0.0948</v>
      </c>
      <c r="H605" s="3" t="n">
        <v>341.38</v>
      </c>
      <c r="I605" s="3" t="n">
        <v>2731.04</v>
      </c>
      <c r="J605" s="3" t="n">
        <v>281.71</v>
      </c>
      <c r="K605" s="3" t="n">
        <v>2253.68</v>
      </c>
      <c r="L605" s="3" t="n">
        <v>477.36</v>
      </c>
      <c r="M605" s="4" t="n">
        <v>0.1748</v>
      </c>
    </row>
    <row r="606">
      <c r="A606" s="2" t="inlineStr">
        <is>
          <t>SKL-00605</t>
        </is>
      </c>
      <c r="B606" s="2" t="inlineStr">
        <is>
          <t>SIP-0161</t>
        </is>
      </c>
      <c r="C606" s="2" t="inlineStr">
        <is>
          <t>FLAIZO-010</t>
        </is>
      </c>
      <c r="D606" s="5" t="n">
        <v>87</v>
      </c>
      <c r="E606" s="2" t="inlineStr">
        <is>
          <t>Set</t>
        </is>
      </c>
      <c r="F606" s="3" t="n">
        <v>138.83</v>
      </c>
      <c r="G606" s="4" t="n">
        <v>0.0206</v>
      </c>
      <c r="H606" s="3" t="n">
        <v>135.97</v>
      </c>
      <c r="I606" s="3" t="n">
        <v>11829.39</v>
      </c>
      <c r="J606" s="3" t="n">
        <v>82.88</v>
      </c>
      <c r="K606" s="3" t="n">
        <v>7210.56</v>
      </c>
      <c r="L606" s="3" t="n">
        <v>4618.83</v>
      </c>
      <c r="M606" s="4" t="n">
        <v>0.3905</v>
      </c>
    </row>
    <row r="607">
      <c r="A607" s="2" t="inlineStr">
        <is>
          <t>SKL-00606</t>
        </is>
      </c>
      <c r="B607" s="2" t="inlineStr">
        <is>
          <t>SIP-0162</t>
        </is>
      </c>
      <c r="C607" s="2" t="inlineStr">
        <is>
          <t>YAREND-013</t>
        </is>
      </c>
      <c r="D607" s="5" t="n">
        <v>3</v>
      </c>
      <c r="E607" s="2" t="inlineStr">
        <is>
          <t>Adet</t>
        </is>
      </c>
      <c r="F607" s="3" t="n">
        <v>548.89</v>
      </c>
      <c r="G607" s="4" t="n">
        <v>0.0476</v>
      </c>
      <c r="H607" s="3" t="n">
        <v>522.76</v>
      </c>
      <c r="I607" s="3" t="n">
        <v>1568.28</v>
      </c>
      <c r="J607" s="3" t="n">
        <v>387.77</v>
      </c>
      <c r="K607" s="3" t="n">
        <v>1163.31</v>
      </c>
      <c r="L607" s="3" t="n">
        <v>404.97</v>
      </c>
      <c r="M607" s="4" t="n">
        <v>0.2582</v>
      </c>
    </row>
    <row r="608">
      <c r="A608" s="2" t="inlineStr">
        <is>
          <t>SKL-00607</t>
        </is>
      </c>
      <c r="B608" s="2" t="inlineStr">
        <is>
          <t>SIP-0162</t>
        </is>
      </c>
      <c r="C608" s="2" t="inlineStr">
        <is>
          <t>ENDVAN-015</t>
        </is>
      </c>
      <c r="D608" s="5" t="n">
        <v>3</v>
      </c>
      <c r="E608" s="2" t="inlineStr">
        <is>
          <t>Adet</t>
        </is>
      </c>
      <c r="F608" s="3" t="n">
        <v>1687.41</v>
      </c>
      <c r="G608" s="4" t="n">
        <v>0.0176</v>
      </c>
      <c r="H608" s="3" t="n">
        <v>1657.71</v>
      </c>
      <c r="I608" s="3" t="n">
        <v>4973.13</v>
      </c>
      <c r="J608" s="3" t="n">
        <v>1019.05</v>
      </c>
      <c r="K608" s="3" t="n">
        <v>3057.15</v>
      </c>
      <c r="L608" s="3" t="n">
        <v>1915.98</v>
      </c>
      <c r="M608" s="4" t="n">
        <v>0.3853</v>
      </c>
    </row>
    <row r="609">
      <c r="A609" s="2" t="inlineStr">
        <is>
          <t>SKL-00608</t>
        </is>
      </c>
      <c r="B609" s="2" t="inlineStr">
        <is>
          <t>SIP-0162</t>
        </is>
      </c>
      <c r="C609" s="2" t="inlineStr">
        <is>
          <t>ENDVAN-025</t>
        </is>
      </c>
      <c r="D609" s="5" t="n">
        <v>4</v>
      </c>
      <c r="E609" s="2" t="inlineStr">
        <is>
          <t>Adet</t>
        </is>
      </c>
      <c r="F609" s="3" t="n">
        <v>295.92</v>
      </c>
      <c r="G609" s="4" t="n">
        <v>0.0425</v>
      </c>
      <c r="H609" s="3" t="n">
        <v>283.34</v>
      </c>
      <c r="I609" s="3" t="n">
        <v>1133.36</v>
      </c>
      <c r="J609" s="3" t="n">
        <v>205.87</v>
      </c>
      <c r="K609" s="3" t="n">
        <v>823.48</v>
      </c>
      <c r="L609" s="3" t="n">
        <v>309.88</v>
      </c>
      <c r="M609" s="4" t="n">
        <v>0.2734</v>
      </c>
    </row>
    <row r="610">
      <c r="A610" s="2" t="inlineStr">
        <is>
          <t>SKL-00609</t>
        </is>
      </c>
      <c r="B610" s="2" t="inlineStr">
        <is>
          <t>SIP-0162</t>
        </is>
      </c>
      <c r="C610" s="2" t="inlineStr">
        <is>
          <t>ENDVAN-017</t>
        </is>
      </c>
      <c r="D610" s="5" t="n">
        <v>17</v>
      </c>
      <c r="E610" s="2" t="inlineStr">
        <is>
          <t>Adet</t>
        </is>
      </c>
      <c r="F610" s="3" t="n">
        <v>786.62</v>
      </c>
      <c r="G610" s="4" t="n">
        <v>0.1064</v>
      </c>
      <c r="H610" s="3" t="n">
        <v>702.92</v>
      </c>
      <c r="I610" s="3" t="n">
        <v>11949.64</v>
      </c>
      <c r="J610" s="3" t="n">
        <v>518.3099999999999</v>
      </c>
      <c r="K610" s="3" t="n">
        <v>8811.27</v>
      </c>
      <c r="L610" s="3" t="n">
        <v>3138.37</v>
      </c>
      <c r="M610" s="4" t="n">
        <v>0.2626</v>
      </c>
    </row>
    <row r="611">
      <c r="A611" s="2" t="inlineStr">
        <is>
          <t>SKL-00610</t>
        </is>
      </c>
      <c r="B611" s="2" t="inlineStr">
        <is>
          <t>SIP-0163</t>
        </is>
      </c>
      <c r="C611" s="2" t="inlineStr">
        <is>
          <t>PROTAN-003</t>
        </is>
      </c>
      <c r="D611" s="5" t="n">
        <v>1</v>
      </c>
      <c r="E611" s="2" t="inlineStr">
        <is>
          <t>Adet</t>
        </is>
      </c>
      <c r="F611" s="3" t="n">
        <v>7031.73</v>
      </c>
      <c r="G611" s="4" t="n">
        <v>0.09379999999999999</v>
      </c>
      <c r="H611" s="3" t="n">
        <v>6372.15</v>
      </c>
      <c r="I611" s="3" t="n">
        <v>6372.15</v>
      </c>
      <c r="J611" s="3" t="n">
        <v>5114.72</v>
      </c>
      <c r="K611" s="3" t="n">
        <v>5114.72</v>
      </c>
      <c r="L611" s="3" t="n">
        <v>1257.43</v>
      </c>
      <c r="M611" s="4" t="n">
        <v>0.1973</v>
      </c>
    </row>
    <row r="612">
      <c r="A612" s="2" t="inlineStr">
        <is>
          <t>SKL-00611</t>
        </is>
      </c>
      <c r="B612" s="2" t="inlineStr">
        <is>
          <t>SIP-0163</t>
        </is>
      </c>
      <c r="C612" s="2" t="inlineStr">
        <is>
          <t>ENDVAN-027</t>
        </is>
      </c>
      <c r="D612" s="5" t="n">
        <v>4</v>
      </c>
      <c r="E612" s="2" t="inlineStr">
        <is>
          <t>Adet</t>
        </is>
      </c>
      <c r="F612" s="3" t="n">
        <v>1600.14</v>
      </c>
      <c r="G612" s="4" t="n">
        <v>0.0233</v>
      </c>
      <c r="H612" s="3" t="n">
        <v>1562.86</v>
      </c>
      <c r="I612" s="3" t="n">
        <v>6251.44</v>
      </c>
      <c r="J612" s="3" t="n">
        <v>1041.65</v>
      </c>
      <c r="K612" s="3" t="n">
        <v>4166.6</v>
      </c>
      <c r="L612" s="3" t="n">
        <v>2084.84</v>
      </c>
      <c r="M612" s="4" t="n">
        <v>0.3335</v>
      </c>
    </row>
    <row r="613">
      <c r="A613" s="2" t="inlineStr">
        <is>
          <t>SKL-00612</t>
        </is>
      </c>
      <c r="B613" s="2" t="inlineStr">
        <is>
          <t>SIP-0163</t>
        </is>
      </c>
      <c r="C613" s="2" t="inlineStr">
        <is>
          <t>YAREND-010</t>
        </is>
      </c>
      <c r="D613" s="5" t="n">
        <v>4</v>
      </c>
      <c r="E613" s="2" t="inlineStr">
        <is>
          <t>Adet</t>
        </is>
      </c>
      <c r="F613" s="3" t="n">
        <v>949.34</v>
      </c>
      <c r="G613" s="4" t="n">
        <v>0.0343</v>
      </c>
      <c r="H613" s="3" t="n">
        <v>916.78</v>
      </c>
      <c r="I613" s="3" t="n">
        <v>3667.12</v>
      </c>
      <c r="J613" s="3" t="n">
        <v>593.24</v>
      </c>
      <c r="K613" s="3" t="n">
        <v>2372.96</v>
      </c>
      <c r="L613" s="3" t="n">
        <v>1294.16</v>
      </c>
      <c r="M613" s="4" t="n">
        <v>0.3529</v>
      </c>
    </row>
    <row r="614">
      <c r="A614" s="2" t="inlineStr">
        <is>
          <t>SKL-00613</t>
        </is>
      </c>
      <c r="B614" s="2" t="inlineStr">
        <is>
          <t>SIP-0164</t>
        </is>
      </c>
      <c r="C614" s="2" t="inlineStr">
        <is>
          <t>ENDVAN-018</t>
        </is>
      </c>
      <c r="D614" s="5" t="n">
        <v>9</v>
      </c>
      <c r="E614" s="2" t="inlineStr">
        <is>
          <t>Adet</t>
        </is>
      </c>
      <c r="F614" s="3" t="n">
        <v>1014.22</v>
      </c>
      <c r="G614" s="4" t="n">
        <v>0.0883</v>
      </c>
      <c r="H614" s="3" t="n">
        <v>924.66</v>
      </c>
      <c r="I614" s="3" t="n">
        <v>8321.940000000001</v>
      </c>
      <c r="J614" s="3" t="n">
        <v>781.12</v>
      </c>
      <c r="K614" s="3" t="n">
        <v>7030.08</v>
      </c>
      <c r="L614" s="3" t="n">
        <v>1291.86</v>
      </c>
      <c r="M614" s="4" t="n">
        <v>0.1552</v>
      </c>
    </row>
    <row r="615">
      <c r="A615" s="2" t="inlineStr">
        <is>
          <t>SKL-00614</t>
        </is>
      </c>
      <c r="B615" s="2" t="inlineStr">
        <is>
          <t>SIP-0164</t>
        </is>
      </c>
      <c r="C615" s="2" t="inlineStr">
        <is>
          <t>ENDVAN-014</t>
        </is>
      </c>
      <c r="D615" s="5" t="n">
        <v>9</v>
      </c>
      <c r="E615" s="2" t="inlineStr">
        <is>
          <t>Adet</t>
        </is>
      </c>
      <c r="F615" s="3" t="n">
        <v>1629.55</v>
      </c>
      <c r="G615" s="4" t="n">
        <v>0.0315</v>
      </c>
      <c r="H615" s="3" t="n">
        <v>1578.22</v>
      </c>
      <c r="I615" s="3" t="n">
        <v>14203.98</v>
      </c>
      <c r="J615" s="3" t="n">
        <v>1025.06</v>
      </c>
      <c r="K615" s="3" t="n">
        <v>9225.540000000001</v>
      </c>
      <c r="L615" s="3" t="n">
        <v>4978.44</v>
      </c>
      <c r="M615" s="4" t="n">
        <v>0.3505</v>
      </c>
    </row>
    <row r="616">
      <c r="A616" s="2" t="inlineStr">
        <is>
          <t>SKL-00615</t>
        </is>
      </c>
      <c r="B616" s="2" t="inlineStr">
        <is>
          <t>SIP-0165</t>
        </is>
      </c>
      <c r="C616" s="2" t="inlineStr">
        <is>
          <t>ENDVAN-006</t>
        </is>
      </c>
      <c r="D616" s="5" t="n">
        <v>7</v>
      </c>
      <c r="E616" s="2" t="inlineStr">
        <is>
          <t>Adet</t>
        </is>
      </c>
      <c r="F616" s="3" t="n">
        <v>1707.68</v>
      </c>
      <c r="G616" s="4" t="n">
        <v>0.0063</v>
      </c>
      <c r="H616" s="3" t="n">
        <v>1696.92</v>
      </c>
      <c r="I616" s="3" t="n">
        <v>11878.44</v>
      </c>
      <c r="J616" s="3" t="n">
        <v>1160.99</v>
      </c>
      <c r="K616" s="3" t="n">
        <v>8126.93</v>
      </c>
      <c r="L616" s="3" t="n">
        <v>3751.51</v>
      </c>
      <c r="M616" s="4" t="n">
        <v>0.3158</v>
      </c>
    </row>
    <row r="617">
      <c r="A617" s="2" t="inlineStr">
        <is>
          <t>SKL-00616</t>
        </is>
      </c>
      <c r="B617" s="2" t="inlineStr">
        <is>
          <t>SIP-0165</t>
        </is>
      </c>
      <c r="C617" s="2" t="inlineStr">
        <is>
          <t>ENDVAN-019</t>
        </is>
      </c>
      <c r="D617" s="5" t="n">
        <v>16</v>
      </c>
      <c r="E617" s="2" t="inlineStr">
        <is>
          <t>Adet</t>
        </is>
      </c>
      <c r="F617" s="3" t="n">
        <v>792.91</v>
      </c>
      <c r="G617" s="4" t="n">
        <v>0.08119999999999999</v>
      </c>
      <c r="H617" s="3" t="n">
        <v>728.53</v>
      </c>
      <c r="I617" s="3" t="n">
        <v>11656.48</v>
      </c>
      <c r="J617" s="3" t="n">
        <v>564.9400000000001</v>
      </c>
      <c r="K617" s="3" t="n">
        <v>9039.040000000001</v>
      </c>
      <c r="L617" s="3" t="n">
        <v>2617.44</v>
      </c>
      <c r="M617" s="4" t="n">
        <v>0.2245</v>
      </c>
    </row>
    <row r="618">
      <c r="A618" s="2" t="inlineStr">
        <is>
          <t>SKL-00617</t>
        </is>
      </c>
      <c r="B618" s="2" t="inlineStr">
        <is>
          <t>SIP-0165</t>
        </is>
      </c>
      <c r="C618" s="2" t="inlineStr">
        <is>
          <t>ENDVAN-008</t>
        </is>
      </c>
      <c r="D618" s="5" t="n">
        <v>16</v>
      </c>
      <c r="E618" s="2" t="inlineStr">
        <is>
          <t>Adet</t>
        </is>
      </c>
      <c r="F618" s="3" t="n">
        <v>556.4</v>
      </c>
      <c r="G618" s="4" t="n">
        <v>0.0989</v>
      </c>
      <c r="H618" s="3" t="n">
        <v>501.37</v>
      </c>
      <c r="I618" s="3" t="n">
        <v>8021.92</v>
      </c>
      <c r="J618" s="3" t="n">
        <v>429.42</v>
      </c>
      <c r="K618" s="3" t="n">
        <v>6870.72</v>
      </c>
      <c r="L618" s="3" t="n">
        <v>1151.2</v>
      </c>
      <c r="M618" s="4" t="n">
        <v>0.1435</v>
      </c>
    </row>
    <row r="619">
      <c r="A619" s="2" t="inlineStr">
        <is>
          <t>SKL-00618</t>
        </is>
      </c>
      <c r="B619" s="2" t="inlineStr">
        <is>
          <t>SIP-0165</t>
        </is>
      </c>
      <c r="C619" s="2" t="inlineStr">
        <is>
          <t>KAR/-011</t>
        </is>
      </c>
      <c r="D619" s="5" t="n">
        <v>3</v>
      </c>
      <c r="E619" s="2" t="inlineStr">
        <is>
          <t>Adet</t>
        </is>
      </c>
      <c r="F619" s="3" t="n">
        <v>8924.049999999999</v>
      </c>
      <c r="G619" s="4" t="n">
        <v>0.0554</v>
      </c>
      <c r="H619" s="3" t="n">
        <v>8429.66</v>
      </c>
      <c r="I619" s="3" t="n">
        <v>25288.98</v>
      </c>
      <c r="J619" s="3" t="n">
        <v>6335.26</v>
      </c>
      <c r="K619" s="3" t="n">
        <v>19005.78</v>
      </c>
      <c r="L619" s="3" t="n">
        <v>6283.2</v>
      </c>
      <c r="M619" s="4" t="n">
        <v>0.2485</v>
      </c>
    </row>
    <row r="620">
      <c r="A620" s="2" t="inlineStr">
        <is>
          <t>SKL-00619</t>
        </is>
      </c>
      <c r="B620" s="2" t="inlineStr">
        <is>
          <t>SIP-0166</t>
        </is>
      </c>
      <c r="C620" s="2" t="inlineStr">
        <is>
          <t>KAR/-011</t>
        </is>
      </c>
      <c r="D620" s="5" t="n">
        <v>2</v>
      </c>
      <c r="E620" s="2" t="inlineStr">
        <is>
          <t>Adet</t>
        </is>
      </c>
      <c r="F620" s="3" t="n">
        <v>8769.74</v>
      </c>
      <c r="G620" s="4" t="n">
        <v>0.0216</v>
      </c>
      <c r="H620" s="3" t="n">
        <v>8580.309999999999</v>
      </c>
      <c r="I620" s="3" t="n">
        <v>17160.62</v>
      </c>
      <c r="J620" s="3" t="n">
        <v>6335.26</v>
      </c>
      <c r="K620" s="3" t="n">
        <v>12670.52</v>
      </c>
      <c r="L620" s="3" t="n">
        <v>4490.1</v>
      </c>
      <c r="M620" s="4" t="n">
        <v>0.2617</v>
      </c>
    </row>
    <row r="621">
      <c r="A621" s="2" t="inlineStr">
        <is>
          <t>SKL-00620</t>
        </is>
      </c>
      <c r="B621" s="2" t="inlineStr">
        <is>
          <t>SIP-0166</t>
        </is>
      </c>
      <c r="C621" s="2" t="inlineStr">
        <is>
          <t>ENDVAN-013</t>
        </is>
      </c>
      <c r="D621" s="5" t="n">
        <v>20</v>
      </c>
      <c r="E621" s="2" t="inlineStr">
        <is>
          <t>Adet</t>
        </is>
      </c>
      <c r="F621" s="3" t="n">
        <v>1485.53</v>
      </c>
      <c r="G621" s="4" t="n">
        <v>0.04</v>
      </c>
      <c r="H621" s="3" t="n">
        <v>1426.11</v>
      </c>
      <c r="I621" s="3" t="n">
        <v>28522.2</v>
      </c>
      <c r="J621" s="3" t="n">
        <v>1133.86</v>
      </c>
      <c r="K621" s="3" t="n">
        <v>22677.2</v>
      </c>
      <c r="L621" s="3" t="n">
        <v>5845</v>
      </c>
      <c r="M621" s="4" t="n">
        <v>0.2049</v>
      </c>
    </row>
    <row r="622">
      <c r="A622" s="2" t="inlineStr">
        <is>
          <t>SKL-00621</t>
        </is>
      </c>
      <c r="B622" s="2" t="inlineStr">
        <is>
          <t>SIP-0167</t>
        </is>
      </c>
      <c r="C622" s="2" t="inlineStr">
        <is>
          <t>MEKSIZ-002</t>
        </is>
      </c>
      <c r="D622" s="5" t="n">
        <v>8</v>
      </c>
      <c r="E622" s="2" t="inlineStr">
        <is>
          <t>Adet</t>
        </is>
      </c>
      <c r="F622" s="3" t="n">
        <v>484.68</v>
      </c>
      <c r="G622" s="4" t="n">
        <v>0.0302</v>
      </c>
      <c r="H622" s="3" t="n">
        <v>470.04</v>
      </c>
      <c r="I622" s="3" t="n">
        <v>3760.32</v>
      </c>
      <c r="J622" s="3" t="n">
        <v>343.25</v>
      </c>
      <c r="K622" s="3" t="n">
        <v>2746</v>
      </c>
      <c r="L622" s="3" t="n">
        <v>1014.32</v>
      </c>
      <c r="M622" s="4" t="n">
        <v>0.2697</v>
      </c>
    </row>
    <row r="623">
      <c r="A623" s="2" t="inlineStr">
        <is>
          <t>SKL-00622</t>
        </is>
      </c>
      <c r="B623" s="2" t="inlineStr">
        <is>
          <t>SIP-0167</t>
        </is>
      </c>
      <c r="C623" s="2" t="inlineStr">
        <is>
          <t>MEKSIZ-014</t>
        </is>
      </c>
      <c r="D623" s="5" t="n">
        <v>14</v>
      </c>
      <c r="E623" s="2" t="inlineStr">
        <is>
          <t>Adet</t>
        </is>
      </c>
      <c r="F623" s="3" t="n">
        <v>385.49</v>
      </c>
      <c r="G623" s="4" t="n">
        <v>0.0788</v>
      </c>
      <c r="H623" s="3" t="n">
        <v>355.11</v>
      </c>
      <c r="I623" s="3" t="n">
        <v>4971.54</v>
      </c>
      <c r="J623" s="3" t="n">
        <v>242.32</v>
      </c>
      <c r="K623" s="3" t="n">
        <v>3392.48</v>
      </c>
      <c r="L623" s="3" t="n">
        <v>1579.06</v>
      </c>
      <c r="M623" s="4" t="n">
        <v>0.3176</v>
      </c>
    </row>
    <row r="624">
      <c r="A624" s="2" t="inlineStr">
        <is>
          <t>SKL-00623</t>
        </is>
      </c>
      <c r="B624" s="2" t="inlineStr">
        <is>
          <t>SIP-0167</t>
        </is>
      </c>
      <c r="C624" s="2" t="inlineStr">
        <is>
          <t>KAR/-004</t>
        </is>
      </c>
      <c r="D624" s="5" t="n">
        <v>2</v>
      </c>
      <c r="E624" s="2" t="inlineStr">
        <is>
          <t>Adet</t>
        </is>
      </c>
      <c r="F624" s="3" t="n">
        <v>4660.55</v>
      </c>
      <c r="G624" s="4" t="n">
        <v>0.0633</v>
      </c>
      <c r="H624" s="3" t="n">
        <v>4365.54</v>
      </c>
      <c r="I624" s="3" t="n">
        <v>8731.08</v>
      </c>
      <c r="J624" s="3" t="n">
        <v>3492.79</v>
      </c>
      <c r="K624" s="3" t="n">
        <v>6985.58</v>
      </c>
      <c r="L624" s="3" t="n">
        <v>1745.5</v>
      </c>
      <c r="M624" s="4" t="n">
        <v>0.1999</v>
      </c>
    </row>
    <row r="625">
      <c r="A625" s="2" t="inlineStr">
        <is>
          <t>SKL-00624</t>
        </is>
      </c>
      <c r="B625" s="2" t="inlineStr">
        <is>
          <t>SIP-0167</t>
        </is>
      </c>
      <c r="C625" s="2" t="inlineStr">
        <is>
          <t>ENDVAN-017</t>
        </is>
      </c>
      <c r="D625" s="5" t="n">
        <v>6</v>
      </c>
      <c r="E625" s="2" t="inlineStr">
        <is>
          <t>Adet</t>
        </is>
      </c>
      <c r="F625" s="3" t="n">
        <v>757.95</v>
      </c>
      <c r="G625" s="4" t="n">
        <v>0.0221</v>
      </c>
      <c r="H625" s="3" t="n">
        <v>741.2</v>
      </c>
      <c r="I625" s="3" t="n">
        <v>4447.2</v>
      </c>
      <c r="J625" s="3" t="n">
        <v>518.3099999999999</v>
      </c>
      <c r="K625" s="3" t="n">
        <v>3109.86</v>
      </c>
      <c r="L625" s="3" t="n">
        <v>1337.34</v>
      </c>
      <c r="M625" s="4" t="n">
        <v>0.3007</v>
      </c>
    </row>
    <row r="626">
      <c r="A626" s="2" t="inlineStr">
        <is>
          <t>SKL-00625</t>
        </is>
      </c>
      <c r="B626" s="2" t="inlineStr">
        <is>
          <t>SIP-0167</t>
        </is>
      </c>
      <c r="C626" s="2" t="inlineStr">
        <is>
          <t>ENDVAN-004</t>
        </is>
      </c>
      <c r="D626" s="5" t="n">
        <v>2</v>
      </c>
      <c r="E626" s="2" t="inlineStr">
        <is>
          <t>Adet</t>
        </is>
      </c>
      <c r="F626" s="3" t="n">
        <v>308.8</v>
      </c>
      <c r="G626" s="4" t="n">
        <v>0.0468</v>
      </c>
      <c r="H626" s="3" t="n">
        <v>294.35</v>
      </c>
      <c r="I626" s="3" t="n">
        <v>588.7</v>
      </c>
      <c r="J626" s="3" t="n">
        <v>212.53</v>
      </c>
      <c r="K626" s="3" t="n">
        <v>425.06</v>
      </c>
      <c r="L626" s="3" t="n">
        <v>163.64</v>
      </c>
      <c r="M626" s="4" t="n">
        <v>0.278</v>
      </c>
    </row>
    <row r="627">
      <c r="A627" s="2" t="inlineStr">
        <is>
          <t>SKL-00626</t>
        </is>
      </c>
      <c r="B627" s="2" t="inlineStr">
        <is>
          <t>SIP-0167</t>
        </is>
      </c>
      <c r="C627" s="2" t="inlineStr">
        <is>
          <t>MEKSIZ-007</t>
        </is>
      </c>
      <c r="D627" s="5" t="n">
        <v>18</v>
      </c>
      <c r="E627" s="2" t="inlineStr">
        <is>
          <t>Adet</t>
        </is>
      </c>
      <c r="F627" s="3" t="n">
        <v>485.94</v>
      </c>
      <c r="G627" s="4" t="n">
        <v>0.0069</v>
      </c>
      <c r="H627" s="3" t="n">
        <v>482.59</v>
      </c>
      <c r="I627" s="3" t="n">
        <v>8686.620000000001</v>
      </c>
      <c r="J627" s="3" t="n">
        <v>301.85</v>
      </c>
      <c r="K627" s="3" t="n">
        <v>5433.3</v>
      </c>
      <c r="L627" s="3" t="n">
        <v>3253.32</v>
      </c>
      <c r="M627" s="4" t="n">
        <v>0.3745</v>
      </c>
    </row>
    <row r="628">
      <c r="A628" s="2" t="inlineStr">
        <is>
          <t>SKL-00627</t>
        </is>
      </c>
      <c r="B628" s="2" t="inlineStr">
        <is>
          <t>SIP-0168</t>
        </is>
      </c>
      <c r="C628" s="2" t="inlineStr">
        <is>
          <t>KAR/-011</t>
        </is>
      </c>
      <c r="D628" s="5" t="n">
        <v>4</v>
      </c>
      <c r="E628" s="2" t="inlineStr">
        <is>
          <t>Adet</t>
        </is>
      </c>
      <c r="F628" s="3" t="n">
        <v>9444.68</v>
      </c>
      <c r="G628" s="4" t="n">
        <v>0.044</v>
      </c>
      <c r="H628" s="3" t="n">
        <v>9029.110000000001</v>
      </c>
      <c r="I628" s="3" t="n">
        <v>36116.44</v>
      </c>
      <c r="J628" s="3" t="n">
        <v>6335.26</v>
      </c>
      <c r="K628" s="3" t="n">
        <v>25341.04</v>
      </c>
      <c r="L628" s="3" t="n">
        <v>10775.4</v>
      </c>
      <c r="M628" s="4" t="n">
        <v>0.2984</v>
      </c>
    </row>
    <row r="629">
      <c r="A629" s="2" t="inlineStr">
        <is>
          <t>SKL-00628</t>
        </is>
      </c>
      <c r="B629" s="2" t="inlineStr">
        <is>
          <t>SIP-0168</t>
        </is>
      </c>
      <c r="C629" s="2" t="inlineStr">
        <is>
          <t>ENDVAN-020</t>
        </is>
      </c>
      <c r="D629" s="5" t="n">
        <v>7</v>
      </c>
      <c r="E629" s="2" t="inlineStr">
        <is>
          <t>Adet</t>
        </is>
      </c>
      <c r="F629" s="3" t="n">
        <v>655.0599999999999</v>
      </c>
      <c r="G629" s="4" t="n">
        <v>0.0382</v>
      </c>
      <c r="H629" s="3" t="n">
        <v>630.04</v>
      </c>
      <c r="I629" s="3" t="n">
        <v>4410.28</v>
      </c>
      <c r="J629" s="3" t="n">
        <v>433.62</v>
      </c>
      <c r="K629" s="3" t="n">
        <v>3035.34</v>
      </c>
      <c r="L629" s="3" t="n">
        <v>1374.94</v>
      </c>
      <c r="M629" s="4" t="n">
        <v>0.3118</v>
      </c>
    </row>
    <row r="630">
      <c r="A630" s="2" t="inlineStr">
        <is>
          <t>SKL-00629</t>
        </is>
      </c>
      <c r="B630" s="2" t="inlineStr">
        <is>
          <t>SIP-0168</t>
        </is>
      </c>
      <c r="C630" s="2" t="inlineStr">
        <is>
          <t>PROTAN-003</t>
        </is>
      </c>
      <c r="D630" s="5" t="n">
        <v>2</v>
      </c>
      <c r="E630" s="2" t="inlineStr">
        <is>
          <t>Adet</t>
        </is>
      </c>
      <c r="F630" s="3" t="n">
        <v>6500.17</v>
      </c>
      <c r="G630" s="4" t="n">
        <v>0.0231</v>
      </c>
      <c r="H630" s="3" t="n">
        <v>6350.02</v>
      </c>
      <c r="I630" s="3" t="n">
        <v>12700.04</v>
      </c>
      <c r="J630" s="3" t="n">
        <v>5114.72</v>
      </c>
      <c r="K630" s="3" t="n">
        <v>10229.44</v>
      </c>
      <c r="L630" s="3" t="n">
        <v>2470.6</v>
      </c>
      <c r="M630" s="4" t="n">
        <v>0.1945</v>
      </c>
    </row>
    <row r="631">
      <c r="A631" s="2" t="inlineStr">
        <is>
          <t>SKL-00630</t>
        </is>
      </c>
      <c r="B631" s="2" t="inlineStr">
        <is>
          <t>SIP-0169</t>
        </is>
      </c>
      <c r="C631" s="2" t="inlineStr">
        <is>
          <t>FLAIZO-003</t>
        </is>
      </c>
      <c r="D631" s="5" t="n">
        <v>63</v>
      </c>
      <c r="E631" s="2" t="inlineStr">
        <is>
          <t>Set</t>
        </is>
      </c>
      <c r="F631" s="3" t="n">
        <v>149.95</v>
      </c>
      <c r="G631" s="4" t="n">
        <v>0.057</v>
      </c>
      <c r="H631" s="3" t="n">
        <v>141.4</v>
      </c>
      <c r="I631" s="3" t="n">
        <v>8908.200000000001</v>
      </c>
      <c r="J631" s="3" t="n">
        <v>90.26000000000001</v>
      </c>
      <c r="K631" s="3" t="n">
        <v>5686.38</v>
      </c>
      <c r="L631" s="3" t="n">
        <v>3221.82</v>
      </c>
      <c r="M631" s="4" t="n">
        <v>0.3617</v>
      </c>
    </row>
    <row r="632">
      <c r="A632" s="2" t="inlineStr">
        <is>
          <t>SKL-00631</t>
        </is>
      </c>
      <c r="B632" s="2" t="inlineStr">
        <is>
          <t>SIP-0169</t>
        </is>
      </c>
      <c r="C632" s="2" t="inlineStr">
        <is>
          <t>FLAIZO-012</t>
        </is>
      </c>
      <c r="D632" s="5" t="n">
        <v>24</v>
      </c>
      <c r="E632" s="2" t="inlineStr">
        <is>
          <t>Set</t>
        </is>
      </c>
      <c r="F632" s="3" t="n">
        <v>49.27</v>
      </c>
      <c r="G632" s="4" t="n">
        <v>0.0704</v>
      </c>
      <c r="H632" s="3" t="n">
        <v>45.8</v>
      </c>
      <c r="I632" s="3" t="n">
        <v>1099.2</v>
      </c>
      <c r="J632" s="3" t="n">
        <v>30.33</v>
      </c>
      <c r="K632" s="3" t="n">
        <v>727.92</v>
      </c>
      <c r="L632" s="3" t="n">
        <v>371.28</v>
      </c>
      <c r="M632" s="4" t="n">
        <v>0.3378</v>
      </c>
    </row>
    <row r="633">
      <c r="A633" s="2" t="inlineStr">
        <is>
          <t>SKL-00632</t>
        </is>
      </c>
      <c r="B633" s="2" t="inlineStr">
        <is>
          <t>SIP-0169</t>
        </is>
      </c>
      <c r="C633" s="2" t="inlineStr">
        <is>
          <t>FLAIZO-015</t>
        </is>
      </c>
      <c r="D633" s="5" t="n">
        <v>19</v>
      </c>
      <c r="E633" s="2" t="inlineStr">
        <is>
          <t>Set</t>
        </is>
      </c>
      <c r="F633" s="3" t="n">
        <v>177.44</v>
      </c>
      <c r="G633" s="4" t="n">
        <v>0.06619999999999999</v>
      </c>
      <c r="H633" s="3" t="n">
        <v>165.69</v>
      </c>
      <c r="I633" s="3" t="n">
        <v>3148.11</v>
      </c>
      <c r="J633" s="3" t="n">
        <v>94.38</v>
      </c>
      <c r="K633" s="3" t="n">
        <v>1793.22</v>
      </c>
      <c r="L633" s="3" t="n">
        <v>1354.89</v>
      </c>
      <c r="M633" s="4" t="n">
        <v>0.4304</v>
      </c>
    </row>
    <row r="634">
      <c r="A634" s="2" t="inlineStr">
        <is>
          <t>SKL-00633</t>
        </is>
      </c>
      <c r="B634" s="2" t="inlineStr">
        <is>
          <t>SIP-0169</t>
        </is>
      </c>
      <c r="C634" s="2" t="inlineStr">
        <is>
          <t>FLAIZO-015</t>
        </is>
      </c>
      <c r="D634" s="5" t="n">
        <v>62</v>
      </c>
      <c r="E634" s="2" t="inlineStr">
        <is>
          <t>Set</t>
        </is>
      </c>
      <c r="F634" s="3" t="n">
        <v>164.63</v>
      </c>
      <c r="G634" s="4" t="n">
        <v>0.0621</v>
      </c>
      <c r="H634" s="3" t="n">
        <v>154.41</v>
      </c>
      <c r="I634" s="3" t="n">
        <v>9573.42</v>
      </c>
      <c r="J634" s="3" t="n">
        <v>94.38</v>
      </c>
      <c r="K634" s="3" t="n">
        <v>5851.56</v>
      </c>
      <c r="L634" s="3" t="n">
        <v>3721.86</v>
      </c>
      <c r="M634" s="4" t="n">
        <v>0.3888</v>
      </c>
    </row>
    <row r="635">
      <c r="A635" s="2" t="inlineStr">
        <is>
          <t>SKL-00634</t>
        </is>
      </c>
      <c r="B635" s="2" t="inlineStr">
        <is>
          <t>SIP-0169</t>
        </is>
      </c>
      <c r="C635" s="2" t="inlineStr">
        <is>
          <t>PROTAN-009</t>
        </is>
      </c>
      <c r="D635" s="5" t="n">
        <v>1</v>
      </c>
      <c r="E635" s="2" t="inlineStr">
        <is>
          <t>Adet</t>
        </is>
      </c>
      <c r="F635" s="3" t="n">
        <v>14958.38</v>
      </c>
      <c r="G635" s="4" t="n">
        <v>0.0271</v>
      </c>
      <c r="H635" s="3" t="n">
        <v>14553.01</v>
      </c>
      <c r="I635" s="3" t="n">
        <v>14553.01</v>
      </c>
      <c r="J635" s="3" t="n">
        <v>12443.59</v>
      </c>
      <c r="K635" s="3" t="n">
        <v>12443.59</v>
      </c>
      <c r="L635" s="3" t="n">
        <v>2109.42</v>
      </c>
      <c r="M635" s="4" t="n">
        <v>0.1449</v>
      </c>
    </row>
    <row r="636">
      <c r="A636" s="2" t="inlineStr">
        <is>
          <t>SKL-00635</t>
        </is>
      </c>
      <c r="B636" s="2" t="inlineStr">
        <is>
          <t>SIP-0170</t>
        </is>
      </c>
      <c r="C636" s="2" t="inlineStr">
        <is>
          <t>FLAIZO-007</t>
        </is>
      </c>
      <c r="D636" s="5" t="n">
        <v>80</v>
      </c>
      <c r="E636" s="2" t="inlineStr">
        <is>
          <t>Set</t>
        </is>
      </c>
      <c r="F636" s="3" t="n">
        <v>126.86</v>
      </c>
      <c r="G636" s="4" t="n">
        <v>0.0104</v>
      </c>
      <c r="H636" s="3" t="n">
        <v>125.54</v>
      </c>
      <c r="I636" s="3" t="n">
        <v>10043.2</v>
      </c>
      <c r="J636" s="3" t="n">
        <v>70.09</v>
      </c>
      <c r="K636" s="3" t="n">
        <v>5607.2</v>
      </c>
      <c r="L636" s="3" t="n">
        <v>4436</v>
      </c>
      <c r="M636" s="4" t="n">
        <v>0.4417</v>
      </c>
    </row>
    <row r="637">
      <c r="A637" s="2" t="inlineStr">
        <is>
          <t>SKL-00636</t>
        </is>
      </c>
      <c r="B637" s="2" t="inlineStr">
        <is>
          <t>SIP-0170</t>
        </is>
      </c>
      <c r="C637" s="2" t="inlineStr">
        <is>
          <t>KAR/-008</t>
        </is>
      </c>
      <c r="D637" s="5" t="n">
        <v>3</v>
      </c>
      <c r="E637" s="2" t="inlineStr">
        <is>
          <t>Adet</t>
        </is>
      </c>
      <c r="F637" s="3" t="n">
        <v>4354.67</v>
      </c>
      <c r="G637" s="4" t="n">
        <v>0.1056</v>
      </c>
      <c r="H637" s="3" t="n">
        <v>3894.82</v>
      </c>
      <c r="I637" s="3" t="n">
        <v>11684.46</v>
      </c>
      <c r="J637" s="3" t="n">
        <v>3361.51</v>
      </c>
      <c r="K637" s="3" t="n">
        <v>10084.53</v>
      </c>
      <c r="L637" s="3" t="n">
        <v>1599.93</v>
      </c>
      <c r="M637" s="4" t="n">
        <v>0.1369</v>
      </c>
    </row>
    <row r="638">
      <c r="A638" s="2" t="inlineStr">
        <is>
          <t>SKL-00637</t>
        </is>
      </c>
      <c r="B638" s="2" t="inlineStr">
        <is>
          <t>SIP-0170</t>
        </is>
      </c>
      <c r="C638" s="2" t="inlineStr">
        <is>
          <t>KAR/-007</t>
        </is>
      </c>
      <c r="D638" s="5" t="n">
        <v>4</v>
      </c>
      <c r="E638" s="2" t="inlineStr">
        <is>
          <t>Adet</t>
        </is>
      </c>
      <c r="F638" s="3" t="n">
        <v>13090.64</v>
      </c>
      <c r="G638" s="4" t="n">
        <v>0.0343</v>
      </c>
      <c r="H638" s="3" t="n">
        <v>12641.63</v>
      </c>
      <c r="I638" s="3" t="n">
        <v>50566.52</v>
      </c>
      <c r="J638" s="3" t="n">
        <v>9087.459999999999</v>
      </c>
      <c r="K638" s="3" t="n">
        <v>36349.84</v>
      </c>
      <c r="L638" s="3" t="n">
        <v>14216.68</v>
      </c>
      <c r="M638" s="4" t="n">
        <v>0.2811</v>
      </c>
    </row>
    <row r="639">
      <c r="A639" s="2" t="inlineStr">
        <is>
          <t>SKL-00638</t>
        </is>
      </c>
      <c r="B639" s="2" t="inlineStr">
        <is>
          <t>SIP-0170</t>
        </is>
      </c>
      <c r="C639" s="2" t="inlineStr">
        <is>
          <t>ENDVAN-004</t>
        </is>
      </c>
      <c r="D639" s="5" t="n">
        <v>6</v>
      </c>
      <c r="E639" s="2" t="inlineStr">
        <is>
          <t>Adet</t>
        </is>
      </c>
      <c r="F639" s="3" t="n">
        <v>305.27</v>
      </c>
      <c r="G639" s="4" t="n">
        <v>0.0186</v>
      </c>
      <c r="H639" s="3" t="n">
        <v>299.59</v>
      </c>
      <c r="I639" s="3" t="n">
        <v>1797.54</v>
      </c>
      <c r="J639" s="3" t="n">
        <v>212.53</v>
      </c>
      <c r="K639" s="3" t="n">
        <v>1275.18</v>
      </c>
      <c r="L639" s="3" t="n">
        <v>522.36</v>
      </c>
      <c r="M639" s="4" t="n">
        <v>0.2906</v>
      </c>
    </row>
    <row r="640">
      <c r="A640" s="2" t="inlineStr">
        <is>
          <t>SKL-00639</t>
        </is>
      </c>
      <c r="B640" s="2" t="inlineStr">
        <is>
          <t>SIP-0170</t>
        </is>
      </c>
      <c r="C640" s="2" t="inlineStr">
        <is>
          <t>ENDVAN-028</t>
        </is>
      </c>
      <c r="D640" s="5" t="n">
        <v>3</v>
      </c>
      <c r="E640" s="2" t="inlineStr">
        <is>
          <t>Adet</t>
        </is>
      </c>
      <c r="F640" s="3" t="n">
        <v>1181.28</v>
      </c>
      <c r="G640" s="4" t="n">
        <v>0.0857</v>
      </c>
      <c r="H640" s="3" t="n">
        <v>1080.04</v>
      </c>
      <c r="I640" s="3" t="n">
        <v>3240.12</v>
      </c>
      <c r="J640" s="3" t="n">
        <v>812.05</v>
      </c>
      <c r="K640" s="3" t="n">
        <v>2436.15</v>
      </c>
      <c r="L640" s="3" t="n">
        <v>803.97</v>
      </c>
      <c r="M640" s="4" t="n">
        <v>0.2481</v>
      </c>
    </row>
    <row r="641">
      <c r="A641" s="2" t="inlineStr">
        <is>
          <t>SKL-00640</t>
        </is>
      </c>
      <c r="B641" s="2" t="inlineStr">
        <is>
          <t>SIP-0170</t>
        </is>
      </c>
      <c r="C641" s="2" t="inlineStr">
        <is>
          <t>FLAIZO-009</t>
        </is>
      </c>
      <c r="D641" s="5" t="n">
        <v>12</v>
      </c>
      <c r="E641" s="2" t="inlineStr">
        <is>
          <t>Set</t>
        </is>
      </c>
      <c r="F641" s="3" t="n">
        <v>220.17</v>
      </c>
      <c r="G641" s="4" t="n">
        <v>0.0187</v>
      </c>
      <c r="H641" s="3" t="n">
        <v>216.05</v>
      </c>
      <c r="I641" s="3" t="n">
        <v>2592.6</v>
      </c>
      <c r="J641" s="3" t="n">
        <v>127.08</v>
      </c>
      <c r="K641" s="3" t="n">
        <v>1524.96</v>
      </c>
      <c r="L641" s="3" t="n">
        <v>1067.64</v>
      </c>
      <c r="M641" s="4" t="n">
        <v>0.4118</v>
      </c>
    </row>
    <row r="642">
      <c r="A642" s="2" t="inlineStr">
        <is>
          <t>SKL-00641</t>
        </is>
      </c>
      <c r="B642" s="2" t="inlineStr">
        <is>
          <t>SIP-0170</t>
        </is>
      </c>
      <c r="C642" s="2" t="inlineStr">
        <is>
          <t>ENDVAN-001</t>
        </is>
      </c>
      <c r="D642" s="5" t="n">
        <v>5</v>
      </c>
      <c r="E642" s="2" t="inlineStr">
        <is>
          <t>Adet</t>
        </is>
      </c>
      <c r="F642" s="3" t="n">
        <v>268.81</v>
      </c>
      <c r="G642" s="4" t="n">
        <v>0.0242</v>
      </c>
      <c r="H642" s="3" t="n">
        <v>262.3</v>
      </c>
      <c r="I642" s="3" t="n">
        <v>1311.5</v>
      </c>
      <c r="J642" s="3" t="n">
        <v>192.02</v>
      </c>
      <c r="K642" s="3" t="n">
        <v>960.1</v>
      </c>
      <c r="L642" s="3" t="n">
        <v>351.4</v>
      </c>
      <c r="M642" s="4" t="n">
        <v>0.2679</v>
      </c>
    </row>
    <row r="643">
      <c r="A643" s="2" t="inlineStr">
        <is>
          <t>SKL-00642</t>
        </is>
      </c>
      <c r="B643" s="2" t="inlineStr">
        <is>
          <t>SIP-0170</t>
        </is>
      </c>
      <c r="C643" s="2" t="inlineStr">
        <is>
          <t>KAR/-003</t>
        </is>
      </c>
      <c r="D643" s="5" t="n">
        <v>1</v>
      </c>
      <c r="E643" s="2" t="inlineStr">
        <is>
          <t>Adet</t>
        </is>
      </c>
      <c r="F643" s="3" t="n">
        <v>4500.61</v>
      </c>
      <c r="G643" s="4" t="n">
        <v>0.0286</v>
      </c>
      <c r="H643" s="3" t="n">
        <v>4371.89</v>
      </c>
      <c r="I643" s="3" t="n">
        <v>4371.89</v>
      </c>
      <c r="J643" s="3" t="n">
        <v>3349.2</v>
      </c>
      <c r="K643" s="3" t="n">
        <v>3349.2</v>
      </c>
      <c r="L643" s="3" t="n">
        <v>1022.69</v>
      </c>
      <c r="M643" s="4" t="n">
        <v>0.2339</v>
      </c>
    </row>
    <row r="644">
      <c r="A644" s="2" t="inlineStr">
        <is>
          <t>SKL-00643</t>
        </is>
      </c>
      <c r="B644" s="2" t="inlineStr">
        <is>
          <t>SIP-0171</t>
        </is>
      </c>
      <c r="C644" s="2" t="inlineStr">
        <is>
          <t>ENDVAN-024</t>
        </is>
      </c>
      <c r="D644" s="5" t="n">
        <v>9</v>
      </c>
      <c r="E644" s="2" t="inlineStr">
        <is>
          <t>Adet</t>
        </is>
      </c>
      <c r="F644" s="3" t="n">
        <v>1712.5</v>
      </c>
      <c r="G644" s="4" t="n">
        <v>0.06270000000000001</v>
      </c>
      <c r="H644" s="3" t="n">
        <v>1605.13</v>
      </c>
      <c r="I644" s="3" t="n">
        <v>14446.17</v>
      </c>
      <c r="J644" s="3" t="n">
        <v>1156.64</v>
      </c>
      <c r="K644" s="3" t="n">
        <v>10409.76</v>
      </c>
      <c r="L644" s="3" t="n">
        <v>4036.41</v>
      </c>
      <c r="M644" s="4" t="n">
        <v>0.2794</v>
      </c>
    </row>
    <row r="645">
      <c r="A645" s="2" t="inlineStr">
        <is>
          <t>SKL-00644</t>
        </is>
      </c>
      <c r="B645" s="2" t="inlineStr">
        <is>
          <t>SIP-0171</t>
        </is>
      </c>
      <c r="C645" s="2" t="inlineStr">
        <is>
          <t>ENDVAN-013</t>
        </is>
      </c>
      <c r="D645" s="5" t="n">
        <v>18</v>
      </c>
      <c r="E645" s="2" t="inlineStr">
        <is>
          <t>Adet</t>
        </is>
      </c>
      <c r="F645" s="3" t="n">
        <v>1535.11</v>
      </c>
      <c r="G645" s="4" t="n">
        <v>0.09429999999999999</v>
      </c>
      <c r="H645" s="3" t="n">
        <v>1390.35</v>
      </c>
      <c r="I645" s="3" t="n">
        <v>25026.3</v>
      </c>
      <c r="J645" s="3" t="n">
        <v>1133.86</v>
      </c>
      <c r="K645" s="3" t="n">
        <v>20409.48</v>
      </c>
      <c r="L645" s="3" t="n">
        <v>4616.82</v>
      </c>
      <c r="M645" s="4" t="n">
        <v>0.1845</v>
      </c>
    </row>
    <row r="646">
      <c r="A646" s="2" t="inlineStr">
        <is>
          <t>SKL-00645</t>
        </is>
      </c>
      <c r="B646" s="2" t="inlineStr">
        <is>
          <t>SIP-0171</t>
        </is>
      </c>
      <c r="C646" s="2" t="inlineStr">
        <is>
          <t>ENDVAN-032</t>
        </is>
      </c>
      <c r="D646" s="5" t="n">
        <v>6</v>
      </c>
      <c r="E646" s="2" t="inlineStr">
        <is>
          <t>Adet</t>
        </is>
      </c>
      <c r="F646" s="3" t="n">
        <v>988.8</v>
      </c>
      <c r="G646" s="4" t="n">
        <v>0.0051</v>
      </c>
      <c r="H646" s="3" t="n">
        <v>983.76</v>
      </c>
      <c r="I646" s="3" t="n">
        <v>5902.56</v>
      </c>
      <c r="J646" s="3" t="n">
        <v>641.8099999999999</v>
      </c>
      <c r="K646" s="3" t="n">
        <v>3850.86</v>
      </c>
      <c r="L646" s="3" t="n">
        <v>2051.7</v>
      </c>
      <c r="M646" s="4" t="n">
        <v>0.3476</v>
      </c>
    </row>
    <row r="647">
      <c r="A647" s="2" t="inlineStr">
        <is>
          <t>SKL-00646</t>
        </is>
      </c>
      <c r="B647" s="2" t="inlineStr">
        <is>
          <t>SIP-0171</t>
        </is>
      </c>
      <c r="C647" s="2" t="inlineStr">
        <is>
          <t>MEKSIZ-005</t>
        </is>
      </c>
      <c r="D647" s="5" t="n">
        <v>18</v>
      </c>
      <c r="E647" s="2" t="inlineStr">
        <is>
          <t>Adet</t>
        </is>
      </c>
      <c r="F647" s="3" t="n">
        <v>647.9</v>
      </c>
      <c r="G647" s="4" t="n">
        <v>0.0766</v>
      </c>
      <c r="H647" s="3" t="n">
        <v>598.27</v>
      </c>
      <c r="I647" s="3" t="n">
        <v>10768.86</v>
      </c>
      <c r="J647" s="3" t="n">
        <v>370.26</v>
      </c>
      <c r="K647" s="3" t="n">
        <v>6664.68</v>
      </c>
      <c r="L647" s="3" t="n">
        <v>4104.18</v>
      </c>
      <c r="M647" s="4" t="n">
        <v>0.3811</v>
      </c>
    </row>
    <row r="648">
      <c r="A648" s="2" t="inlineStr">
        <is>
          <t>SKL-00647</t>
        </is>
      </c>
      <c r="B648" s="2" t="inlineStr">
        <is>
          <t>SIP-0171</t>
        </is>
      </c>
      <c r="C648" s="2" t="inlineStr">
        <is>
          <t>FLAIZO-009</t>
        </is>
      </c>
      <c r="D648" s="5" t="n">
        <v>80</v>
      </c>
      <c r="E648" s="2" t="inlineStr">
        <is>
          <t>Set</t>
        </is>
      </c>
      <c r="F648" s="3" t="n">
        <v>202.72</v>
      </c>
      <c r="G648" s="4" t="n">
        <v>0.0523</v>
      </c>
      <c r="H648" s="3" t="n">
        <v>192.12</v>
      </c>
      <c r="I648" s="3" t="n">
        <v>15369.6</v>
      </c>
      <c r="J648" s="3" t="n">
        <v>127.08</v>
      </c>
      <c r="K648" s="3" t="n">
        <v>10166.4</v>
      </c>
      <c r="L648" s="3" t="n">
        <v>5203.2</v>
      </c>
      <c r="M648" s="4" t="n">
        <v>0.3385</v>
      </c>
    </row>
    <row r="649">
      <c r="A649" s="2" t="inlineStr">
        <is>
          <t>SKL-00648</t>
        </is>
      </c>
      <c r="B649" s="2" t="inlineStr">
        <is>
          <t>SIP-0172</t>
        </is>
      </c>
      <c r="C649" s="2" t="inlineStr">
        <is>
          <t>MEKSIZ-007</t>
        </is>
      </c>
      <c r="D649" s="5" t="n">
        <v>10</v>
      </c>
      <c r="E649" s="2" t="inlineStr">
        <is>
          <t>Adet</t>
        </is>
      </c>
      <c r="F649" s="3" t="n">
        <v>499.98</v>
      </c>
      <c r="G649" s="4" t="n">
        <v>0.1029</v>
      </c>
      <c r="H649" s="3" t="n">
        <v>448.53</v>
      </c>
      <c r="I649" s="3" t="n">
        <v>4485.3</v>
      </c>
      <c r="J649" s="3" t="n">
        <v>301.85</v>
      </c>
      <c r="K649" s="3" t="n">
        <v>3018.5</v>
      </c>
      <c r="L649" s="3" t="n">
        <v>1466.8</v>
      </c>
      <c r="M649" s="4" t="n">
        <v>0.327</v>
      </c>
    </row>
    <row r="650">
      <c r="A650" s="2" t="inlineStr">
        <is>
          <t>SKL-00649</t>
        </is>
      </c>
      <c r="B650" s="2" t="inlineStr">
        <is>
          <t>SIP-0172</t>
        </is>
      </c>
      <c r="C650" s="2" t="inlineStr">
        <is>
          <t>FLAIZO-009</t>
        </is>
      </c>
      <c r="D650" s="5" t="n">
        <v>59</v>
      </c>
      <c r="E650" s="2" t="inlineStr">
        <is>
          <t>Set</t>
        </is>
      </c>
      <c r="F650" s="3" t="n">
        <v>208.47</v>
      </c>
      <c r="G650" s="4" t="n">
        <v>0.0954</v>
      </c>
      <c r="H650" s="3" t="n">
        <v>188.58</v>
      </c>
      <c r="I650" s="3" t="n">
        <v>11126.22</v>
      </c>
      <c r="J650" s="3" t="n">
        <v>127.08</v>
      </c>
      <c r="K650" s="3" t="n">
        <v>7497.72</v>
      </c>
      <c r="L650" s="3" t="n">
        <v>3628.5</v>
      </c>
      <c r="M650" s="4" t="n">
        <v>0.3261</v>
      </c>
    </row>
    <row r="651">
      <c r="A651" s="2" t="inlineStr">
        <is>
          <t>SKL-00650</t>
        </is>
      </c>
      <c r="B651" s="2" t="inlineStr">
        <is>
          <t>SIP-0172</t>
        </is>
      </c>
      <c r="C651" s="2" t="inlineStr">
        <is>
          <t>MEKSIZ-011</t>
        </is>
      </c>
      <c r="D651" s="5" t="n">
        <v>17</v>
      </c>
      <c r="E651" s="2" t="inlineStr">
        <is>
          <t>Adet</t>
        </is>
      </c>
      <c r="F651" s="3" t="n">
        <v>441.48</v>
      </c>
      <c r="G651" s="4" t="n">
        <v>0.042</v>
      </c>
      <c r="H651" s="3" t="n">
        <v>422.94</v>
      </c>
      <c r="I651" s="3" t="n">
        <v>7189.98</v>
      </c>
      <c r="J651" s="3" t="n">
        <v>258.54</v>
      </c>
      <c r="K651" s="3" t="n">
        <v>4395.18</v>
      </c>
      <c r="L651" s="3" t="n">
        <v>2794.8</v>
      </c>
      <c r="M651" s="4" t="n">
        <v>0.3887</v>
      </c>
    </row>
    <row r="652">
      <c r="A652" s="2" t="inlineStr">
        <is>
          <t>SKL-00651</t>
        </is>
      </c>
      <c r="B652" s="2" t="inlineStr">
        <is>
          <t>SIP-0172</t>
        </is>
      </c>
      <c r="C652" s="2" t="inlineStr">
        <is>
          <t>ENDVAN-010</t>
        </is>
      </c>
      <c r="D652" s="5" t="n">
        <v>12</v>
      </c>
      <c r="E652" s="2" t="inlineStr">
        <is>
          <t>Adet</t>
        </is>
      </c>
      <c r="F652" s="3" t="n">
        <v>1130.53</v>
      </c>
      <c r="G652" s="4" t="n">
        <v>0.0086</v>
      </c>
      <c r="H652" s="3" t="n">
        <v>1120.81</v>
      </c>
      <c r="I652" s="3" t="n">
        <v>13449.72</v>
      </c>
      <c r="J652" s="3" t="n">
        <v>891.17</v>
      </c>
      <c r="K652" s="3" t="n">
        <v>10694.04</v>
      </c>
      <c r="L652" s="3" t="n">
        <v>2755.68</v>
      </c>
      <c r="M652" s="4" t="n">
        <v>0.2049</v>
      </c>
    </row>
    <row r="653">
      <c r="A653" s="2" t="inlineStr">
        <is>
          <t>SKL-00652</t>
        </is>
      </c>
      <c r="B653" s="2" t="inlineStr">
        <is>
          <t>SIP-0173</t>
        </is>
      </c>
      <c r="C653" s="2" t="inlineStr">
        <is>
          <t>ENDVAN-032</t>
        </is>
      </c>
      <c r="D653" s="5" t="n">
        <v>5</v>
      </c>
      <c r="E653" s="2" t="inlineStr">
        <is>
          <t>Adet</t>
        </is>
      </c>
      <c r="F653" s="3" t="n">
        <v>940.47</v>
      </c>
      <c r="G653" s="4" t="n">
        <v>0.0556</v>
      </c>
      <c r="H653" s="3" t="n">
        <v>888.1799999999999</v>
      </c>
      <c r="I653" s="3" t="n">
        <v>4440.9</v>
      </c>
      <c r="J653" s="3" t="n">
        <v>641.8099999999999</v>
      </c>
      <c r="K653" s="3" t="n">
        <v>3209.05</v>
      </c>
      <c r="L653" s="3" t="n">
        <v>1231.85</v>
      </c>
      <c r="M653" s="4" t="n">
        <v>0.2774</v>
      </c>
    </row>
    <row r="654">
      <c r="A654" s="2" t="inlineStr">
        <is>
          <t>SKL-00653</t>
        </is>
      </c>
      <c r="B654" s="2" t="inlineStr">
        <is>
          <t>SIP-0173</t>
        </is>
      </c>
      <c r="C654" s="2" t="inlineStr">
        <is>
          <t>ENDVAN-015</t>
        </is>
      </c>
      <c r="D654" s="5" t="n">
        <v>3</v>
      </c>
      <c r="E654" s="2" t="inlineStr">
        <is>
          <t>Adet</t>
        </is>
      </c>
      <c r="F654" s="3" t="n">
        <v>1630.18</v>
      </c>
      <c r="G654" s="4" t="n">
        <v>0.0951</v>
      </c>
      <c r="H654" s="3" t="n">
        <v>1475.15</v>
      </c>
      <c r="I654" s="3" t="n">
        <v>4425.45</v>
      </c>
      <c r="J654" s="3" t="n">
        <v>1019.05</v>
      </c>
      <c r="K654" s="3" t="n">
        <v>3057.15</v>
      </c>
      <c r="L654" s="3" t="n">
        <v>1368.3</v>
      </c>
      <c r="M654" s="4" t="n">
        <v>0.3092</v>
      </c>
    </row>
    <row r="655">
      <c r="A655" s="2" t="inlineStr">
        <is>
          <t>SKL-00654</t>
        </is>
      </c>
      <c r="B655" s="2" t="inlineStr">
        <is>
          <t>SIP-0173</t>
        </is>
      </c>
      <c r="C655" s="2" t="inlineStr">
        <is>
          <t>ENDVAN-010</t>
        </is>
      </c>
      <c r="D655" s="5" t="n">
        <v>6</v>
      </c>
      <c r="E655" s="2" t="inlineStr">
        <is>
          <t>Adet</t>
        </is>
      </c>
      <c r="F655" s="3" t="n">
        <v>1195.09</v>
      </c>
      <c r="G655" s="4" t="n">
        <v>0.0985</v>
      </c>
      <c r="H655" s="3" t="n">
        <v>1077.37</v>
      </c>
      <c r="I655" s="3" t="n">
        <v>6464.22</v>
      </c>
      <c r="J655" s="3" t="n">
        <v>891.17</v>
      </c>
      <c r="K655" s="3" t="n">
        <v>5347.02</v>
      </c>
      <c r="L655" s="3" t="n">
        <v>1117.2</v>
      </c>
      <c r="M655" s="4" t="n">
        <v>0.1728</v>
      </c>
    </row>
    <row r="656">
      <c r="A656" s="2" t="inlineStr">
        <is>
          <t>SKL-00655</t>
        </is>
      </c>
      <c r="B656" s="2" t="inlineStr">
        <is>
          <t>SIP-0174</t>
        </is>
      </c>
      <c r="C656" s="2" t="inlineStr">
        <is>
          <t>KAR/-005</t>
        </is>
      </c>
      <c r="D656" s="5" t="n">
        <v>2</v>
      </c>
      <c r="E656" s="2" t="inlineStr">
        <is>
          <t>Adet</t>
        </is>
      </c>
      <c r="F656" s="3" t="n">
        <v>4614.33</v>
      </c>
      <c r="G656" s="4" t="n">
        <v>0.0393</v>
      </c>
      <c r="H656" s="3" t="n">
        <v>4432.99</v>
      </c>
      <c r="I656" s="3" t="n">
        <v>8865.98</v>
      </c>
      <c r="J656" s="3" t="n">
        <v>3490.84</v>
      </c>
      <c r="K656" s="3" t="n">
        <v>6981.68</v>
      </c>
      <c r="L656" s="3" t="n">
        <v>1884.3</v>
      </c>
      <c r="M656" s="4" t="n">
        <v>0.2125</v>
      </c>
    </row>
    <row r="657">
      <c r="A657" s="2" t="inlineStr">
        <is>
          <t>SKL-00656</t>
        </is>
      </c>
      <c r="B657" s="2" t="inlineStr">
        <is>
          <t>SIP-0174</t>
        </is>
      </c>
      <c r="C657" s="2" t="inlineStr">
        <is>
          <t>ENDVAN-009</t>
        </is>
      </c>
      <c r="D657" s="5" t="n">
        <v>10</v>
      </c>
      <c r="E657" s="2" t="inlineStr">
        <is>
          <t>Adet</t>
        </is>
      </c>
      <c r="F657" s="3" t="n">
        <v>578.27</v>
      </c>
      <c r="G657" s="4" t="n">
        <v>0.08459999999999999</v>
      </c>
      <c r="H657" s="3" t="n">
        <v>529.35</v>
      </c>
      <c r="I657" s="3" t="n">
        <v>5293.5</v>
      </c>
      <c r="J657" s="3" t="n">
        <v>411.64</v>
      </c>
      <c r="K657" s="3" t="n">
        <v>4116.4</v>
      </c>
      <c r="L657" s="3" t="n">
        <v>1177.1</v>
      </c>
      <c r="M657" s="4" t="n">
        <v>0.2224</v>
      </c>
    </row>
    <row r="658">
      <c r="A658" s="2" t="inlineStr">
        <is>
          <t>SKL-00657</t>
        </is>
      </c>
      <c r="B658" s="2" t="inlineStr">
        <is>
          <t>SIP-0174</t>
        </is>
      </c>
      <c r="C658" s="2" t="inlineStr">
        <is>
          <t>PROTAN-007</t>
        </is>
      </c>
      <c r="D658" s="5" t="n">
        <v>1</v>
      </c>
      <c r="E658" s="2" t="inlineStr">
        <is>
          <t>Adet</t>
        </is>
      </c>
      <c r="F658" s="3" t="n">
        <v>16021.03</v>
      </c>
      <c r="G658" s="4" t="n">
        <v>0.0239</v>
      </c>
      <c r="H658" s="3" t="n">
        <v>15638.13</v>
      </c>
      <c r="I658" s="3" t="n">
        <v>15638.13</v>
      </c>
      <c r="J658" s="3" t="n">
        <v>12517.98</v>
      </c>
      <c r="K658" s="3" t="n">
        <v>12517.98</v>
      </c>
      <c r="L658" s="3" t="n">
        <v>3120.15</v>
      </c>
      <c r="M658" s="4" t="n">
        <v>0.1995</v>
      </c>
    </row>
    <row r="659">
      <c r="A659" s="2" t="inlineStr">
        <is>
          <t>SKL-00658</t>
        </is>
      </c>
      <c r="B659" s="2" t="inlineStr">
        <is>
          <t>SIP-0174</t>
        </is>
      </c>
      <c r="C659" s="2" t="inlineStr">
        <is>
          <t>KAR/-006</t>
        </is>
      </c>
      <c r="D659" s="5" t="n">
        <v>4</v>
      </c>
      <c r="E659" s="2" t="inlineStr">
        <is>
          <t>Adet</t>
        </is>
      </c>
      <c r="F659" s="3" t="n">
        <v>4950.29</v>
      </c>
      <c r="G659" s="4" t="n">
        <v>0.08110000000000001</v>
      </c>
      <c r="H659" s="3" t="n">
        <v>4548.82</v>
      </c>
      <c r="I659" s="3" t="n">
        <v>18195.28</v>
      </c>
      <c r="J659" s="3" t="n">
        <v>3681.11</v>
      </c>
      <c r="K659" s="3" t="n">
        <v>14724.44</v>
      </c>
      <c r="L659" s="3" t="n">
        <v>3470.84</v>
      </c>
      <c r="M659" s="4" t="n">
        <v>0.1908</v>
      </c>
    </row>
    <row r="660">
      <c r="A660" s="2" t="inlineStr">
        <is>
          <t>SKL-00659</t>
        </is>
      </c>
      <c r="B660" s="2" t="inlineStr">
        <is>
          <t>SIP-0175</t>
        </is>
      </c>
      <c r="C660" s="2" t="inlineStr">
        <is>
          <t>ENDVAN-008</t>
        </is>
      </c>
      <c r="D660" s="5" t="n">
        <v>16</v>
      </c>
      <c r="E660" s="2" t="inlineStr">
        <is>
          <t>Adet</t>
        </is>
      </c>
      <c r="F660" s="3" t="n">
        <v>542.3099999999999</v>
      </c>
      <c r="G660" s="4" t="n">
        <v>0.0486</v>
      </c>
      <c r="H660" s="3" t="n">
        <v>515.95</v>
      </c>
      <c r="I660" s="3" t="n">
        <v>8255.200000000001</v>
      </c>
      <c r="J660" s="3" t="n">
        <v>429.42</v>
      </c>
      <c r="K660" s="3" t="n">
        <v>6870.72</v>
      </c>
      <c r="L660" s="3" t="n">
        <v>1384.48</v>
      </c>
      <c r="M660" s="4" t="n">
        <v>0.1677</v>
      </c>
    </row>
    <row r="661">
      <c r="A661" s="2" t="inlineStr">
        <is>
          <t>SKL-00660</t>
        </is>
      </c>
      <c r="B661" s="2" t="inlineStr">
        <is>
          <t>SIP-0175</t>
        </is>
      </c>
      <c r="C661" s="2" t="inlineStr">
        <is>
          <t>YAREND-013</t>
        </is>
      </c>
      <c r="D661" s="5" t="n">
        <v>3</v>
      </c>
      <c r="E661" s="2" t="inlineStr">
        <is>
          <t>Adet</t>
        </is>
      </c>
      <c r="F661" s="3" t="n">
        <v>550.79</v>
      </c>
      <c r="G661" s="4" t="n">
        <v>0.0061</v>
      </c>
      <c r="H661" s="3" t="n">
        <v>547.4299999999999</v>
      </c>
      <c r="I661" s="3" t="n">
        <v>1642.29</v>
      </c>
      <c r="J661" s="3" t="n">
        <v>387.77</v>
      </c>
      <c r="K661" s="3" t="n">
        <v>1163.31</v>
      </c>
      <c r="L661" s="3" t="n">
        <v>478.98</v>
      </c>
      <c r="M661" s="4" t="n">
        <v>0.2917</v>
      </c>
    </row>
    <row r="662">
      <c r="A662" s="2" t="inlineStr">
        <is>
          <t>SKL-00661</t>
        </is>
      </c>
      <c r="B662" s="2" t="inlineStr">
        <is>
          <t>SIP-0175</t>
        </is>
      </c>
      <c r="C662" s="2" t="inlineStr">
        <is>
          <t>FLAIZO-006</t>
        </is>
      </c>
      <c r="D662" s="5" t="n">
        <v>73</v>
      </c>
      <c r="E662" s="2" t="inlineStr">
        <is>
          <t>Set</t>
        </is>
      </c>
      <c r="F662" s="3" t="n">
        <v>63.41</v>
      </c>
      <c r="G662" s="4" t="n">
        <v>0.09279999999999999</v>
      </c>
      <c r="H662" s="3" t="n">
        <v>57.53</v>
      </c>
      <c r="I662" s="3" t="n">
        <v>4199.69</v>
      </c>
      <c r="J662" s="3" t="n">
        <v>41.17</v>
      </c>
      <c r="K662" s="3" t="n">
        <v>3005.41</v>
      </c>
      <c r="L662" s="3" t="n">
        <v>1194.28</v>
      </c>
      <c r="M662" s="4" t="n">
        <v>0.2844</v>
      </c>
    </row>
    <row r="663">
      <c r="A663" s="2" t="inlineStr">
        <is>
          <t>SKL-00662</t>
        </is>
      </c>
      <c r="B663" s="2" t="inlineStr">
        <is>
          <t>SIP-0175</t>
        </is>
      </c>
      <c r="C663" s="2" t="inlineStr">
        <is>
          <t>YAREND-006</t>
        </is>
      </c>
      <c r="D663" s="5" t="n">
        <v>16</v>
      </c>
      <c r="E663" s="2" t="inlineStr">
        <is>
          <t>Adet</t>
        </is>
      </c>
      <c r="F663" s="3" t="n">
        <v>511.37</v>
      </c>
      <c r="G663" s="4" t="n">
        <v>0.1043</v>
      </c>
      <c r="H663" s="3" t="n">
        <v>458.03</v>
      </c>
      <c r="I663" s="3" t="n">
        <v>7328.48</v>
      </c>
      <c r="J663" s="3" t="n">
        <v>363.57</v>
      </c>
      <c r="K663" s="3" t="n">
        <v>5817.12</v>
      </c>
      <c r="L663" s="3" t="n">
        <v>1511.36</v>
      </c>
      <c r="M663" s="4" t="n">
        <v>0.2062</v>
      </c>
    </row>
    <row r="664">
      <c r="A664" s="2" t="inlineStr">
        <is>
          <t>SKL-00663</t>
        </is>
      </c>
      <c r="B664" s="2" t="inlineStr">
        <is>
          <t>SIP-0175</t>
        </is>
      </c>
      <c r="C664" s="2" t="inlineStr">
        <is>
          <t>FLAIZO-004</t>
        </is>
      </c>
      <c r="D664" s="5" t="n">
        <v>66</v>
      </c>
      <c r="E664" s="2" t="inlineStr">
        <is>
          <t>Set</t>
        </is>
      </c>
      <c r="F664" s="3" t="n">
        <v>48.44</v>
      </c>
      <c r="G664" s="4" t="n">
        <v>0.09710000000000001</v>
      </c>
      <c r="H664" s="3" t="n">
        <v>43.74</v>
      </c>
      <c r="I664" s="3" t="n">
        <v>2886.84</v>
      </c>
      <c r="J664" s="3" t="n">
        <v>25.08</v>
      </c>
      <c r="K664" s="3" t="n">
        <v>1655.28</v>
      </c>
      <c r="L664" s="3" t="n">
        <v>1231.56</v>
      </c>
      <c r="M664" s="4" t="n">
        <v>0.4266</v>
      </c>
    </row>
    <row r="665">
      <c r="A665" s="2" t="inlineStr">
        <is>
          <t>SKL-00664</t>
        </is>
      </c>
      <c r="B665" s="2" t="inlineStr">
        <is>
          <t>SIP-0175</t>
        </is>
      </c>
      <c r="C665" s="2" t="inlineStr">
        <is>
          <t>MEKSIZ-001</t>
        </is>
      </c>
      <c r="D665" s="5" t="n">
        <v>15</v>
      </c>
      <c r="E665" s="2" t="inlineStr">
        <is>
          <t>Adet</t>
        </is>
      </c>
      <c r="F665" s="3" t="n">
        <v>623.1</v>
      </c>
      <c r="G665" s="4" t="n">
        <v>0.0302</v>
      </c>
      <c r="H665" s="3" t="n">
        <v>604.28</v>
      </c>
      <c r="I665" s="3" t="n">
        <v>9064.200000000001</v>
      </c>
      <c r="J665" s="3" t="n">
        <v>372.57</v>
      </c>
      <c r="K665" s="3" t="n">
        <v>5588.55</v>
      </c>
      <c r="L665" s="3" t="n">
        <v>3475.65</v>
      </c>
      <c r="M665" s="4" t="n">
        <v>0.3834</v>
      </c>
    </row>
    <row r="666">
      <c r="A666" s="2" t="inlineStr">
        <is>
          <t>SKL-00665</t>
        </is>
      </c>
      <c r="B666" s="2" t="inlineStr">
        <is>
          <t>SIP-0176</t>
        </is>
      </c>
      <c r="C666" s="2" t="inlineStr">
        <is>
          <t>ENDVAN-006</t>
        </is>
      </c>
      <c r="D666" s="5" t="n">
        <v>14</v>
      </c>
      <c r="E666" s="2" t="inlineStr">
        <is>
          <t>Adet</t>
        </is>
      </c>
      <c r="F666" s="3" t="n">
        <v>1557.59</v>
      </c>
      <c r="G666" s="4" t="n">
        <v>0.0409</v>
      </c>
      <c r="H666" s="3" t="n">
        <v>1493.88</v>
      </c>
      <c r="I666" s="3" t="n">
        <v>20914.32</v>
      </c>
      <c r="J666" s="3" t="n">
        <v>1160.99</v>
      </c>
      <c r="K666" s="3" t="n">
        <v>16253.86</v>
      </c>
      <c r="L666" s="3" t="n">
        <v>4660.46</v>
      </c>
      <c r="M666" s="4" t="n">
        <v>0.2228</v>
      </c>
    </row>
    <row r="667">
      <c r="A667" s="2" t="inlineStr">
        <is>
          <t>SKL-00666</t>
        </is>
      </c>
      <c r="B667" s="2" t="inlineStr">
        <is>
          <t>SIP-0176</t>
        </is>
      </c>
      <c r="C667" s="2" t="inlineStr">
        <is>
          <t>MEKSIZ-003</t>
        </is>
      </c>
      <c r="D667" s="5" t="n">
        <v>18</v>
      </c>
      <c r="E667" s="2" t="inlineStr">
        <is>
          <t>Adet</t>
        </is>
      </c>
      <c r="F667" s="3" t="n">
        <v>523.63</v>
      </c>
      <c r="G667" s="4" t="n">
        <v>0.0579</v>
      </c>
      <c r="H667" s="3" t="n">
        <v>493.31</v>
      </c>
      <c r="I667" s="3" t="n">
        <v>8879.58</v>
      </c>
      <c r="J667" s="3" t="n">
        <v>341.68</v>
      </c>
      <c r="K667" s="3" t="n">
        <v>6150.24</v>
      </c>
      <c r="L667" s="3" t="n">
        <v>2729.34</v>
      </c>
      <c r="M667" s="4" t="n">
        <v>0.3074</v>
      </c>
    </row>
    <row r="668">
      <c r="A668" s="2" t="inlineStr">
        <is>
          <t>SKL-00667</t>
        </is>
      </c>
      <c r="B668" s="2" t="inlineStr">
        <is>
          <t>SIP-0176</t>
        </is>
      </c>
      <c r="C668" s="2" t="inlineStr">
        <is>
          <t>MEKSIZ-004</t>
        </is>
      </c>
      <c r="D668" s="5" t="n">
        <v>15</v>
      </c>
      <c r="E668" s="2" t="inlineStr">
        <is>
          <t>Adet</t>
        </is>
      </c>
      <c r="F668" s="3" t="n">
        <v>267.93</v>
      </c>
      <c r="G668" s="4" t="n">
        <v>0.0638</v>
      </c>
      <c r="H668" s="3" t="n">
        <v>250.84</v>
      </c>
      <c r="I668" s="3" t="n">
        <v>3762.6</v>
      </c>
      <c r="J668" s="3" t="n">
        <v>164.52</v>
      </c>
      <c r="K668" s="3" t="n">
        <v>2467.8</v>
      </c>
      <c r="L668" s="3" t="n">
        <v>1294.8</v>
      </c>
      <c r="M668" s="4" t="n">
        <v>0.3441</v>
      </c>
    </row>
    <row r="669">
      <c r="A669" s="2" t="inlineStr">
        <is>
          <t>SKL-00668</t>
        </is>
      </c>
      <c r="B669" s="2" t="inlineStr">
        <is>
          <t>SIP-0176</t>
        </is>
      </c>
      <c r="C669" s="2" t="inlineStr">
        <is>
          <t>YAREND-007</t>
        </is>
      </c>
      <c r="D669" s="5" t="n">
        <v>17</v>
      </c>
      <c r="E669" s="2" t="inlineStr">
        <is>
          <t>Adet</t>
        </is>
      </c>
      <c r="F669" s="3" t="n">
        <v>652.63</v>
      </c>
      <c r="G669" s="4" t="n">
        <v>0.0009</v>
      </c>
      <c r="H669" s="3" t="n">
        <v>652.04</v>
      </c>
      <c r="I669" s="3" t="n">
        <v>11084.68</v>
      </c>
      <c r="J669" s="3" t="n">
        <v>459.17</v>
      </c>
      <c r="K669" s="3" t="n">
        <v>7805.89</v>
      </c>
      <c r="L669" s="3" t="n">
        <v>3278.79</v>
      </c>
      <c r="M669" s="4" t="n">
        <v>0.2958</v>
      </c>
    </row>
    <row r="670">
      <c r="A670" s="2" t="inlineStr">
        <is>
          <t>SKL-00669</t>
        </is>
      </c>
      <c r="B670" s="2" t="inlineStr">
        <is>
          <t>SIP-0176</t>
        </is>
      </c>
      <c r="C670" s="2" t="inlineStr">
        <is>
          <t>YAREND-015</t>
        </is>
      </c>
      <c r="D670" s="5" t="n">
        <v>11</v>
      </c>
      <c r="E670" s="2" t="inlineStr">
        <is>
          <t>Adet</t>
        </is>
      </c>
      <c r="F670" s="3" t="n">
        <v>147.83</v>
      </c>
      <c r="G670" s="4" t="n">
        <v>0.0982</v>
      </c>
      <c r="H670" s="3" t="n">
        <v>133.31</v>
      </c>
      <c r="I670" s="3" t="n">
        <v>1466.41</v>
      </c>
      <c r="J670" s="3" t="n">
        <v>114.22</v>
      </c>
      <c r="K670" s="3" t="n">
        <v>1256.42</v>
      </c>
      <c r="L670" s="3" t="n">
        <v>209.99</v>
      </c>
      <c r="M670" s="4" t="n">
        <v>0.1432</v>
      </c>
    </row>
    <row r="671">
      <c r="A671" s="2" t="inlineStr">
        <is>
          <t>SKL-00670</t>
        </is>
      </c>
      <c r="B671" s="2" t="inlineStr">
        <is>
          <t>SIP-0177</t>
        </is>
      </c>
      <c r="C671" s="2" t="inlineStr">
        <is>
          <t>ENDVAN-015</t>
        </is>
      </c>
      <c r="D671" s="5" t="n">
        <v>9</v>
      </c>
      <c r="E671" s="2" t="inlineStr">
        <is>
          <t>Adet</t>
        </is>
      </c>
      <c r="F671" s="3" t="n">
        <v>1551.62</v>
      </c>
      <c r="G671" s="4" t="n">
        <v>0.0644</v>
      </c>
      <c r="H671" s="3" t="n">
        <v>1451.7</v>
      </c>
      <c r="I671" s="3" t="n">
        <v>13065.3</v>
      </c>
      <c r="J671" s="3" t="n">
        <v>1019.05</v>
      </c>
      <c r="K671" s="3" t="n">
        <v>9171.450000000001</v>
      </c>
      <c r="L671" s="3" t="n">
        <v>3893.85</v>
      </c>
      <c r="M671" s="4" t="n">
        <v>0.298</v>
      </c>
    </row>
    <row r="672">
      <c r="A672" s="2" t="inlineStr">
        <is>
          <t>SKL-00671</t>
        </is>
      </c>
      <c r="B672" s="2" t="inlineStr">
        <is>
          <t>SIP-0177</t>
        </is>
      </c>
      <c r="C672" s="2" t="inlineStr">
        <is>
          <t>FLAIZO-012</t>
        </is>
      </c>
      <c r="D672" s="5" t="n">
        <v>47</v>
      </c>
      <c r="E672" s="2" t="inlineStr">
        <is>
          <t>Set</t>
        </is>
      </c>
      <c r="F672" s="3" t="n">
        <v>45.47</v>
      </c>
      <c r="G672" s="4" t="n">
        <v>0.1075</v>
      </c>
      <c r="H672" s="3" t="n">
        <v>40.58</v>
      </c>
      <c r="I672" s="3" t="n">
        <v>1907.26</v>
      </c>
      <c r="J672" s="3" t="n">
        <v>30.33</v>
      </c>
      <c r="K672" s="3" t="n">
        <v>1425.51</v>
      </c>
      <c r="L672" s="3" t="n">
        <v>481.75</v>
      </c>
      <c r="M672" s="4" t="n">
        <v>0.2526</v>
      </c>
    </row>
    <row r="673">
      <c r="A673" s="2" t="inlineStr">
        <is>
          <t>SKL-00672</t>
        </is>
      </c>
      <c r="B673" s="2" t="inlineStr">
        <is>
          <t>SIP-0177</t>
        </is>
      </c>
      <c r="C673" s="2" t="inlineStr">
        <is>
          <t>ENDVAN-028</t>
        </is>
      </c>
      <c r="D673" s="5" t="n">
        <v>9</v>
      </c>
      <c r="E673" s="2" t="inlineStr">
        <is>
          <t>Adet</t>
        </is>
      </c>
      <c r="F673" s="3" t="n">
        <v>1124.92</v>
      </c>
      <c r="G673" s="4" t="n">
        <v>0.1067</v>
      </c>
      <c r="H673" s="3" t="n">
        <v>1004.89</v>
      </c>
      <c r="I673" s="3" t="n">
        <v>9044.01</v>
      </c>
      <c r="J673" s="3" t="n">
        <v>812.05</v>
      </c>
      <c r="K673" s="3" t="n">
        <v>7308.45</v>
      </c>
      <c r="L673" s="3" t="n">
        <v>1735.56</v>
      </c>
      <c r="M673" s="4" t="n">
        <v>0.1919</v>
      </c>
    </row>
    <row r="674">
      <c r="A674" s="2" t="inlineStr">
        <is>
          <t>SKL-00673</t>
        </is>
      </c>
      <c r="B674" s="2" t="inlineStr">
        <is>
          <t>SIP-0178</t>
        </is>
      </c>
      <c r="C674" s="2" t="inlineStr">
        <is>
          <t>ENDVAN-033</t>
        </is>
      </c>
      <c r="D674" s="5" t="n">
        <v>17</v>
      </c>
      <c r="E674" s="2" t="inlineStr">
        <is>
          <t>Adet</t>
        </is>
      </c>
      <c r="F674" s="3" t="n">
        <v>1767.26</v>
      </c>
      <c r="G674" s="4" t="n">
        <v>0.0407</v>
      </c>
      <c r="H674" s="3" t="n">
        <v>1695.33</v>
      </c>
      <c r="I674" s="3" t="n">
        <v>28820.61</v>
      </c>
      <c r="J674" s="3" t="n">
        <v>1125.6</v>
      </c>
      <c r="K674" s="3" t="n">
        <v>19135.2</v>
      </c>
      <c r="L674" s="3" t="n">
        <v>9685.41</v>
      </c>
      <c r="M674" s="4" t="n">
        <v>0.3361</v>
      </c>
    </row>
    <row r="675">
      <c r="A675" s="2" t="inlineStr">
        <is>
          <t>SKL-00674</t>
        </is>
      </c>
      <c r="B675" s="2" t="inlineStr">
        <is>
          <t>SIP-0178</t>
        </is>
      </c>
      <c r="C675" s="2" t="inlineStr">
        <is>
          <t>MEKSIZ-012</t>
        </is>
      </c>
      <c r="D675" s="5" t="n">
        <v>15</v>
      </c>
      <c r="E675" s="2" t="inlineStr">
        <is>
          <t>Adet</t>
        </is>
      </c>
      <c r="F675" s="3" t="n">
        <v>461.37</v>
      </c>
      <c r="G675" s="4" t="n">
        <v>0.1058</v>
      </c>
      <c r="H675" s="3" t="n">
        <v>412.56</v>
      </c>
      <c r="I675" s="3" t="n">
        <v>6188.4</v>
      </c>
      <c r="J675" s="3" t="n">
        <v>282.12</v>
      </c>
      <c r="K675" s="3" t="n">
        <v>4231.8</v>
      </c>
      <c r="L675" s="3" t="n">
        <v>1956.6</v>
      </c>
      <c r="M675" s="4" t="n">
        <v>0.3162</v>
      </c>
    </row>
    <row r="676">
      <c r="A676" s="2" t="inlineStr">
        <is>
          <t>SKL-00675</t>
        </is>
      </c>
      <c r="B676" s="2" t="inlineStr">
        <is>
          <t>SIP-0178</t>
        </is>
      </c>
      <c r="C676" s="2" t="inlineStr">
        <is>
          <t>ENDVAN-002</t>
        </is>
      </c>
      <c r="D676" s="5" t="n">
        <v>18</v>
      </c>
      <c r="E676" s="2" t="inlineStr">
        <is>
          <t>Adet</t>
        </is>
      </c>
      <c r="F676" s="3" t="n">
        <v>255</v>
      </c>
      <c r="G676" s="4" t="n">
        <v>0.0003</v>
      </c>
      <c r="H676" s="3" t="n">
        <v>254.92</v>
      </c>
      <c r="I676" s="3" t="n">
        <v>4588.56</v>
      </c>
      <c r="J676" s="3" t="n">
        <v>186.74</v>
      </c>
      <c r="K676" s="3" t="n">
        <v>3361.32</v>
      </c>
      <c r="L676" s="3" t="n">
        <v>1227.24</v>
      </c>
      <c r="M676" s="4" t="n">
        <v>0.2675</v>
      </c>
    </row>
    <row r="677">
      <c r="A677" s="2" t="inlineStr">
        <is>
          <t>SKL-00676</t>
        </is>
      </c>
      <c r="B677" s="2" t="inlineStr">
        <is>
          <t>SIP-0179</t>
        </is>
      </c>
      <c r="C677" s="2" t="inlineStr">
        <is>
          <t>ENDVAN-010</t>
        </is>
      </c>
      <c r="D677" s="5" t="n">
        <v>10</v>
      </c>
      <c r="E677" s="2" t="inlineStr">
        <is>
          <t>Adet</t>
        </is>
      </c>
      <c r="F677" s="3" t="n">
        <v>1127.9</v>
      </c>
      <c r="G677" s="4" t="n">
        <v>0.1094</v>
      </c>
      <c r="H677" s="3" t="n">
        <v>1004.51</v>
      </c>
      <c r="I677" s="3" t="n">
        <v>10045.1</v>
      </c>
      <c r="J677" s="3" t="n">
        <v>891.17</v>
      </c>
      <c r="K677" s="3" t="n">
        <v>8911.700000000001</v>
      </c>
      <c r="L677" s="3" t="n">
        <v>1133.4</v>
      </c>
      <c r="M677" s="4" t="n">
        <v>0.1128</v>
      </c>
    </row>
    <row r="678">
      <c r="A678" s="2" t="inlineStr">
        <is>
          <t>SKL-00677</t>
        </is>
      </c>
      <c r="B678" s="2" t="inlineStr">
        <is>
          <t>SIP-0180</t>
        </is>
      </c>
      <c r="C678" s="2" t="inlineStr">
        <is>
          <t>MEKSIZ-008</t>
        </is>
      </c>
      <c r="D678" s="5" t="n">
        <v>10</v>
      </c>
      <c r="E678" s="2" t="inlineStr">
        <is>
          <t>Adet</t>
        </is>
      </c>
      <c r="F678" s="3" t="n">
        <v>740.75</v>
      </c>
      <c r="G678" s="4" t="n">
        <v>0.0861</v>
      </c>
      <c r="H678" s="3" t="n">
        <v>676.97</v>
      </c>
      <c r="I678" s="3" t="n">
        <v>6769.7</v>
      </c>
      <c r="J678" s="3" t="n">
        <v>457.74</v>
      </c>
      <c r="K678" s="3" t="n">
        <v>4577.4</v>
      </c>
      <c r="L678" s="3" t="n">
        <v>2192.3</v>
      </c>
      <c r="M678" s="4" t="n">
        <v>0.3238</v>
      </c>
    </row>
    <row r="679">
      <c r="A679" s="2" t="inlineStr">
        <is>
          <t>SKL-00678</t>
        </is>
      </c>
      <c r="B679" s="2" t="inlineStr">
        <is>
          <t>SIP-0180</t>
        </is>
      </c>
      <c r="C679" s="2" t="inlineStr">
        <is>
          <t>FLAIZO-011</t>
        </is>
      </c>
      <c r="D679" s="5" t="n">
        <v>42</v>
      </c>
      <c r="E679" s="2" t="inlineStr">
        <is>
          <t>Set</t>
        </is>
      </c>
      <c r="F679" s="3" t="n">
        <v>160.95</v>
      </c>
      <c r="G679" s="4" t="n">
        <v>0.0844</v>
      </c>
      <c r="H679" s="3" t="n">
        <v>147.37</v>
      </c>
      <c r="I679" s="3" t="n">
        <v>6189.54</v>
      </c>
      <c r="J679" s="3" t="n">
        <v>86.27</v>
      </c>
      <c r="K679" s="3" t="n">
        <v>3623.34</v>
      </c>
      <c r="L679" s="3" t="n">
        <v>2566.2</v>
      </c>
      <c r="M679" s="4" t="n">
        <v>0.4146</v>
      </c>
    </row>
    <row r="680">
      <c r="A680" s="2" t="inlineStr">
        <is>
          <t>SKL-00679</t>
        </is>
      </c>
      <c r="B680" s="2" t="inlineStr">
        <is>
          <t>SIP-0180</t>
        </is>
      </c>
      <c r="C680" s="2" t="inlineStr">
        <is>
          <t>YAREND-011</t>
        </is>
      </c>
      <c r="D680" s="5" t="n">
        <v>10</v>
      </c>
      <c r="E680" s="2" t="inlineStr">
        <is>
          <t>Adet</t>
        </is>
      </c>
      <c r="F680" s="3" t="n">
        <v>1113.24</v>
      </c>
      <c r="G680" s="4" t="n">
        <v>0.079</v>
      </c>
      <c r="H680" s="3" t="n">
        <v>1025.29</v>
      </c>
      <c r="I680" s="3" t="n">
        <v>10252.9</v>
      </c>
      <c r="J680" s="3" t="n">
        <v>777.02</v>
      </c>
      <c r="K680" s="3" t="n">
        <v>7770.2</v>
      </c>
      <c r="L680" s="3" t="n">
        <v>2482.7</v>
      </c>
      <c r="M680" s="4" t="n">
        <v>0.2421</v>
      </c>
    </row>
    <row r="681">
      <c r="A681" s="2" t="inlineStr">
        <is>
          <t>SKL-00680</t>
        </is>
      </c>
      <c r="B681" s="2" t="inlineStr">
        <is>
          <t>SIP-0180</t>
        </is>
      </c>
      <c r="C681" s="2" t="inlineStr">
        <is>
          <t>FLAIZO-002</t>
        </is>
      </c>
      <c r="D681" s="5" t="n">
        <v>32</v>
      </c>
      <c r="E681" s="2" t="inlineStr">
        <is>
          <t>Set</t>
        </is>
      </c>
      <c r="F681" s="3" t="n">
        <v>100.59</v>
      </c>
      <c r="G681" s="4" t="n">
        <v>0.06809999999999999</v>
      </c>
      <c r="H681" s="3" t="n">
        <v>93.73999999999999</v>
      </c>
      <c r="I681" s="3" t="n">
        <v>2999.68</v>
      </c>
      <c r="J681" s="3" t="n">
        <v>54.73</v>
      </c>
      <c r="K681" s="3" t="n">
        <v>1751.36</v>
      </c>
      <c r="L681" s="3" t="n">
        <v>1248.32</v>
      </c>
      <c r="M681" s="4" t="n">
        <v>0.4162</v>
      </c>
    </row>
    <row r="682">
      <c r="A682" s="2" t="inlineStr">
        <is>
          <t>SKL-00681</t>
        </is>
      </c>
      <c r="B682" s="2" t="inlineStr">
        <is>
          <t>SIP-0181</t>
        </is>
      </c>
      <c r="C682" s="2" t="inlineStr">
        <is>
          <t>ENDVAN-031</t>
        </is>
      </c>
      <c r="D682" s="5" t="n">
        <v>10</v>
      </c>
      <c r="E682" s="2" t="inlineStr">
        <is>
          <t>Adet</t>
        </is>
      </c>
      <c r="F682" s="3" t="n">
        <v>325.8</v>
      </c>
      <c r="G682" s="4" t="n">
        <v>0.105</v>
      </c>
      <c r="H682" s="3" t="n">
        <v>291.59</v>
      </c>
      <c r="I682" s="3" t="n">
        <v>2915.9</v>
      </c>
      <c r="J682" s="3" t="n">
        <v>247.14</v>
      </c>
      <c r="K682" s="3" t="n">
        <v>2471.4</v>
      </c>
      <c r="L682" s="3" t="n">
        <v>444.5</v>
      </c>
      <c r="M682" s="4" t="n">
        <v>0.1524</v>
      </c>
    </row>
    <row r="683">
      <c r="A683" s="2" t="inlineStr">
        <is>
          <t>SKL-00682</t>
        </is>
      </c>
      <c r="B683" s="2" t="inlineStr">
        <is>
          <t>SIP-0181</t>
        </is>
      </c>
      <c r="C683" s="2" t="inlineStr">
        <is>
          <t>YAREND-010</t>
        </is>
      </c>
      <c r="D683" s="5" t="n">
        <v>9</v>
      </c>
      <c r="E683" s="2" t="inlineStr">
        <is>
          <t>Adet</t>
        </is>
      </c>
      <c r="F683" s="3" t="n">
        <v>913.39</v>
      </c>
      <c r="G683" s="4" t="n">
        <v>0.0555</v>
      </c>
      <c r="H683" s="3" t="n">
        <v>862.7</v>
      </c>
      <c r="I683" s="3" t="n">
        <v>7764.3</v>
      </c>
      <c r="J683" s="3" t="n">
        <v>593.24</v>
      </c>
      <c r="K683" s="3" t="n">
        <v>5339.16</v>
      </c>
      <c r="L683" s="3" t="n">
        <v>2425.14</v>
      </c>
      <c r="M683" s="4" t="n">
        <v>0.3123</v>
      </c>
    </row>
    <row r="684">
      <c r="A684" s="2" t="inlineStr">
        <is>
          <t>SKL-00683</t>
        </is>
      </c>
      <c r="B684" s="2" t="inlineStr">
        <is>
          <t>SIP-0182</t>
        </is>
      </c>
      <c r="C684" s="2" t="inlineStr">
        <is>
          <t>ENDVAN-003</t>
        </is>
      </c>
      <c r="D684" s="5" t="n">
        <v>5</v>
      </c>
      <c r="E684" s="2" t="inlineStr">
        <is>
          <t>Adet</t>
        </is>
      </c>
      <c r="F684" s="3" t="n">
        <v>1504.2</v>
      </c>
      <c r="G684" s="4" t="n">
        <v>0.0519</v>
      </c>
      <c r="H684" s="3" t="n">
        <v>1426.13</v>
      </c>
      <c r="I684" s="3" t="n">
        <v>7130.65</v>
      </c>
      <c r="J684" s="3" t="n">
        <v>1050.24</v>
      </c>
      <c r="K684" s="3" t="n">
        <v>5251.2</v>
      </c>
      <c r="L684" s="3" t="n">
        <v>1879.45</v>
      </c>
      <c r="M684" s="4" t="n">
        <v>0.2636</v>
      </c>
    </row>
    <row r="685">
      <c r="A685" s="2" t="inlineStr">
        <is>
          <t>SKL-00684</t>
        </is>
      </c>
      <c r="B685" s="2" t="inlineStr">
        <is>
          <t>SIP-0182</t>
        </is>
      </c>
      <c r="C685" s="2" t="inlineStr">
        <is>
          <t>PROTAN-005</t>
        </is>
      </c>
      <c r="D685" s="5" t="n">
        <v>1</v>
      </c>
      <c r="E685" s="2" t="inlineStr">
        <is>
          <t>Adet</t>
        </is>
      </c>
      <c r="F685" s="3" t="n">
        <v>18833.47</v>
      </c>
      <c r="G685" s="4" t="n">
        <v>0.0453</v>
      </c>
      <c r="H685" s="3" t="n">
        <v>17980.31</v>
      </c>
      <c r="I685" s="3" t="n">
        <v>17980.31</v>
      </c>
      <c r="J685" s="3" t="n">
        <v>14932.43</v>
      </c>
      <c r="K685" s="3" t="n">
        <v>14932.43</v>
      </c>
      <c r="L685" s="3" t="n">
        <v>3047.88</v>
      </c>
      <c r="M685" s="4" t="n">
        <v>0.1695</v>
      </c>
    </row>
    <row r="686">
      <c r="A686" s="2" t="inlineStr">
        <is>
          <t>SKL-00685</t>
        </is>
      </c>
      <c r="B686" s="2" t="inlineStr">
        <is>
          <t>SIP-0182</t>
        </is>
      </c>
      <c r="C686" s="2" t="inlineStr">
        <is>
          <t>FLAIZO-008</t>
        </is>
      </c>
      <c r="D686" s="5" t="n">
        <v>86</v>
      </c>
      <c r="E686" s="2" t="inlineStr">
        <is>
          <t>Set</t>
        </is>
      </c>
      <c r="F686" s="3" t="n">
        <v>124.61</v>
      </c>
      <c r="G686" s="4" t="n">
        <v>0.095</v>
      </c>
      <c r="H686" s="3" t="n">
        <v>112.77</v>
      </c>
      <c r="I686" s="3" t="n">
        <v>9698.219999999999</v>
      </c>
      <c r="J686" s="3" t="n">
        <v>78.08</v>
      </c>
      <c r="K686" s="3" t="n">
        <v>6714.88</v>
      </c>
      <c r="L686" s="3" t="n">
        <v>2983.34</v>
      </c>
      <c r="M686" s="4" t="n">
        <v>0.3076</v>
      </c>
    </row>
    <row r="687">
      <c r="A687" s="2" t="inlineStr">
        <is>
          <t>SKL-00686</t>
        </is>
      </c>
      <c r="B687" s="2" t="inlineStr">
        <is>
          <t>SIP-0182</t>
        </is>
      </c>
      <c r="C687" s="2" t="inlineStr">
        <is>
          <t>MEKSIZ-014</t>
        </is>
      </c>
      <c r="D687" s="5" t="n">
        <v>27</v>
      </c>
      <c r="E687" s="2" t="inlineStr">
        <is>
          <t>Adet</t>
        </is>
      </c>
      <c r="F687" s="3" t="n">
        <v>394.29</v>
      </c>
      <c r="G687" s="4" t="n">
        <v>0.0502</v>
      </c>
      <c r="H687" s="3" t="n">
        <v>374.5</v>
      </c>
      <c r="I687" s="3" t="n">
        <v>10111.5</v>
      </c>
      <c r="J687" s="3" t="n">
        <v>242.32</v>
      </c>
      <c r="K687" s="3" t="n">
        <v>6542.64</v>
      </c>
      <c r="L687" s="3" t="n">
        <v>3568.86</v>
      </c>
      <c r="M687" s="4" t="n">
        <v>0.353</v>
      </c>
    </row>
    <row r="688">
      <c r="A688" s="2" t="inlineStr">
        <is>
          <t>SKL-00687</t>
        </is>
      </c>
      <c r="B688" s="2" t="inlineStr">
        <is>
          <t>SIP-0182</t>
        </is>
      </c>
      <c r="C688" s="2" t="inlineStr">
        <is>
          <t>ENDVAN-011</t>
        </is>
      </c>
      <c r="D688" s="5" t="n">
        <v>1</v>
      </c>
      <c r="E688" s="2" t="inlineStr">
        <is>
          <t>Adet</t>
        </is>
      </c>
      <c r="F688" s="3" t="n">
        <v>974.62</v>
      </c>
      <c r="G688" s="4" t="n">
        <v>0.0138</v>
      </c>
      <c r="H688" s="3" t="n">
        <v>961.17</v>
      </c>
      <c r="I688" s="3" t="n">
        <v>961.17</v>
      </c>
      <c r="J688" s="3" t="n">
        <v>615.55</v>
      </c>
      <c r="K688" s="3" t="n">
        <v>615.55</v>
      </c>
      <c r="L688" s="3" t="n">
        <v>345.62</v>
      </c>
      <c r="M688" s="4" t="n">
        <v>0.3596</v>
      </c>
    </row>
    <row r="689">
      <c r="A689" s="2" t="inlineStr">
        <is>
          <t>SKL-00688</t>
        </is>
      </c>
      <c r="B689" s="2" t="inlineStr">
        <is>
          <t>SIP-0183</t>
        </is>
      </c>
      <c r="C689" s="2" t="inlineStr">
        <is>
          <t>ENDVAN-022</t>
        </is>
      </c>
      <c r="D689" s="5" t="n">
        <v>19</v>
      </c>
      <c r="E689" s="2" t="inlineStr">
        <is>
          <t>Adet</t>
        </is>
      </c>
      <c r="F689" s="3" t="n">
        <v>214.61</v>
      </c>
      <c r="G689" s="4" t="n">
        <v>0.009900000000000001</v>
      </c>
      <c r="H689" s="3" t="n">
        <v>212.49</v>
      </c>
      <c r="I689" s="3" t="n">
        <v>4037.31</v>
      </c>
      <c r="J689" s="3" t="n">
        <v>163.9</v>
      </c>
      <c r="K689" s="3" t="n">
        <v>3114.1</v>
      </c>
      <c r="L689" s="3" t="n">
        <v>923.21</v>
      </c>
      <c r="M689" s="4" t="n">
        <v>0.2287</v>
      </c>
    </row>
    <row r="690">
      <c r="A690" s="2" t="inlineStr">
        <is>
          <t>SKL-00689</t>
        </is>
      </c>
      <c r="B690" s="2" t="inlineStr">
        <is>
          <t>SIP-0183</t>
        </is>
      </c>
      <c r="C690" s="2" t="inlineStr">
        <is>
          <t>FLAIZO-005</t>
        </is>
      </c>
      <c r="D690" s="5" t="n">
        <v>27</v>
      </c>
      <c r="E690" s="2" t="inlineStr">
        <is>
          <t>Set</t>
        </is>
      </c>
      <c r="F690" s="3" t="n">
        <v>233.5</v>
      </c>
      <c r="G690" s="4" t="n">
        <v>0.0101</v>
      </c>
      <c r="H690" s="3" t="n">
        <v>231.14</v>
      </c>
      <c r="I690" s="3" t="n">
        <v>6240.78</v>
      </c>
      <c r="J690" s="3" t="n">
        <v>120.26</v>
      </c>
      <c r="K690" s="3" t="n">
        <v>3247.02</v>
      </c>
      <c r="L690" s="3" t="n">
        <v>2993.76</v>
      </c>
      <c r="M690" s="4" t="n">
        <v>0.4797</v>
      </c>
    </row>
    <row r="691">
      <c r="A691" s="2" t="inlineStr">
        <is>
          <t>SKL-00690</t>
        </is>
      </c>
      <c r="B691" s="2" t="inlineStr">
        <is>
          <t>SIP-0183</t>
        </is>
      </c>
      <c r="C691" s="2" t="inlineStr">
        <is>
          <t>MEKSIZ-005</t>
        </is>
      </c>
      <c r="D691" s="5" t="n">
        <v>7</v>
      </c>
      <c r="E691" s="2" t="inlineStr">
        <is>
          <t>Adet</t>
        </is>
      </c>
      <c r="F691" s="3" t="n">
        <v>685.58</v>
      </c>
      <c r="G691" s="4" t="n">
        <v>0.0924</v>
      </c>
      <c r="H691" s="3" t="n">
        <v>622.23</v>
      </c>
      <c r="I691" s="3" t="n">
        <v>4355.61</v>
      </c>
      <c r="J691" s="3" t="n">
        <v>370.26</v>
      </c>
      <c r="K691" s="3" t="n">
        <v>2591.82</v>
      </c>
      <c r="L691" s="3" t="n">
        <v>1763.79</v>
      </c>
      <c r="M691" s="4" t="n">
        <v>0.4049</v>
      </c>
    </row>
    <row r="692">
      <c r="A692" s="2" t="inlineStr">
        <is>
          <t>SKL-00691</t>
        </is>
      </c>
      <c r="B692" s="2" t="inlineStr">
        <is>
          <t>SIP-0183</t>
        </is>
      </c>
      <c r="C692" s="2" t="inlineStr">
        <is>
          <t>ENDVAN-034</t>
        </is>
      </c>
      <c r="D692" s="5" t="n">
        <v>11</v>
      </c>
      <c r="E692" s="2" t="inlineStr">
        <is>
          <t>Adet</t>
        </is>
      </c>
      <c r="F692" s="3" t="n">
        <v>744.14</v>
      </c>
      <c r="G692" s="4" t="n">
        <v>0.046</v>
      </c>
      <c r="H692" s="3" t="n">
        <v>709.91</v>
      </c>
      <c r="I692" s="3" t="n">
        <v>7809.01</v>
      </c>
      <c r="J692" s="3" t="n">
        <v>595.41</v>
      </c>
      <c r="K692" s="3" t="n">
        <v>6549.51</v>
      </c>
      <c r="L692" s="3" t="n">
        <v>1259.5</v>
      </c>
      <c r="M692" s="4" t="n">
        <v>0.1613</v>
      </c>
    </row>
    <row r="693">
      <c r="A693" s="2" t="inlineStr">
        <is>
          <t>SKL-00692</t>
        </is>
      </c>
      <c r="B693" s="2" t="inlineStr">
        <is>
          <t>SIP-0183</t>
        </is>
      </c>
      <c r="C693" s="2" t="inlineStr">
        <is>
          <t>MEKSIZ-009</t>
        </is>
      </c>
      <c r="D693" s="5" t="n">
        <v>19</v>
      </c>
      <c r="E693" s="2" t="inlineStr">
        <is>
          <t>Adet</t>
        </is>
      </c>
      <c r="F693" s="3" t="n">
        <v>802.5700000000001</v>
      </c>
      <c r="G693" s="4" t="n">
        <v>0.0179</v>
      </c>
      <c r="H693" s="3" t="n">
        <v>788.2</v>
      </c>
      <c r="I693" s="3" t="n">
        <v>14975.8</v>
      </c>
      <c r="J693" s="3" t="n">
        <v>458.31</v>
      </c>
      <c r="K693" s="3" t="n">
        <v>8707.889999999999</v>
      </c>
      <c r="L693" s="3" t="n">
        <v>6267.91</v>
      </c>
      <c r="M693" s="4" t="n">
        <v>0.4185</v>
      </c>
    </row>
    <row r="694">
      <c r="A694" s="2" t="inlineStr">
        <is>
          <t>SKL-00693</t>
        </is>
      </c>
      <c r="B694" s="2" t="inlineStr">
        <is>
          <t>SIP-0183</t>
        </is>
      </c>
      <c r="C694" s="2" t="inlineStr">
        <is>
          <t>ENDVAN-021</t>
        </is>
      </c>
      <c r="D694" s="5" t="n">
        <v>14</v>
      </c>
      <c r="E694" s="2" t="inlineStr">
        <is>
          <t>Adet</t>
        </is>
      </c>
      <c r="F694" s="3" t="n">
        <v>989.91</v>
      </c>
      <c r="G694" s="4" t="n">
        <v>0.0806</v>
      </c>
      <c r="H694" s="3" t="n">
        <v>910.12</v>
      </c>
      <c r="I694" s="3" t="n">
        <v>12741.68</v>
      </c>
      <c r="J694" s="3" t="n">
        <v>736.7</v>
      </c>
      <c r="K694" s="3" t="n">
        <v>10313.8</v>
      </c>
      <c r="L694" s="3" t="n">
        <v>2427.88</v>
      </c>
      <c r="M694" s="4" t="n">
        <v>0.1905</v>
      </c>
    </row>
    <row r="695">
      <c r="A695" s="2" t="inlineStr">
        <is>
          <t>SKL-00694</t>
        </is>
      </c>
      <c r="B695" s="2" t="inlineStr">
        <is>
          <t>SIP-0183</t>
        </is>
      </c>
      <c r="C695" s="2" t="inlineStr">
        <is>
          <t>ENDVAN-020</t>
        </is>
      </c>
      <c r="D695" s="5" t="n">
        <v>17</v>
      </c>
      <c r="E695" s="2" t="inlineStr">
        <is>
          <t>Adet</t>
        </is>
      </c>
      <c r="F695" s="3" t="n">
        <v>617.91</v>
      </c>
      <c r="G695" s="4" t="n">
        <v>0.1039</v>
      </c>
      <c r="H695" s="3" t="n">
        <v>553.71</v>
      </c>
      <c r="I695" s="3" t="n">
        <v>9413.07</v>
      </c>
      <c r="J695" s="3" t="n">
        <v>433.62</v>
      </c>
      <c r="K695" s="3" t="n">
        <v>7371.54</v>
      </c>
      <c r="L695" s="3" t="n">
        <v>2041.53</v>
      </c>
      <c r="M695" s="4" t="n">
        <v>0.2169</v>
      </c>
    </row>
    <row r="696">
      <c r="A696" s="2" t="inlineStr">
        <is>
          <t>SKL-00695</t>
        </is>
      </c>
      <c r="B696" s="2" t="inlineStr">
        <is>
          <t>SIP-0183</t>
        </is>
      </c>
      <c r="C696" s="2" t="inlineStr">
        <is>
          <t>ENDVAN-009</t>
        </is>
      </c>
      <c r="D696" s="5" t="n">
        <v>15</v>
      </c>
      <c r="E696" s="2" t="inlineStr">
        <is>
          <t>Adet</t>
        </is>
      </c>
      <c r="F696" s="3" t="n">
        <v>550.05</v>
      </c>
      <c r="G696" s="4" t="n">
        <v>0.0843</v>
      </c>
      <c r="H696" s="3" t="n">
        <v>503.68</v>
      </c>
      <c r="I696" s="3" t="n">
        <v>7555.2</v>
      </c>
      <c r="J696" s="3" t="n">
        <v>411.64</v>
      </c>
      <c r="K696" s="3" t="n">
        <v>6174.6</v>
      </c>
      <c r="L696" s="3" t="n">
        <v>1380.6</v>
      </c>
      <c r="M696" s="4" t="n">
        <v>0.1827</v>
      </c>
    </row>
    <row r="697">
      <c r="A697" s="2" t="inlineStr">
        <is>
          <t>SKL-00696</t>
        </is>
      </c>
      <c r="B697" s="2" t="inlineStr">
        <is>
          <t>SIP-0184</t>
        </is>
      </c>
      <c r="C697" s="2" t="inlineStr">
        <is>
          <t>FLAIZO-002</t>
        </is>
      </c>
      <c r="D697" s="5" t="n">
        <v>22</v>
      </c>
      <c r="E697" s="2" t="inlineStr">
        <is>
          <t>Set</t>
        </is>
      </c>
      <c r="F697" s="3" t="n">
        <v>98.5</v>
      </c>
      <c r="G697" s="4" t="n">
        <v>0.0866</v>
      </c>
      <c r="H697" s="3" t="n">
        <v>89.97</v>
      </c>
      <c r="I697" s="3" t="n">
        <v>1979.34</v>
      </c>
      <c r="J697" s="3" t="n">
        <v>54.73</v>
      </c>
      <c r="K697" s="3" t="n">
        <v>1204.06</v>
      </c>
      <c r="L697" s="3" t="n">
        <v>775.28</v>
      </c>
      <c r="M697" s="4" t="n">
        <v>0.3917</v>
      </c>
    </row>
    <row r="698">
      <c r="A698" s="2" t="inlineStr">
        <is>
          <t>SKL-00697</t>
        </is>
      </c>
      <c r="B698" s="2" t="inlineStr">
        <is>
          <t>SIP-0185</t>
        </is>
      </c>
      <c r="C698" s="2" t="inlineStr">
        <is>
          <t>ENDVAN-020</t>
        </is>
      </c>
      <c r="D698" s="5" t="n">
        <v>12</v>
      </c>
      <c r="E698" s="2" t="inlineStr">
        <is>
          <t>Adet</t>
        </is>
      </c>
      <c r="F698" s="3" t="n">
        <v>642.46</v>
      </c>
      <c r="G698" s="4" t="n">
        <v>0.0284</v>
      </c>
      <c r="H698" s="3" t="n">
        <v>624.21</v>
      </c>
      <c r="I698" s="3" t="n">
        <v>7490.52</v>
      </c>
      <c r="J698" s="3" t="n">
        <v>433.62</v>
      </c>
      <c r="K698" s="3" t="n">
        <v>5203.44</v>
      </c>
      <c r="L698" s="3" t="n">
        <v>2287.08</v>
      </c>
      <c r="M698" s="4" t="n">
        <v>0.3053</v>
      </c>
    </row>
    <row r="699">
      <c r="A699" s="2" t="inlineStr">
        <is>
          <t>SKL-00698</t>
        </is>
      </c>
      <c r="B699" s="2" t="inlineStr">
        <is>
          <t>SIP-0185</t>
        </is>
      </c>
      <c r="C699" s="2" t="inlineStr">
        <is>
          <t>ENDVAN-016</t>
        </is>
      </c>
      <c r="D699" s="5" t="n">
        <v>8</v>
      </c>
      <c r="E699" s="2" t="inlineStr">
        <is>
          <t>Adet</t>
        </is>
      </c>
      <c r="F699" s="3" t="n">
        <v>831.24</v>
      </c>
      <c r="G699" s="4" t="n">
        <v>0.0984</v>
      </c>
      <c r="H699" s="3" t="n">
        <v>749.45</v>
      </c>
      <c r="I699" s="3" t="n">
        <v>5995.6</v>
      </c>
      <c r="J699" s="3" t="n">
        <v>674.97</v>
      </c>
      <c r="K699" s="3" t="n">
        <v>5399.76</v>
      </c>
      <c r="L699" s="3" t="n">
        <v>595.84</v>
      </c>
      <c r="M699" s="4" t="n">
        <v>0.0994</v>
      </c>
    </row>
    <row r="700">
      <c r="A700" s="2" t="inlineStr">
        <is>
          <t>SKL-00699</t>
        </is>
      </c>
      <c r="B700" s="2" t="inlineStr">
        <is>
          <t>SIP-0185</t>
        </is>
      </c>
      <c r="C700" s="2" t="inlineStr">
        <is>
          <t>YAREND-015</t>
        </is>
      </c>
      <c r="D700" s="5" t="n">
        <v>16</v>
      </c>
      <c r="E700" s="2" t="inlineStr">
        <is>
          <t>Adet</t>
        </is>
      </c>
      <c r="F700" s="3" t="n">
        <v>162.03</v>
      </c>
      <c r="G700" s="4" t="n">
        <v>0.0433</v>
      </c>
      <c r="H700" s="3" t="n">
        <v>155.01</v>
      </c>
      <c r="I700" s="3" t="n">
        <v>2480.16</v>
      </c>
      <c r="J700" s="3" t="n">
        <v>114.22</v>
      </c>
      <c r="K700" s="3" t="n">
        <v>1827.52</v>
      </c>
      <c r="L700" s="3" t="n">
        <v>652.64</v>
      </c>
      <c r="M700" s="4" t="n">
        <v>0.2631</v>
      </c>
    </row>
    <row r="701">
      <c r="A701" s="2" t="inlineStr">
        <is>
          <t>SKL-00700</t>
        </is>
      </c>
      <c r="B701" s="2" t="inlineStr">
        <is>
          <t>SIP-0185</t>
        </is>
      </c>
      <c r="C701" s="2" t="inlineStr">
        <is>
          <t>FLAIZO-015</t>
        </is>
      </c>
      <c r="D701" s="5" t="n">
        <v>16</v>
      </c>
      <c r="E701" s="2" t="inlineStr">
        <is>
          <t>Set</t>
        </is>
      </c>
      <c r="F701" s="3" t="n">
        <v>178.06</v>
      </c>
      <c r="G701" s="4" t="n">
        <v>0.034</v>
      </c>
      <c r="H701" s="3" t="n">
        <v>172.01</v>
      </c>
      <c r="I701" s="3" t="n">
        <v>2752.16</v>
      </c>
      <c r="J701" s="3" t="n">
        <v>94.38</v>
      </c>
      <c r="K701" s="3" t="n">
        <v>1510.08</v>
      </c>
      <c r="L701" s="3" t="n">
        <v>1242.08</v>
      </c>
      <c r="M701" s="4" t="n">
        <v>0.4513</v>
      </c>
    </row>
    <row r="702">
      <c r="A702" s="2" t="inlineStr">
        <is>
          <t>SKL-00701</t>
        </is>
      </c>
      <c r="B702" s="2" t="inlineStr">
        <is>
          <t>SIP-0186</t>
        </is>
      </c>
      <c r="C702" s="2" t="inlineStr">
        <is>
          <t>YAREND-005</t>
        </is>
      </c>
      <c r="D702" s="5" t="n">
        <v>6</v>
      </c>
      <c r="E702" s="2" t="inlineStr">
        <is>
          <t>Adet</t>
        </is>
      </c>
      <c r="F702" s="3" t="n">
        <v>1002.78</v>
      </c>
      <c r="G702" s="4" t="n">
        <v>0.1073</v>
      </c>
      <c r="H702" s="3" t="n">
        <v>895.1799999999999</v>
      </c>
      <c r="I702" s="3" t="n">
        <v>5371.08</v>
      </c>
      <c r="J702" s="3" t="n">
        <v>729.01</v>
      </c>
      <c r="K702" s="3" t="n">
        <v>4374.06</v>
      </c>
      <c r="L702" s="3" t="n">
        <v>997.02</v>
      </c>
      <c r="M702" s="4" t="n">
        <v>0.1856</v>
      </c>
    </row>
    <row r="703">
      <c r="A703" s="2" t="inlineStr">
        <is>
          <t>SKL-00702</t>
        </is>
      </c>
      <c r="B703" s="2" t="inlineStr">
        <is>
          <t>SIP-0186</t>
        </is>
      </c>
      <c r="C703" s="2" t="inlineStr">
        <is>
          <t>ENDVAN-026</t>
        </is>
      </c>
      <c r="D703" s="5" t="n">
        <v>13</v>
      </c>
      <c r="E703" s="2" t="inlineStr">
        <is>
          <t>Adet</t>
        </is>
      </c>
      <c r="F703" s="3" t="n">
        <v>1479.81</v>
      </c>
      <c r="G703" s="4" t="n">
        <v>0.1033</v>
      </c>
      <c r="H703" s="3" t="n">
        <v>1326.95</v>
      </c>
      <c r="I703" s="3" t="n">
        <v>17250.35</v>
      </c>
      <c r="J703" s="3" t="n">
        <v>1039.5</v>
      </c>
      <c r="K703" s="3" t="n">
        <v>13513.5</v>
      </c>
      <c r="L703" s="3" t="n">
        <v>3736.85</v>
      </c>
      <c r="M703" s="4" t="n">
        <v>0.2166</v>
      </c>
    </row>
    <row r="704">
      <c r="A704" s="2" t="inlineStr">
        <is>
          <t>SKL-00703</t>
        </is>
      </c>
      <c r="B704" s="2" t="inlineStr">
        <is>
          <t>SIP-0186</t>
        </is>
      </c>
      <c r="C704" s="2" t="inlineStr">
        <is>
          <t>ENDVAN-022</t>
        </is>
      </c>
      <c r="D704" s="5" t="n">
        <v>14</v>
      </c>
      <c r="E704" s="2" t="inlineStr">
        <is>
          <t>Adet</t>
        </is>
      </c>
      <c r="F704" s="3" t="n">
        <v>208.97</v>
      </c>
      <c r="G704" s="4" t="n">
        <v>0.0225</v>
      </c>
      <c r="H704" s="3" t="n">
        <v>204.27</v>
      </c>
      <c r="I704" s="3" t="n">
        <v>2859.78</v>
      </c>
      <c r="J704" s="3" t="n">
        <v>163.9</v>
      </c>
      <c r="K704" s="3" t="n">
        <v>2294.6</v>
      </c>
      <c r="L704" s="3" t="n">
        <v>565.1799999999999</v>
      </c>
      <c r="M704" s="4" t="n">
        <v>0.1976</v>
      </c>
    </row>
    <row r="705">
      <c r="A705" s="2" t="inlineStr">
        <is>
          <t>SKL-00704</t>
        </is>
      </c>
      <c r="B705" s="2" t="inlineStr">
        <is>
          <t>SIP-0186</t>
        </is>
      </c>
      <c r="C705" s="2" t="inlineStr">
        <is>
          <t>MEKSIZ-001</t>
        </is>
      </c>
      <c r="D705" s="5" t="n">
        <v>22</v>
      </c>
      <c r="E705" s="2" t="inlineStr">
        <is>
          <t>Adet</t>
        </is>
      </c>
      <c r="F705" s="3" t="n">
        <v>639.01</v>
      </c>
      <c r="G705" s="4" t="n">
        <v>0.0954</v>
      </c>
      <c r="H705" s="3" t="n">
        <v>578.05</v>
      </c>
      <c r="I705" s="3" t="n">
        <v>12717.1</v>
      </c>
      <c r="J705" s="3" t="n">
        <v>372.57</v>
      </c>
      <c r="K705" s="3" t="n">
        <v>8196.540000000001</v>
      </c>
      <c r="L705" s="3" t="n">
        <v>4520.56</v>
      </c>
      <c r="M705" s="4" t="n">
        <v>0.3555</v>
      </c>
    </row>
    <row r="706">
      <c r="A706" s="2" t="inlineStr">
        <is>
          <t>SKL-00705</t>
        </is>
      </c>
      <c r="B706" s="2" t="inlineStr">
        <is>
          <t>SIP-0187</t>
        </is>
      </c>
      <c r="C706" s="2" t="inlineStr">
        <is>
          <t>ENDVAN-019</t>
        </is>
      </c>
      <c r="D706" s="5" t="n">
        <v>6</v>
      </c>
      <c r="E706" s="2" t="inlineStr">
        <is>
          <t>Adet</t>
        </is>
      </c>
      <c r="F706" s="3" t="n">
        <v>749.67</v>
      </c>
      <c r="G706" s="4" t="n">
        <v>0.07779999999999999</v>
      </c>
      <c r="H706" s="3" t="n">
        <v>691.35</v>
      </c>
      <c r="I706" s="3" t="n">
        <v>4148.1</v>
      </c>
      <c r="J706" s="3" t="n">
        <v>564.9400000000001</v>
      </c>
      <c r="K706" s="3" t="n">
        <v>3389.64</v>
      </c>
      <c r="L706" s="3" t="n">
        <v>758.46</v>
      </c>
      <c r="M706" s="4" t="n">
        <v>0.1828</v>
      </c>
    </row>
    <row r="707">
      <c r="A707" s="2" t="inlineStr">
        <is>
          <t>SKL-00706</t>
        </is>
      </c>
      <c r="B707" s="2" t="inlineStr">
        <is>
          <t>SIP-0187</t>
        </is>
      </c>
      <c r="C707" s="2" t="inlineStr">
        <is>
          <t>ENDVAN-002</t>
        </is>
      </c>
      <c r="D707" s="5" t="n">
        <v>21</v>
      </c>
      <c r="E707" s="2" t="inlineStr">
        <is>
          <t>Adet</t>
        </is>
      </c>
      <c r="F707" s="3" t="n">
        <v>263.26</v>
      </c>
      <c r="G707" s="4" t="n">
        <v>0.0842</v>
      </c>
      <c r="H707" s="3" t="n">
        <v>241.09</v>
      </c>
      <c r="I707" s="3" t="n">
        <v>5062.89</v>
      </c>
      <c r="J707" s="3" t="n">
        <v>186.74</v>
      </c>
      <c r="K707" s="3" t="n">
        <v>3921.54</v>
      </c>
      <c r="L707" s="3" t="n">
        <v>1141.35</v>
      </c>
      <c r="M707" s="4" t="n">
        <v>0.2254</v>
      </c>
    </row>
    <row r="708">
      <c r="A708" s="2" t="inlineStr">
        <is>
          <t>SKL-00707</t>
        </is>
      </c>
      <c r="B708" s="2" t="inlineStr">
        <is>
          <t>SIP-0188</t>
        </is>
      </c>
      <c r="C708" s="2" t="inlineStr">
        <is>
          <t>ENDVAN-010</t>
        </is>
      </c>
      <c r="D708" s="5" t="n">
        <v>4</v>
      </c>
      <c r="E708" s="2" t="inlineStr">
        <is>
          <t>Adet</t>
        </is>
      </c>
      <c r="F708" s="3" t="n">
        <v>1124.44</v>
      </c>
      <c r="G708" s="4" t="n">
        <v>0.08749999999999999</v>
      </c>
      <c r="H708" s="3" t="n">
        <v>1026.05</v>
      </c>
      <c r="I708" s="3" t="n">
        <v>4104.2</v>
      </c>
      <c r="J708" s="3" t="n">
        <v>891.17</v>
      </c>
      <c r="K708" s="3" t="n">
        <v>3564.68</v>
      </c>
      <c r="L708" s="3" t="n">
        <v>539.52</v>
      </c>
      <c r="M708" s="4" t="n">
        <v>0.1315</v>
      </c>
    </row>
    <row r="709">
      <c r="A709" s="2" t="inlineStr">
        <is>
          <t>SKL-00708</t>
        </is>
      </c>
      <c r="B709" s="2" t="inlineStr">
        <is>
          <t>SIP-0188</t>
        </is>
      </c>
      <c r="C709" s="2" t="inlineStr">
        <is>
          <t>YAREND-003</t>
        </is>
      </c>
      <c r="D709" s="5" t="n">
        <v>9</v>
      </c>
      <c r="E709" s="2" t="inlineStr">
        <is>
          <t>Adet</t>
        </is>
      </c>
      <c r="F709" s="3" t="n">
        <v>216.9</v>
      </c>
      <c r="G709" s="4" t="n">
        <v>0.0863</v>
      </c>
      <c r="H709" s="3" t="n">
        <v>198.18</v>
      </c>
      <c r="I709" s="3" t="n">
        <v>1783.62</v>
      </c>
      <c r="J709" s="3" t="n">
        <v>159.13</v>
      </c>
      <c r="K709" s="3" t="n">
        <v>1432.17</v>
      </c>
      <c r="L709" s="3" t="n">
        <v>351.45</v>
      </c>
      <c r="M709" s="4" t="n">
        <v>0.197</v>
      </c>
    </row>
    <row r="710">
      <c r="A710" s="2" t="inlineStr">
        <is>
          <t>SKL-00709</t>
        </is>
      </c>
      <c r="B710" s="2" t="inlineStr">
        <is>
          <t>SIP-0188</t>
        </is>
      </c>
      <c r="C710" s="2" t="inlineStr">
        <is>
          <t>FLAIZO-013</t>
        </is>
      </c>
      <c r="D710" s="5" t="n">
        <v>73</v>
      </c>
      <c r="E710" s="2" t="inlineStr">
        <is>
          <t>Set</t>
        </is>
      </c>
      <c r="F710" s="3" t="n">
        <v>38.08</v>
      </c>
      <c r="G710" s="4" t="n">
        <v>0.0466</v>
      </c>
      <c r="H710" s="3" t="n">
        <v>36.31</v>
      </c>
      <c r="I710" s="3" t="n">
        <v>2650.63</v>
      </c>
      <c r="J710" s="3" t="n">
        <v>19.05</v>
      </c>
      <c r="K710" s="3" t="n">
        <v>1390.65</v>
      </c>
      <c r="L710" s="3" t="n">
        <v>1259.98</v>
      </c>
      <c r="M710" s="4" t="n">
        <v>0.4754</v>
      </c>
    </row>
    <row r="711">
      <c r="A711" s="2" t="inlineStr">
        <is>
          <t>SKL-00710</t>
        </is>
      </c>
      <c r="B711" s="2" t="inlineStr">
        <is>
          <t>SIP-0189</t>
        </is>
      </c>
      <c r="C711" s="2" t="inlineStr">
        <is>
          <t>ENDVAN-023</t>
        </is>
      </c>
      <c r="D711" s="5" t="n">
        <v>7</v>
      </c>
      <c r="E711" s="2" t="inlineStr">
        <is>
          <t>Adet</t>
        </is>
      </c>
      <c r="F711" s="3" t="n">
        <v>1192.26</v>
      </c>
      <c r="G711" s="4" t="n">
        <v>0.0571</v>
      </c>
      <c r="H711" s="3" t="n">
        <v>1124.18</v>
      </c>
      <c r="I711" s="3" t="n">
        <v>7869.26</v>
      </c>
      <c r="J711" s="3" t="n">
        <v>763.0599999999999</v>
      </c>
      <c r="K711" s="3" t="n">
        <v>5341.42</v>
      </c>
      <c r="L711" s="3" t="n">
        <v>2527.84</v>
      </c>
      <c r="M711" s="4" t="n">
        <v>0.3212</v>
      </c>
    </row>
    <row r="712">
      <c r="A712" s="2" t="inlineStr">
        <is>
          <t>SKL-00711</t>
        </is>
      </c>
      <c r="B712" s="2" t="inlineStr">
        <is>
          <t>SIP-0189</t>
        </is>
      </c>
      <c r="C712" s="2" t="inlineStr">
        <is>
          <t>YAREND-006</t>
        </is>
      </c>
      <c r="D712" s="5" t="n">
        <v>12</v>
      </c>
      <c r="E712" s="2" t="inlineStr">
        <is>
          <t>Adet</t>
        </is>
      </c>
      <c r="F712" s="3" t="n">
        <v>503.02</v>
      </c>
      <c r="G712" s="4" t="n">
        <v>0.0809</v>
      </c>
      <c r="H712" s="3" t="n">
        <v>462.33</v>
      </c>
      <c r="I712" s="3" t="n">
        <v>5547.96</v>
      </c>
      <c r="J712" s="3" t="n">
        <v>363.57</v>
      </c>
      <c r="K712" s="3" t="n">
        <v>4362.84</v>
      </c>
      <c r="L712" s="3" t="n">
        <v>1185.12</v>
      </c>
      <c r="M712" s="4" t="n">
        <v>0.2136</v>
      </c>
    </row>
    <row r="713">
      <c r="A713" s="2" t="inlineStr">
        <is>
          <t>SKL-00712</t>
        </is>
      </c>
      <c r="B713" s="2" t="inlineStr">
        <is>
          <t>SIP-0189</t>
        </is>
      </c>
      <c r="C713" s="2" t="inlineStr">
        <is>
          <t>FLAIZO-005</t>
        </is>
      </c>
      <c r="D713" s="5" t="n">
        <v>55</v>
      </c>
      <c r="E713" s="2" t="inlineStr">
        <is>
          <t>Set</t>
        </is>
      </c>
      <c r="F713" s="3" t="n">
        <v>217.53</v>
      </c>
      <c r="G713" s="4" t="n">
        <v>0.1033</v>
      </c>
      <c r="H713" s="3" t="n">
        <v>195.06</v>
      </c>
      <c r="I713" s="3" t="n">
        <v>10728.3</v>
      </c>
      <c r="J713" s="3" t="n">
        <v>120.26</v>
      </c>
      <c r="K713" s="3" t="n">
        <v>6614.3</v>
      </c>
      <c r="L713" s="3" t="n">
        <v>4114</v>
      </c>
      <c r="M713" s="4" t="n">
        <v>0.3835</v>
      </c>
    </row>
    <row r="714">
      <c r="A714" s="2" t="inlineStr">
        <is>
          <t>SKL-00713</t>
        </is>
      </c>
      <c r="B714" s="2" t="inlineStr">
        <is>
          <t>SIP-0189</t>
        </is>
      </c>
      <c r="C714" s="2" t="inlineStr">
        <is>
          <t>ENDVAN-031</t>
        </is>
      </c>
      <c r="D714" s="5" t="n">
        <v>13</v>
      </c>
      <c r="E714" s="2" t="inlineStr">
        <is>
          <t>Adet</t>
        </is>
      </c>
      <c r="F714" s="3" t="n">
        <v>340.25</v>
      </c>
      <c r="G714" s="4" t="n">
        <v>0.009299999999999999</v>
      </c>
      <c r="H714" s="3" t="n">
        <v>337.09</v>
      </c>
      <c r="I714" s="3" t="n">
        <v>4382.17</v>
      </c>
      <c r="J714" s="3" t="n">
        <v>247.14</v>
      </c>
      <c r="K714" s="3" t="n">
        <v>3212.82</v>
      </c>
      <c r="L714" s="3" t="n">
        <v>1169.35</v>
      </c>
      <c r="M714" s="4" t="n">
        <v>0.2668</v>
      </c>
    </row>
    <row r="715">
      <c r="A715" s="2" t="inlineStr">
        <is>
          <t>SKL-00714</t>
        </is>
      </c>
      <c r="B715" s="2" t="inlineStr">
        <is>
          <t>SIP-0189</t>
        </is>
      </c>
      <c r="C715" s="2" t="inlineStr">
        <is>
          <t>FLAIZO-008</t>
        </is>
      </c>
      <c r="D715" s="5" t="n">
        <v>47</v>
      </c>
      <c r="E715" s="2" t="inlineStr">
        <is>
          <t>Set</t>
        </is>
      </c>
      <c r="F715" s="3" t="n">
        <v>128.18</v>
      </c>
      <c r="G715" s="4" t="n">
        <v>0.0328</v>
      </c>
      <c r="H715" s="3" t="n">
        <v>123.98</v>
      </c>
      <c r="I715" s="3" t="n">
        <v>5827.06</v>
      </c>
      <c r="J715" s="3" t="n">
        <v>78.08</v>
      </c>
      <c r="K715" s="3" t="n">
        <v>3669.76</v>
      </c>
      <c r="L715" s="3" t="n">
        <v>2157.3</v>
      </c>
      <c r="M715" s="4" t="n">
        <v>0.3702</v>
      </c>
    </row>
    <row r="716">
      <c r="A716" s="2" t="inlineStr">
        <is>
          <t>SKL-00715</t>
        </is>
      </c>
      <c r="B716" s="2" t="inlineStr">
        <is>
          <t>SIP-0190</t>
        </is>
      </c>
      <c r="C716" s="2" t="inlineStr">
        <is>
          <t>MEKSIZ-005</t>
        </is>
      </c>
      <c r="D716" s="5" t="n">
        <v>12</v>
      </c>
      <c r="E716" s="2" t="inlineStr">
        <is>
          <t>Adet</t>
        </is>
      </c>
      <c r="F716" s="3" t="n">
        <v>636.55</v>
      </c>
      <c r="G716" s="4" t="n">
        <v>0.0204</v>
      </c>
      <c r="H716" s="3" t="n">
        <v>623.5599999999999</v>
      </c>
      <c r="I716" s="3" t="n">
        <v>7482.72</v>
      </c>
      <c r="J716" s="3" t="n">
        <v>370.26</v>
      </c>
      <c r="K716" s="3" t="n">
        <v>4443.12</v>
      </c>
      <c r="L716" s="3" t="n">
        <v>3039.6</v>
      </c>
      <c r="M716" s="4" t="n">
        <v>0.4062</v>
      </c>
    </row>
    <row r="717">
      <c r="A717" s="2" t="inlineStr">
        <is>
          <t>SKL-00716</t>
        </is>
      </c>
      <c r="B717" s="2" t="inlineStr">
        <is>
          <t>SIP-0190</t>
        </is>
      </c>
      <c r="C717" s="2" t="inlineStr">
        <is>
          <t>ENDVAN-007</t>
        </is>
      </c>
      <c r="D717" s="5" t="n">
        <v>11</v>
      </c>
      <c r="E717" s="2" t="inlineStr">
        <is>
          <t>Adet</t>
        </is>
      </c>
      <c r="F717" s="3" t="n">
        <v>187.24</v>
      </c>
      <c r="G717" s="4" t="n">
        <v>0.0354</v>
      </c>
      <c r="H717" s="3" t="n">
        <v>180.61</v>
      </c>
      <c r="I717" s="3" t="n">
        <v>1986.71</v>
      </c>
      <c r="J717" s="3" t="n">
        <v>126.94</v>
      </c>
      <c r="K717" s="3" t="n">
        <v>1396.34</v>
      </c>
      <c r="L717" s="3" t="n">
        <v>590.37</v>
      </c>
      <c r="M717" s="4" t="n">
        <v>0.2972</v>
      </c>
    </row>
    <row r="718">
      <c r="A718" s="2" t="inlineStr">
        <is>
          <t>SKL-00717</t>
        </is>
      </c>
      <c r="B718" s="2" t="inlineStr">
        <is>
          <t>SIP-0190</t>
        </is>
      </c>
      <c r="C718" s="2" t="inlineStr">
        <is>
          <t>ENDVAN-007</t>
        </is>
      </c>
      <c r="D718" s="5" t="n">
        <v>8</v>
      </c>
      <c r="E718" s="2" t="inlineStr">
        <is>
          <t>Adet</t>
        </is>
      </c>
      <c r="F718" s="3" t="n">
        <v>201.66</v>
      </c>
      <c r="G718" s="4" t="n">
        <v>0.0801</v>
      </c>
      <c r="H718" s="3" t="n">
        <v>185.51</v>
      </c>
      <c r="I718" s="3" t="n">
        <v>1484.08</v>
      </c>
      <c r="J718" s="3" t="n">
        <v>126.94</v>
      </c>
      <c r="K718" s="3" t="n">
        <v>1015.52</v>
      </c>
      <c r="L718" s="3" t="n">
        <v>468.56</v>
      </c>
      <c r="M718" s="4" t="n">
        <v>0.3157</v>
      </c>
    </row>
    <row r="719">
      <c r="A719" s="2" t="inlineStr">
        <is>
          <t>SKL-00718</t>
        </is>
      </c>
      <c r="B719" s="2" t="inlineStr">
        <is>
          <t>SIP-0191</t>
        </is>
      </c>
      <c r="C719" s="2" t="inlineStr">
        <is>
          <t>YAREND-010</t>
        </is>
      </c>
      <c r="D719" s="5" t="n">
        <v>10</v>
      </c>
      <c r="E719" s="2" t="inlineStr">
        <is>
          <t>Adet</t>
        </is>
      </c>
      <c r="F719" s="3" t="n">
        <v>915.04</v>
      </c>
      <c r="G719" s="4" t="n">
        <v>0.0312</v>
      </c>
      <c r="H719" s="3" t="n">
        <v>886.49</v>
      </c>
      <c r="I719" s="3" t="n">
        <v>8864.9</v>
      </c>
      <c r="J719" s="3" t="n">
        <v>593.24</v>
      </c>
      <c r="K719" s="3" t="n">
        <v>5932.4</v>
      </c>
      <c r="L719" s="3" t="n">
        <v>2932.5</v>
      </c>
      <c r="M719" s="4" t="n">
        <v>0.3308</v>
      </c>
    </row>
    <row r="720">
      <c r="A720" s="2" t="inlineStr">
        <is>
          <t>SKL-00719</t>
        </is>
      </c>
      <c r="B720" s="2" t="inlineStr">
        <is>
          <t>SIP-0191</t>
        </is>
      </c>
      <c r="C720" s="2" t="inlineStr">
        <is>
          <t>FLAIZO-002</t>
        </is>
      </c>
      <c r="D720" s="5" t="n">
        <v>53</v>
      </c>
      <c r="E720" s="2" t="inlineStr">
        <is>
          <t>Set</t>
        </is>
      </c>
      <c r="F720" s="3" t="n">
        <v>108.34</v>
      </c>
      <c r="G720" s="4" t="n">
        <v>0.06519999999999999</v>
      </c>
      <c r="H720" s="3" t="n">
        <v>101.28</v>
      </c>
      <c r="I720" s="3" t="n">
        <v>5367.84</v>
      </c>
      <c r="J720" s="3" t="n">
        <v>54.73</v>
      </c>
      <c r="K720" s="3" t="n">
        <v>2900.69</v>
      </c>
      <c r="L720" s="3" t="n">
        <v>2467.15</v>
      </c>
      <c r="M720" s="4" t="n">
        <v>0.4596</v>
      </c>
    </row>
    <row r="721">
      <c r="A721" s="2" t="inlineStr">
        <is>
          <t>SKL-00720</t>
        </is>
      </c>
      <c r="B721" s="2" t="inlineStr">
        <is>
          <t>SIP-0191</t>
        </is>
      </c>
      <c r="C721" s="2" t="inlineStr">
        <is>
          <t>KAR/-005</t>
        </is>
      </c>
      <c r="D721" s="5" t="n">
        <v>1</v>
      </c>
      <c r="E721" s="2" t="inlineStr">
        <is>
          <t>Adet</t>
        </is>
      </c>
      <c r="F721" s="3" t="n">
        <v>4588.76</v>
      </c>
      <c r="G721" s="4" t="n">
        <v>0.0261</v>
      </c>
      <c r="H721" s="3" t="n">
        <v>4468.99</v>
      </c>
      <c r="I721" s="3" t="n">
        <v>4468.99</v>
      </c>
      <c r="J721" s="3" t="n">
        <v>3490.84</v>
      </c>
      <c r="K721" s="3" t="n">
        <v>3490.84</v>
      </c>
      <c r="L721" s="3" t="n">
        <v>978.15</v>
      </c>
      <c r="M721" s="4" t="n">
        <v>0.2189</v>
      </c>
    </row>
    <row r="722">
      <c r="A722" s="2" t="inlineStr">
        <is>
          <t>SKL-00721</t>
        </is>
      </c>
      <c r="B722" s="2" t="inlineStr">
        <is>
          <t>SIP-0191</t>
        </is>
      </c>
      <c r="C722" s="2" t="inlineStr">
        <is>
          <t>MEKSIZ-012</t>
        </is>
      </c>
      <c r="D722" s="5" t="n">
        <v>22</v>
      </c>
      <c r="E722" s="2" t="inlineStr">
        <is>
          <t>Adet</t>
        </is>
      </c>
      <c r="F722" s="3" t="n">
        <v>472.07</v>
      </c>
      <c r="G722" s="4" t="n">
        <v>0.0152</v>
      </c>
      <c r="H722" s="3" t="n">
        <v>464.89</v>
      </c>
      <c r="I722" s="3" t="n">
        <v>10227.58</v>
      </c>
      <c r="J722" s="3" t="n">
        <v>282.12</v>
      </c>
      <c r="K722" s="3" t="n">
        <v>6206.64</v>
      </c>
      <c r="L722" s="3" t="n">
        <v>4020.94</v>
      </c>
      <c r="M722" s="4" t="n">
        <v>0.3931</v>
      </c>
    </row>
    <row r="723">
      <c r="A723" s="2" t="inlineStr">
        <is>
          <t>SKL-00722</t>
        </is>
      </c>
      <c r="B723" s="2" t="inlineStr">
        <is>
          <t>SIP-0192</t>
        </is>
      </c>
      <c r="C723" s="2" t="inlineStr">
        <is>
          <t>MEKSIZ-008</t>
        </is>
      </c>
      <c r="D723" s="5" t="n">
        <v>16</v>
      </c>
      <c r="E723" s="2" t="inlineStr">
        <is>
          <t>Adet</t>
        </is>
      </c>
      <c r="F723" s="3" t="n">
        <v>739.9299999999999</v>
      </c>
      <c r="G723" s="4" t="n">
        <v>0.056</v>
      </c>
      <c r="H723" s="3" t="n">
        <v>698.49</v>
      </c>
      <c r="I723" s="3" t="n">
        <v>11175.84</v>
      </c>
      <c r="J723" s="3" t="n">
        <v>457.74</v>
      </c>
      <c r="K723" s="3" t="n">
        <v>7323.84</v>
      </c>
      <c r="L723" s="3" t="n">
        <v>3852</v>
      </c>
      <c r="M723" s="4" t="n">
        <v>0.3447</v>
      </c>
    </row>
    <row r="724">
      <c r="A724" s="2" t="inlineStr">
        <is>
          <t>SKL-00723</t>
        </is>
      </c>
      <c r="B724" s="2" t="inlineStr">
        <is>
          <t>SIP-0192</t>
        </is>
      </c>
      <c r="C724" s="2" t="inlineStr">
        <is>
          <t>MEKSIZ-007</t>
        </is>
      </c>
      <c r="D724" s="5" t="n">
        <v>27</v>
      </c>
      <c r="E724" s="2" t="inlineStr">
        <is>
          <t>Adet</t>
        </is>
      </c>
      <c r="F724" s="3" t="n">
        <v>468.68</v>
      </c>
      <c r="G724" s="4" t="n">
        <v>0.0542</v>
      </c>
      <c r="H724" s="3" t="n">
        <v>443.28</v>
      </c>
      <c r="I724" s="3" t="n">
        <v>11968.56</v>
      </c>
      <c r="J724" s="3" t="n">
        <v>301.85</v>
      </c>
      <c r="K724" s="3" t="n">
        <v>8149.95</v>
      </c>
      <c r="L724" s="3" t="n">
        <v>3818.61</v>
      </c>
      <c r="M724" s="4" t="n">
        <v>0.3191</v>
      </c>
    </row>
    <row r="725">
      <c r="A725" s="2" t="inlineStr">
        <is>
          <t>SKL-00724</t>
        </is>
      </c>
      <c r="B725" s="2" t="inlineStr">
        <is>
          <t>SIP-0192</t>
        </is>
      </c>
      <c r="C725" s="2" t="inlineStr">
        <is>
          <t>YAREND-001</t>
        </is>
      </c>
      <c r="D725" s="5" t="n">
        <v>9</v>
      </c>
      <c r="E725" s="2" t="inlineStr">
        <is>
          <t>Adet</t>
        </is>
      </c>
      <c r="F725" s="3" t="n">
        <v>1454.82</v>
      </c>
      <c r="G725" s="4" t="n">
        <v>0.0668</v>
      </c>
      <c r="H725" s="3" t="n">
        <v>1357.64</v>
      </c>
      <c r="I725" s="3" t="n">
        <v>12218.76</v>
      </c>
      <c r="J725" s="3" t="n">
        <v>945.3099999999999</v>
      </c>
      <c r="K725" s="3" t="n">
        <v>8507.790000000001</v>
      </c>
      <c r="L725" s="3" t="n">
        <v>3710.97</v>
      </c>
      <c r="M725" s="4" t="n">
        <v>0.3037</v>
      </c>
    </row>
    <row r="726">
      <c r="A726" s="2" t="inlineStr">
        <is>
          <t>SKL-00725</t>
        </is>
      </c>
      <c r="B726" s="2" t="inlineStr">
        <is>
          <t>SIP-0192</t>
        </is>
      </c>
      <c r="C726" s="2" t="inlineStr">
        <is>
          <t>YAREND-007</t>
        </is>
      </c>
      <c r="D726" s="5" t="n">
        <v>12</v>
      </c>
      <c r="E726" s="2" t="inlineStr">
        <is>
          <t>Adet</t>
        </is>
      </c>
      <c r="F726" s="3" t="n">
        <v>657.65</v>
      </c>
      <c r="G726" s="4" t="n">
        <v>0.0378</v>
      </c>
      <c r="H726" s="3" t="n">
        <v>632.79</v>
      </c>
      <c r="I726" s="3" t="n">
        <v>7593.48</v>
      </c>
      <c r="J726" s="3" t="n">
        <v>459.17</v>
      </c>
      <c r="K726" s="3" t="n">
        <v>5510.04</v>
      </c>
      <c r="L726" s="3" t="n">
        <v>2083.44</v>
      </c>
      <c r="M726" s="4" t="n">
        <v>0.2744</v>
      </c>
    </row>
    <row r="727">
      <c r="A727" s="2" t="inlineStr">
        <is>
          <t>SKL-00726</t>
        </is>
      </c>
      <c r="B727" s="2" t="inlineStr">
        <is>
          <t>SIP-0193</t>
        </is>
      </c>
      <c r="C727" s="2" t="inlineStr">
        <is>
          <t>ENDVAN-018</t>
        </is>
      </c>
      <c r="D727" s="5" t="n">
        <v>7</v>
      </c>
      <c r="E727" s="2" t="inlineStr">
        <is>
          <t>Adet</t>
        </is>
      </c>
      <c r="F727" s="3" t="n">
        <v>1006.17</v>
      </c>
      <c r="G727" s="4" t="n">
        <v>0.0205</v>
      </c>
      <c r="H727" s="3" t="n">
        <v>985.54</v>
      </c>
      <c r="I727" s="3" t="n">
        <v>6898.78</v>
      </c>
      <c r="J727" s="3" t="n">
        <v>781.12</v>
      </c>
      <c r="K727" s="3" t="n">
        <v>5467.84</v>
      </c>
      <c r="L727" s="3" t="n">
        <v>1430.94</v>
      </c>
      <c r="M727" s="4" t="n">
        <v>0.2074</v>
      </c>
    </row>
    <row r="728">
      <c r="A728" s="2" t="inlineStr">
        <is>
          <t>SKL-00727</t>
        </is>
      </c>
      <c r="B728" s="2" t="inlineStr">
        <is>
          <t>SIP-0193</t>
        </is>
      </c>
      <c r="C728" s="2" t="inlineStr">
        <is>
          <t>FLAIZO-014</t>
        </is>
      </c>
      <c r="D728" s="5" t="n">
        <v>50</v>
      </c>
      <c r="E728" s="2" t="inlineStr">
        <is>
          <t>Set</t>
        </is>
      </c>
      <c r="F728" s="3" t="n">
        <v>58.76</v>
      </c>
      <c r="G728" s="4" t="n">
        <v>0.0902</v>
      </c>
      <c r="H728" s="3" t="n">
        <v>53.46</v>
      </c>
      <c r="I728" s="3" t="n">
        <v>2673</v>
      </c>
      <c r="J728" s="3" t="n">
        <v>32.61</v>
      </c>
      <c r="K728" s="3" t="n">
        <v>1630.5</v>
      </c>
      <c r="L728" s="3" t="n">
        <v>1042.5</v>
      </c>
      <c r="M728" s="4" t="n">
        <v>0.39</v>
      </c>
    </row>
    <row r="729">
      <c r="A729" s="2" t="inlineStr">
        <is>
          <t>SKL-00728</t>
        </is>
      </c>
      <c r="B729" s="2" t="inlineStr">
        <is>
          <t>SIP-0193</t>
        </is>
      </c>
      <c r="C729" s="2" t="inlineStr">
        <is>
          <t>ENDVAN-014</t>
        </is>
      </c>
      <c r="D729" s="5" t="n">
        <v>15</v>
      </c>
      <c r="E729" s="2" t="inlineStr">
        <is>
          <t>Adet</t>
        </is>
      </c>
      <c r="F729" s="3" t="n">
        <v>1699.68</v>
      </c>
      <c r="G729" s="4" t="n">
        <v>0.0924</v>
      </c>
      <c r="H729" s="3" t="n">
        <v>1542.63</v>
      </c>
      <c r="I729" s="3" t="n">
        <v>23139.45</v>
      </c>
      <c r="J729" s="3" t="n">
        <v>1025.06</v>
      </c>
      <c r="K729" s="3" t="n">
        <v>15375.9</v>
      </c>
      <c r="L729" s="3" t="n">
        <v>7763.55</v>
      </c>
      <c r="M729" s="4" t="n">
        <v>0.3355</v>
      </c>
    </row>
    <row r="730">
      <c r="A730" s="2" t="inlineStr">
        <is>
          <t>SKL-00729</t>
        </is>
      </c>
      <c r="B730" s="2" t="inlineStr">
        <is>
          <t>SIP-0193</t>
        </is>
      </c>
      <c r="C730" s="2" t="inlineStr">
        <is>
          <t>ENDVAN-030</t>
        </is>
      </c>
      <c r="D730" s="5" t="n">
        <v>14</v>
      </c>
      <c r="E730" s="2" t="inlineStr">
        <is>
          <t>Adet</t>
        </is>
      </c>
      <c r="F730" s="3" t="n">
        <v>441.83</v>
      </c>
      <c r="G730" s="4" t="n">
        <v>0.1071</v>
      </c>
      <c r="H730" s="3" t="n">
        <v>394.51</v>
      </c>
      <c r="I730" s="3" t="n">
        <v>5523.14</v>
      </c>
      <c r="J730" s="3" t="n">
        <v>303.77</v>
      </c>
      <c r="K730" s="3" t="n">
        <v>4252.78</v>
      </c>
      <c r="L730" s="3" t="n">
        <v>1270.36</v>
      </c>
      <c r="M730" s="4" t="n">
        <v>0.23</v>
      </c>
    </row>
    <row r="731">
      <c r="A731" s="2" t="inlineStr">
        <is>
          <t>SKL-00730</t>
        </is>
      </c>
      <c r="B731" s="2" t="inlineStr">
        <is>
          <t>SIP-0193</t>
        </is>
      </c>
      <c r="C731" s="2" t="inlineStr">
        <is>
          <t>ENDVAN-004</t>
        </is>
      </c>
      <c r="D731" s="5" t="n">
        <v>9</v>
      </c>
      <c r="E731" s="2" t="inlineStr">
        <is>
          <t>Adet</t>
        </is>
      </c>
      <c r="F731" s="3" t="n">
        <v>313.92</v>
      </c>
      <c r="G731" s="4" t="n">
        <v>0.0014</v>
      </c>
      <c r="H731" s="3" t="n">
        <v>313.48</v>
      </c>
      <c r="I731" s="3" t="n">
        <v>2821.32</v>
      </c>
      <c r="J731" s="3" t="n">
        <v>212.53</v>
      </c>
      <c r="K731" s="3" t="n">
        <v>1912.77</v>
      </c>
      <c r="L731" s="3" t="n">
        <v>908.55</v>
      </c>
      <c r="M731" s="4" t="n">
        <v>0.322</v>
      </c>
    </row>
    <row r="732">
      <c r="A732" s="2" t="inlineStr">
        <is>
          <t>SKL-00731</t>
        </is>
      </c>
      <c r="B732" s="2" t="inlineStr">
        <is>
          <t>SIP-0194</t>
        </is>
      </c>
      <c r="C732" s="2" t="inlineStr">
        <is>
          <t>YAREND-001</t>
        </is>
      </c>
      <c r="D732" s="5" t="n">
        <v>19</v>
      </c>
      <c r="E732" s="2" t="inlineStr">
        <is>
          <t>Adet</t>
        </is>
      </c>
      <c r="F732" s="3" t="n">
        <v>1547.37</v>
      </c>
      <c r="G732" s="4" t="n">
        <v>0.0423</v>
      </c>
      <c r="H732" s="3" t="n">
        <v>1481.92</v>
      </c>
      <c r="I732" s="3" t="n">
        <v>28156.48</v>
      </c>
      <c r="J732" s="3" t="n">
        <v>945.3099999999999</v>
      </c>
      <c r="K732" s="3" t="n">
        <v>17960.89</v>
      </c>
      <c r="L732" s="3" t="n">
        <v>10195.59</v>
      </c>
      <c r="M732" s="4" t="n">
        <v>0.3621</v>
      </c>
    </row>
    <row r="733">
      <c r="A733" s="2" t="inlineStr">
        <is>
          <t>SKL-00732</t>
        </is>
      </c>
      <c r="B733" s="2" t="inlineStr">
        <is>
          <t>SIP-0194</t>
        </is>
      </c>
      <c r="C733" s="2" t="inlineStr">
        <is>
          <t>MEKSIZ-010</t>
        </is>
      </c>
      <c r="D733" s="5" t="n">
        <v>8</v>
      </c>
      <c r="E733" s="2" t="inlineStr">
        <is>
          <t>Adet</t>
        </is>
      </c>
      <c r="F733" s="3" t="n">
        <v>700.91</v>
      </c>
      <c r="G733" s="4" t="n">
        <v>0.0798</v>
      </c>
      <c r="H733" s="3" t="n">
        <v>644.98</v>
      </c>
      <c r="I733" s="3" t="n">
        <v>5159.84</v>
      </c>
      <c r="J733" s="3" t="n">
        <v>421.08</v>
      </c>
      <c r="K733" s="3" t="n">
        <v>3368.64</v>
      </c>
      <c r="L733" s="3" t="n">
        <v>1791.2</v>
      </c>
      <c r="M733" s="4" t="n">
        <v>0.3471</v>
      </c>
    </row>
    <row r="734">
      <c r="A734" s="2" t="inlineStr">
        <is>
          <t>SKL-00733</t>
        </is>
      </c>
      <c r="B734" s="2" t="inlineStr">
        <is>
          <t>SIP-0194</t>
        </is>
      </c>
      <c r="C734" s="2" t="inlineStr">
        <is>
          <t>KAR/-012</t>
        </is>
      </c>
      <c r="D734" s="5" t="n">
        <v>4</v>
      </c>
      <c r="E734" s="2" t="inlineStr">
        <is>
          <t>Adet</t>
        </is>
      </c>
      <c r="F734" s="3" t="n">
        <v>6827.39</v>
      </c>
      <c r="G734" s="4" t="n">
        <v>0.0803</v>
      </c>
      <c r="H734" s="3" t="n">
        <v>6279.15</v>
      </c>
      <c r="I734" s="3" t="n">
        <v>25116.6</v>
      </c>
      <c r="J734" s="3" t="n">
        <v>5176.41</v>
      </c>
      <c r="K734" s="3" t="n">
        <v>20705.64</v>
      </c>
      <c r="L734" s="3" t="n">
        <v>4410.96</v>
      </c>
      <c r="M734" s="4" t="n">
        <v>0.1756</v>
      </c>
    </row>
    <row r="735">
      <c r="A735" s="2" t="inlineStr">
        <is>
          <t>SKL-00734</t>
        </is>
      </c>
      <c r="B735" s="2" t="inlineStr">
        <is>
          <t>SIP-0195</t>
        </is>
      </c>
      <c r="C735" s="2" t="inlineStr">
        <is>
          <t>PROTAN-009</t>
        </is>
      </c>
      <c r="D735" s="5" t="n">
        <v>2</v>
      </c>
      <c r="E735" s="2" t="inlineStr">
        <is>
          <t>Adet</t>
        </is>
      </c>
      <c r="F735" s="3" t="n">
        <v>15088.9</v>
      </c>
      <c r="G735" s="4" t="n">
        <v>0.0621</v>
      </c>
      <c r="H735" s="3" t="n">
        <v>14151.88</v>
      </c>
      <c r="I735" s="3" t="n">
        <v>28303.76</v>
      </c>
      <c r="J735" s="3" t="n">
        <v>12443.59</v>
      </c>
      <c r="K735" s="3" t="n">
        <v>24887.18</v>
      </c>
      <c r="L735" s="3" t="n">
        <v>3416.58</v>
      </c>
      <c r="M735" s="4" t="n">
        <v>0.1207</v>
      </c>
    </row>
    <row r="736">
      <c r="A736" s="2" t="inlineStr">
        <is>
          <t>SKL-00735</t>
        </is>
      </c>
      <c r="B736" s="2" t="inlineStr">
        <is>
          <t>SIP-0195</t>
        </is>
      </c>
      <c r="C736" s="2" t="inlineStr">
        <is>
          <t>YAREND-002</t>
        </is>
      </c>
      <c r="D736" s="5" t="n">
        <v>11</v>
      </c>
      <c r="E736" s="2" t="inlineStr">
        <is>
          <t>Adet</t>
        </is>
      </c>
      <c r="F736" s="3" t="n">
        <v>1349.15</v>
      </c>
      <c r="G736" s="4" t="n">
        <v>0.045</v>
      </c>
      <c r="H736" s="3" t="n">
        <v>1288.44</v>
      </c>
      <c r="I736" s="3" t="n">
        <v>14172.84</v>
      </c>
      <c r="J736" s="3" t="n">
        <v>839.65</v>
      </c>
      <c r="K736" s="3" t="n">
        <v>9236.15</v>
      </c>
      <c r="L736" s="3" t="n">
        <v>4936.69</v>
      </c>
      <c r="M736" s="4" t="n">
        <v>0.3483</v>
      </c>
    </row>
    <row r="737">
      <c r="A737" s="2" t="inlineStr">
        <is>
          <t>SKL-00736</t>
        </is>
      </c>
      <c r="B737" s="2" t="inlineStr">
        <is>
          <t>SIP-0196</t>
        </is>
      </c>
      <c r="C737" s="2" t="inlineStr">
        <is>
          <t>ENDVAN-023</t>
        </is>
      </c>
      <c r="D737" s="5" t="n">
        <v>9</v>
      </c>
      <c r="E737" s="2" t="inlineStr">
        <is>
          <t>Adet</t>
        </is>
      </c>
      <c r="F737" s="3" t="n">
        <v>1178.11</v>
      </c>
      <c r="G737" s="4" t="n">
        <v>0.0743</v>
      </c>
      <c r="H737" s="3" t="n">
        <v>1090.58</v>
      </c>
      <c r="I737" s="3" t="n">
        <v>9815.219999999999</v>
      </c>
      <c r="J737" s="3" t="n">
        <v>763.0599999999999</v>
      </c>
      <c r="K737" s="3" t="n">
        <v>6867.54</v>
      </c>
      <c r="L737" s="3" t="n">
        <v>2947.68</v>
      </c>
      <c r="M737" s="4" t="n">
        <v>0.3003</v>
      </c>
    </row>
    <row r="738">
      <c r="A738" s="2" t="inlineStr">
        <is>
          <t>SKL-00737</t>
        </is>
      </c>
      <c r="B738" s="2" t="inlineStr">
        <is>
          <t>SIP-0196</t>
        </is>
      </c>
      <c r="C738" s="2" t="inlineStr">
        <is>
          <t>ENDVAN-002</t>
        </is>
      </c>
      <c r="D738" s="5" t="n">
        <v>8</v>
      </c>
      <c r="E738" s="2" t="inlineStr">
        <is>
          <t>Adet</t>
        </is>
      </c>
      <c r="F738" s="3" t="n">
        <v>251.2</v>
      </c>
      <c r="G738" s="4" t="n">
        <v>0.0366</v>
      </c>
      <c r="H738" s="3" t="n">
        <v>242.01</v>
      </c>
      <c r="I738" s="3" t="n">
        <v>1936.08</v>
      </c>
      <c r="J738" s="3" t="n">
        <v>186.74</v>
      </c>
      <c r="K738" s="3" t="n">
        <v>1493.92</v>
      </c>
      <c r="L738" s="3" t="n">
        <v>442.16</v>
      </c>
      <c r="M738" s="4" t="n">
        <v>0.2284</v>
      </c>
    </row>
    <row r="739">
      <c r="A739" s="2" t="inlineStr">
        <is>
          <t>SKL-00738</t>
        </is>
      </c>
      <c r="B739" s="2" t="inlineStr">
        <is>
          <t>SIP-0197</t>
        </is>
      </c>
      <c r="C739" s="2" t="inlineStr">
        <is>
          <t>MEKSIZ-009</t>
        </is>
      </c>
      <c r="D739" s="5" t="n">
        <v>22</v>
      </c>
      <c r="E739" s="2" t="inlineStr">
        <is>
          <t>Adet</t>
        </is>
      </c>
      <c r="F739" s="3" t="n">
        <v>828.6</v>
      </c>
      <c r="G739" s="4" t="n">
        <v>0.0476</v>
      </c>
      <c r="H739" s="3" t="n">
        <v>789.16</v>
      </c>
      <c r="I739" s="3" t="n">
        <v>17361.52</v>
      </c>
      <c r="J739" s="3" t="n">
        <v>458.31</v>
      </c>
      <c r="K739" s="3" t="n">
        <v>10082.82</v>
      </c>
      <c r="L739" s="3" t="n">
        <v>7278.7</v>
      </c>
      <c r="M739" s="4" t="n">
        <v>0.4192</v>
      </c>
    </row>
    <row r="740">
      <c r="A740" s="2" t="inlineStr">
        <is>
          <t>SKL-00739</t>
        </is>
      </c>
      <c r="B740" s="2" t="inlineStr">
        <is>
          <t>SIP-0197</t>
        </is>
      </c>
      <c r="C740" s="2" t="inlineStr">
        <is>
          <t>ENDVAN-007</t>
        </is>
      </c>
      <c r="D740" s="5" t="n">
        <v>8</v>
      </c>
      <c r="E740" s="2" t="inlineStr">
        <is>
          <t>Adet</t>
        </is>
      </c>
      <c r="F740" s="3" t="n">
        <v>189.76</v>
      </c>
      <c r="G740" s="4" t="n">
        <v>0.0453</v>
      </c>
      <c r="H740" s="3" t="n">
        <v>181.16</v>
      </c>
      <c r="I740" s="3" t="n">
        <v>1449.28</v>
      </c>
      <c r="J740" s="3" t="n">
        <v>126.94</v>
      </c>
      <c r="K740" s="3" t="n">
        <v>1015.52</v>
      </c>
      <c r="L740" s="3" t="n">
        <v>433.76</v>
      </c>
      <c r="M740" s="4" t="n">
        <v>0.2993</v>
      </c>
    </row>
    <row r="741">
      <c r="A741" s="2" t="inlineStr">
        <is>
          <t>SKL-00740</t>
        </is>
      </c>
      <c r="B741" s="2" t="inlineStr">
        <is>
          <t>SIP-0197</t>
        </is>
      </c>
      <c r="C741" s="2" t="inlineStr">
        <is>
          <t>MEKSIZ-011</t>
        </is>
      </c>
      <c r="D741" s="5" t="n">
        <v>4</v>
      </c>
      <c r="E741" s="2" t="inlineStr">
        <is>
          <t>Adet</t>
        </is>
      </c>
      <c r="F741" s="3" t="n">
        <v>434.85</v>
      </c>
      <c r="G741" s="4" t="n">
        <v>0.0635</v>
      </c>
      <c r="H741" s="3" t="n">
        <v>407.24</v>
      </c>
      <c r="I741" s="3" t="n">
        <v>1628.96</v>
      </c>
      <c r="J741" s="3" t="n">
        <v>258.54</v>
      </c>
      <c r="K741" s="3" t="n">
        <v>1034.16</v>
      </c>
      <c r="L741" s="3" t="n">
        <v>594.8</v>
      </c>
      <c r="M741" s="4" t="n">
        <v>0.3651</v>
      </c>
    </row>
    <row r="742">
      <c r="A742" s="2" t="inlineStr">
        <is>
          <t>SKL-00741</t>
        </is>
      </c>
      <c r="B742" s="2" t="inlineStr">
        <is>
          <t>SIP-0198</t>
        </is>
      </c>
      <c r="C742" s="2" t="inlineStr">
        <is>
          <t>ENDVAN-004</t>
        </is>
      </c>
      <c r="D742" s="5" t="n">
        <v>10</v>
      </c>
      <c r="E742" s="2" t="inlineStr">
        <is>
          <t>Adet</t>
        </is>
      </c>
      <c r="F742" s="3" t="n">
        <v>277.55</v>
      </c>
      <c r="G742" s="4" t="n">
        <v>0.0989</v>
      </c>
      <c r="H742" s="3" t="n">
        <v>250.1</v>
      </c>
      <c r="I742" s="3" t="n">
        <v>2501</v>
      </c>
      <c r="J742" s="3" t="n">
        <v>212.53</v>
      </c>
      <c r="K742" s="3" t="n">
        <v>2125.3</v>
      </c>
      <c r="L742" s="3" t="n">
        <v>375.7</v>
      </c>
      <c r="M742" s="4" t="n">
        <v>0.1502</v>
      </c>
    </row>
    <row r="743">
      <c r="A743" s="2" t="inlineStr">
        <is>
          <t>SKL-00742</t>
        </is>
      </c>
      <c r="B743" s="2" t="inlineStr">
        <is>
          <t>SIP-0198</t>
        </is>
      </c>
      <c r="C743" s="2" t="inlineStr">
        <is>
          <t>ENDVAN-032</t>
        </is>
      </c>
      <c r="D743" s="5" t="n">
        <v>11</v>
      </c>
      <c r="E743" s="2" t="inlineStr">
        <is>
          <t>Adet</t>
        </is>
      </c>
      <c r="F743" s="3" t="n">
        <v>1054.89</v>
      </c>
      <c r="G743" s="4" t="n">
        <v>0.0789</v>
      </c>
      <c r="H743" s="3" t="n">
        <v>971.66</v>
      </c>
      <c r="I743" s="3" t="n">
        <v>10688.26</v>
      </c>
      <c r="J743" s="3" t="n">
        <v>641.8099999999999</v>
      </c>
      <c r="K743" s="3" t="n">
        <v>7059.91</v>
      </c>
      <c r="L743" s="3" t="n">
        <v>3628.35</v>
      </c>
      <c r="M743" s="4" t="n">
        <v>0.3395</v>
      </c>
    </row>
    <row r="744">
      <c r="A744" s="2" t="inlineStr">
        <is>
          <t>SKL-00743</t>
        </is>
      </c>
      <c r="B744" s="2" t="inlineStr">
        <is>
          <t>SIP-0198</t>
        </is>
      </c>
      <c r="C744" s="2" t="inlineStr">
        <is>
          <t>ENDVAN-032</t>
        </is>
      </c>
      <c r="D744" s="5" t="n">
        <v>6</v>
      </c>
      <c r="E744" s="2" t="inlineStr">
        <is>
          <t>Adet</t>
        </is>
      </c>
      <c r="F744" s="3" t="n">
        <v>1060.83</v>
      </c>
      <c r="G744" s="4" t="n">
        <v>0.0392</v>
      </c>
      <c r="H744" s="3" t="n">
        <v>1019.25</v>
      </c>
      <c r="I744" s="3" t="n">
        <v>6115.5</v>
      </c>
      <c r="J744" s="3" t="n">
        <v>641.8099999999999</v>
      </c>
      <c r="K744" s="3" t="n">
        <v>3850.86</v>
      </c>
      <c r="L744" s="3" t="n">
        <v>2264.64</v>
      </c>
      <c r="M744" s="4" t="n">
        <v>0.3703</v>
      </c>
    </row>
    <row r="745">
      <c r="A745" s="2" t="inlineStr">
        <is>
          <t>SKL-00744</t>
        </is>
      </c>
      <c r="B745" s="2" t="inlineStr">
        <is>
          <t>SIP-0198</t>
        </is>
      </c>
      <c r="C745" s="2" t="inlineStr">
        <is>
          <t>FLAIZO-006</t>
        </is>
      </c>
      <c r="D745" s="5" t="n">
        <v>74</v>
      </c>
      <c r="E745" s="2" t="inlineStr">
        <is>
          <t>Set</t>
        </is>
      </c>
      <c r="F745" s="3" t="n">
        <v>58.92</v>
      </c>
      <c r="G745" s="4" t="n">
        <v>0.0277</v>
      </c>
      <c r="H745" s="3" t="n">
        <v>57.29</v>
      </c>
      <c r="I745" s="3" t="n">
        <v>4239.46</v>
      </c>
      <c r="J745" s="3" t="n">
        <v>41.17</v>
      </c>
      <c r="K745" s="3" t="n">
        <v>3046.58</v>
      </c>
      <c r="L745" s="3" t="n">
        <v>1192.88</v>
      </c>
      <c r="M745" s="4" t="n">
        <v>0.2814</v>
      </c>
    </row>
    <row r="746">
      <c r="A746" s="2" t="inlineStr">
        <is>
          <t>SKL-00745</t>
        </is>
      </c>
      <c r="B746" s="2" t="inlineStr">
        <is>
          <t>SIP-0198</t>
        </is>
      </c>
      <c r="C746" s="2" t="inlineStr">
        <is>
          <t>KAR/-009</t>
        </is>
      </c>
      <c r="D746" s="5" t="n">
        <v>2</v>
      </c>
      <c r="E746" s="2" t="inlineStr">
        <is>
          <t>Adet</t>
        </is>
      </c>
      <c r="F746" s="3" t="n">
        <v>7715.28</v>
      </c>
      <c r="G746" s="4" t="n">
        <v>0.0897</v>
      </c>
      <c r="H746" s="3" t="n">
        <v>7023.22</v>
      </c>
      <c r="I746" s="3" t="n">
        <v>14046.44</v>
      </c>
      <c r="J746" s="3" t="n">
        <v>5529.91</v>
      </c>
      <c r="K746" s="3" t="n">
        <v>11059.82</v>
      </c>
      <c r="L746" s="3" t="n">
        <v>2986.62</v>
      </c>
      <c r="M746" s="4" t="n">
        <v>0.2126</v>
      </c>
    </row>
    <row r="747">
      <c r="A747" s="2" t="inlineStr">
        <is>
          <t>SKL-00746</t>
        </is>
      </c>
      <c r="B747" s="2" t="inlineStr">
        <is>
          <t>SIP-0198</t>
        </is>
      </c>
      <c r="C747" s="2" t="inlineStr">
        <is>
          <t>FLAIZO-010</t>
        </is>
      </c>
      <c r="D747" s="5" t="n">
        <v>80</v>
      </c>
      <c r="E747" s="2" t="inlineStr">
        <is>
          <t>Set</t>
        </is>
      </c>
      <c r="F747" s="3" t="n">
        <v>138.45</v>
      </c>
      <c r="G747" s="4" t="n">
        <v>0.091</v>
      </c>
      <c r="H747" s="3" t="n">
        <v>125.85</v>
      </c>
      <c r="I747" s="3" t="n">
        <v>10068</v>
      </c>
      <c r="J747" s="3" t="n">
        <v>82.88</v>
      </c>
      <c r="K747" s="3" t="n">
        <v>6630.4</v>
      </c>
      <c r="L747" s="3" t="n">
        <v>3437.6</v>
      </c>
      <c r="M747" s="4" t="n">
        <v>0.3414</v>
      </c>
    </row>
    <row r="748">
      <c r="A748" s="2" t="inlineStr">
        <is>
          <t>SKL-00747</t>
        </is>
      </c>
      <c r="B748" s="2" t="inlineStr">
        <is>
          <t>SIP-0198</t>
        </is>
      </c>
      <c r="C748" s="2" t="inlineStr">
        <is>
          <t>ENDVAN-005</t>
        </is>
      </c>
      <c r="D748" s="5" t="n">
        <v>9</v>
      </c>
      <c r="E748" s="2" t="inlineStr">
        <is>
          <t>Adet</t>
        </is>
      </c>
      <c r="F748" s="3" t="n">
        <v>949.67</v>
      </c>
      <c r="G748" s="4" t="n">
        <v>0.097</v>
      </c>
      <c r="H748" s="3" t="n">
        <v>857.55</v>
      </c>
      <c r="I748" s="3" t="n">
        <v>7717.95</v>
      </c>
      <c r="J748" s="3" t="n">
        <v>653.55</v>
      </c>
      <c r="K748" s="3" t="n">
        <v>5881.95</v>
      </c>
      <c r="L748" s="3" t="n">
        <v>1836</v>
      </c>
      <c r="M748" s="4" t="n">
        <v>0.2379</v>
      </c>
    </row>
    <row r="749">
      <c r="A749" s="2" t="inlineStr">
        <is>
          <t>SKL-00748</t>
        </is>
      </c>
      <c r="B749" s="2" t="inlineStr">
        <is>
          <t>SIP-0199</t>
        </is>
      </c>
      <c r="C749" s="2" t="inlineStr">
        <is>
          <t>FLAIZO-001</t>
        </is>
      </c>
      <c r="D749" s="5" t="n">
        <v>32</v>
      </c>
      <c r="E749" s="2" t="inlineStr">
        <is>
          <t>Set</t>
        </is>
      </c>
      <c r="F749" s="3" t="n">
        <v>113.27</v>
      </c>
      <c r="G749" s="4" t="n">
        <v>0.0393</v>
      </c>
      <c r="H749" s="3" t="n">
        <v>108.82</v>
      </c>
      <c r="I749" s="3" t="n">
        <v>3482.24</v>
      </c>
      <c r="J749" s="3" t="n">
        <v>72.90000000000001</v>
      </c>
      <c r="K749" s="3" t="n">
        <v>2332.8</v>
      </c>
      <c r="L749" s="3" t="n">
        <v>1149.44</v>
      </c>
      <c r="M749" s="4" t="n">
        <v>0.3301</v>
      </c>
    </row>
    <row r="750">
      <c r="A750" s="2" t="inlineStr">
        <is>
          <t>SKL-00749</t>
        </is>
      </c>
      <c r="B750" s="2" t="inlineStr">
        <is>
          <t>SIP-0199</t>
        </is>
      </c>
      <c r="C750" s="2" t="inlineStr">
        <is>
          <t>ENDVAN-009</t>
        </is>
      </c>
      <c r="D750" s="5" t="n">
        <v>23</v>
      </c>
      <c r="E750" s="2" t="inlineStr">
        <is>
          <t>Adet</t>
        </is>
      </c>
      <c r="F750" s="3" t="n">
        <v>537.09</v>
      </c>
      <c r="G750" s="4" t="n">
        <v>0.1036</v>
      </c>
      <c r="H750" s="3" t="n">
        <v>481.45</v>
      </c>
      <c r="I750" s="3" t="n">
        <v>11073.35</v>
      </c>
      <c r="J750" s="3" t="n">
        <v>411.64</v>
      </c>
      <c r="K750" s="3" t="n">
        <v>9467.719999999999</v>
      </c>
      <c r="L750" s="3" t="n">
        <v>1605.63</v>
      </c>
      <c r="M750" s="4" t="n">
        <v>0.145</v>
      </c>
    </row>
    <row r="751">
      <c r="A751" s="2" t="inlineStr">
        <is>
          <t>SKL-00750</t>
        </is>
      </c>
      <c r="B751" s="2" t="inlineStr">
        <is>
          <t>SIP-0200</t>
        </is>
      </c>
      <c r="C751" s="2" t="inlineStr">
        <is>
          <t>YAREND-006</t>
        </is>
      </c>
      <c r="D751" s="5" t="n">
        <v>9</v>
      </c>
      <c r="E751" s="2" t="inlineStr">
        <is>
          <t>Adet</t>
        </is>
      </c>
      <c r="F751" s="3" t="n">
        <v>509.09</v>
      </c>
      <c r="G751" s="4" t="n">
        <v>0.0698</v>
      </c>
      <c r="H751" s="3" t="n">
        <v>473.56</v>
      </c>
      <c r="I751" s="3" t="n">
        <v>4262.04</v>
      </c>
      <c r="J751" s="3" t="n">
        <v>363.57</v>
      </c>
      <c r="K751" s="3" t="n">
        <v>3272.13</v>
      </c>
      <c r="L751" s="3" t="n">
        <v>989.91</v>
      </c>
      <c r="M751" s="4" t="n">
        <v>0.2323</v>
      </c>
    </row>
    <row r="752">
      <c r="A752" s="2" t="inlineStr">
        <is>
          <t>SKL-00751</t>
        </is>
      </c>
      <c r="B752" s="2" t="inlineStr">
        <is>
          <t>SIP-0200</t>
        </is>
      </c>
      <c r="C752" s="2" t="inlineStr">
        <is>
          <t>FLAIZO-014</t>
        </is>
      </c>
      <c r="D752" s="5" t="n">
        <v>70</v>
      </c>
      <c r="E752" s="2" t="inlineStr">
        <is>
          <t>Set</t>
        </is>
      </c>
      <c r="F752" s="3" t="n">
        <v>61.45</v>
      </c>
      <c r="G752" s="4" t="n">
        <v>0.0968</v>
      </c>
      <c r="H752" s="3" t="n">
        <v>55.5</v>
      </c>
      <c r="I752" s="3" t="n">
        <v>3885</v>
      </c>
      <c r="J752" s="3" t="n">
        <v>32.61</v>
      </c>
      <c r="K752" s="3" t="n">
        <v>2282.7</v>
      </c>
      <c r="L752" s="3" t="n">
        <v>1602.3</v>
      </c>
      <c r="M752" s="4" t="n">
        <v>0.4124</v>
      </c>
    </row>
    <row r="753">
      <c r="A753" s="2" t="inlineStr">
        <is>
          <t>SKL-00752</t>
        </is>
      </c>
      <c r="B753" s="2" t="inlineStr">
        <is>
          <t>SIP-0200</t>
        </is>
      </c>
      <c r="C753" s="2" t="inlineStr">
        <is>
          <t>YAREND-002</t>
        </is>
      </c>
      <c r="D753" s="5" t="n">
        <v>13</v>
      </c>
      <c r="E753" s="2" t="inlineStr">
        <is>
          <t>Adet</t>
        </is>
      </c>
      <c r="F753" s="3" t="n">
        <v>1197.58</v>
      </c>
      <c r="G753" s="4" t="n">
        <v>0.03</v>
      </c>
      <c r="H753" s="3" t="n">
        <v>1161.65</v>
      </c>
      <c r="I753" s="3" t="n">
        <v>15101.45</v>
      </c>
      <c r="J753" s="3" t="n">
        <v>839.65</v>
      </c>
      <c r="K753" s="3" t="n">
        <v>10915.45</v>
      </c>
      <c r="L753" s="3" t="n">
        <v>4186</v>
      </c>
      <c r="M753" s="4" t="n">
        <v>0.2772</v>
      </c>
    </row>
    <row r="754">
      <c r="A754" s="2" t="inlineStr">
        <is>
          <t>SKL-00753</t>
        </is>
      </c>
      <c r="B754" s="2" t="inlineStr">
        <is>
          <t>SIP-0200</t>
        </is>
      </c>
      <c r="C754" s="2" t="inlineStr">
        <is>
          <t>ENDVAN-019</t>
        </is>
      </c>
      <c r="D754" s="5" t="n">
        <v>20</v>
      </c>
      <c r="E754" s="2" t="inlineStr">
        <is>
          <t>Adet</t>
        </is>
      </c>
      <c r="F754" s="3" t="n">
        <v>812.5599999999999</v>
      </c>
      <c r="G754" s="4" t="n">
        <v>0.0284</v>
      </c>
      <c r="H754" s="3" t="n">
        <v>789.48</v>
      </c>
      <c r="I754" s="3" t="n">
        <v>15789.6</v>
      </c>
      <c r="J754" s="3" t="n">
        <v>564.9400000000001</v>
      </c>
      <c r="K754" s="3" t="n">
        <v>11298.8</v>
      </c>
      <c r="L754" s="3" t="n">
        <v>4490.8</v>
      </c>
      <c r="M754" s="4" t="n">
        <v>0.2844</v>
      </c>
    </row>
    <row r="755">
      <c r="A755" s="2" t="inlineStr">
        <is>
          <t>SKL-00754</t>
        </is>
      </c>
      <c r="B755" s="2" t="inlineStr">
        <is>
          <t>SIP-0200</t>
        </is>
      </c>
      <c r="C755" s="2" t="inlineStr">
        <is>
          <t>FLAIZO-002</t>
        </is>
      </c>
      <c r="D755" s="5" t="n">
        <v>15</v>
      </c>
      <c r="E755" s="2" t="inlineStr">
        <is>
          <t>Set</t>
        </is>
      </c>
      <c r="F755" s="3" t="n">
        <v>98.13</v>
      </c>
      <c r="G755" s="4" t="n">
        <v>0.0158</v>
      </c>
      <c r="H755" s="3" t="n">
        <v>96.58</v>
      </c>
      <c r="I755" s="3" t="n">
        <v>1448.7</v>
      </c>
      <c r="J755" s="3" t="n">
        <v>54.73</v>
      </c>
      <c r="K755" s="3" t="n">
        <v>820.95</v>
      </c>
      <c r="L755" s="3" t="n">
        <v>627.75</v>
      </c>
      <c r="M755" s="4" t="n">
        <v>0.4333</v>
      </c>
    </row>
    <row r="756">
      <c r="A756" s="2" t="inlineStr">
        <is>
          <t>SKL-00755</t>
        </is>
      </c>
      <c r="B756" s="2" t="inlineStr">
        <is>
          <t>SIP-0200</t>
        </is>
      </c>
      <c r="C756" s="2" t="inlineStr">
        <is>
          <t>PROTAN-002</t>
        </is>
      </c>
      <c r="D756" s="5" t="n">
        <v>2</v>
      </c>
      <c r="E756" s="2" t="inlineStr">
        <is>
          <t>Adet</t>
        </is>
      </c>
      <c r="F756" s="3" t="n">
        <v>7881.05</v>
      </c>
      <c r="G756" s="4" t="n">
        <v>0.0037</v>
      </c>
      <c r="H756" s="3" t="n">
        <v>7851.89</v>
      </c>
      <c r="I756" s="3" t="n">
        <v>15703.78</v>
      </c>
      <c r="J756" s="3" t="n">
        <v>6532.53</v>
      </c>
      <c r="K756" s="3" t="n">
        <v>13065.06</v>
      </c>
      <c r="L756" s="3" t="n">
        <v>2638.72</v>
      </c>
      <c r="M756" s="4" t="n">
        <v>0.168</v>
      </c>
    </row>
    <row r="757">
      <c r="A757" s="2" t="inlineStr">
        <is>
          <t>SKL-00756</t>
        </is>
      </c>
      <c r="B757" s="2" t="inlineStr">
        <is>
          <t>SIP-0200</t>
        </is>
      </c>
      <c r="C757" s="2" t="inlineStr">
        <is>
          <t>ENDVAN-020</t>
        </is>
      </c>
      <c r="D757" s="5" t="n">
        <v>3</v>
      </c>
      <c r="E757" s="2" t="inlineStr">
        <is>
          <t>Adet</t>
        </is>
      </c>
      <c r="F757" s="3" t="n">
        <v>584.62</v>
      </c>
      <c r="G757" s="4" t="n">
        <v>0.0193</v>
      </c>
      <c r="H757" s="3" t="n">
        <v>573.34</v>
      </c>
      <c r="I757" s="3" t="n">
        <v>1720.02</v>
      </c>
      <c r="J757" s="3" t="n">
        <v>433.62</v>
      </c>
      <c r="K757" s="3" t="n">
        <v>1300.86</v>
      </c>
      <c r="L757" s="3" t="n">
        <v>419.16</v>
      </c>
      <c r="M757" s="4" t="n">
        <v>0.2437</v>
      </c>
    </row>
    <row r="758">
      <c r="A758" s="2" t="inlineStr">
        <is>
          <t>SKL-00757</t>
        </is>
      </c>
      <c r="B758" s="2" t="inlineStr">
        <is>
          <t>SIP-0201</t>
        </is>
      </c>
      <c r="C758" s="2" t="inlineStr">
        <is>
          <t>ENDVAN-022</t>
        </is>
      </c>
      <c r="D758" s="5" t="n">
        <v>7</v>
      </c>
      <c r="E758" s="2" t="inlineStr">
        <is>
          <t>Adet</t>
        </is>
      </c>
      <c r="F758" s="3" t="n">
        <v>208.41</v>
      </c>
      <c r="G758" s="4" t="n">
        <v>0.06710000000000001</v>
      </c>
      <c r="H758" s="3" t="n">
        <v>194.43</v>
      </c>
      <c r="I758" s="3" t="n">
        <v>1361.01</v>
      </c>
      <c r="J758" s="3" t="n">
        <v>163.9</v>
      </c>
      <c r="K758" s="3" t="n">
        <v>1147.3</v>
      </c>
      <c r="L758" s="3" t="n">
        <v>213.71</v>
      </c>
      <c r="M758" s="4" t="n">
        <v>0.157</v>
      </c>
    </row>
    <row r="759">
      <c r="A759" s="2" t="inlineStr">
        <is>
          <t>SKL-00758</t>
        </is>
      </c>
      <c r="B759" s="2" t="inlineStr">
        <is>
          <t>SIP-0201</t>
        </is>
      </c>
      <c r="C759" s="2" t="inlineStr">
        <is>
          <t>FLAIZO-013</t>
        </is>
      </c>
      <c r="D759" s="5" t="n">
        <v>22</v>
      </c>
      <c r="E759" s="2" t="inlineStr">
        <is>
          <t>Set</t>
        </is>
      </c>
      <c r="F759" s="3" t="n">
        <v>36.54</v>
      </c>
      <c r="G759" s="4" t="n">
        <v>0.0698</v>
      </c>
      <c r="H759" s="3" t="n">
        <v>33.99</v>
      </c>
      <c r="I759" s="3" t="n">
        <v>747.78</v>
      </c>
      <c r="J759" s="3" t="n">
        <v>19.05</v>
      </c>
      <c r="K759" s="3" t="n">
        <v>419.1</v>
      </c>
      <c r="L759" s="3" t="n">
        <v>328.68</v>
      </c>
      <c r="M759" s="4" t="n">
        <v>0.4395</v>
      </c>
    </row>
    <row r="760">
      <c r="A760" s="2" t="inlineStr">
        <is>
          <t>SKL-00759</t>
        </is>
      </c>
      <c r="B760" s="2" t="inlineStr">
        <is>
          <t>SIP-0201</t>
        </is>
      </c>
      <c r="C760" s="2" t="inlineStr">
        <is>
          <t>ENDVAN-010</t>
        </is>
      </c>
      <c r="D760" s="5" t="n">
        <v>2</v>
      </c>
      <c r="E760" s="2" t="inlineStr">
        <is>
          <t>Adet</t>
        </is>
      </c>
      <c r="F760" s="3" t="n">
        <v>1184.83</v>
      </c>
      <c r="G760" s="4" t="n">
        <v>0.0286</v>
      </c>
      <c r="H760" s="3" t="n">
        <v>1150.94</v>
      </c>
      <c r="I760" s="3" t="n">
        <v>2301.88</v>
      </c>
      <c r="J760" s="3" t="n">
        <v>891.17</v>
      </c>
      <c r="K760" s="3" t="n">
        <v>1782.34</v>
      </c>
      <c r="L760" s="3" t="n">
        <v>519.54</v>
      </c>
      <c r="M760" s="4" t="n">
        <v>0.2257</v>
      </c>
    </row>
    <row r="761">
      <c r="A761" s="2" t="inlineStr">
        <is>
          <t>SKL-00760</t>
        </is>
      </c>
      <c r="B761" s="2" t="inlineStr">
        <is>
          <t>SIP-0201</t>
        </is>
      </c>
      <c r="C761" s="2" t="inlineStr">
        <is>
          <t>ENDVAN-001</t>
        </is>
      </c>
      <c r="D761" s="5" t="n">
        <v>3</v>
      </c>
      <c r="E761" s="2" t="inlineStr">
        <is>
          <t>Adet</t>
        </is>
      </c>
      <c r="F761" s="3" t="n">
        <v>281.98</v>
      </c>
      <c r="G761" s="4" t="n">
        <v>0.0856</v>
      </c>
      <c r="H761" s="3" t="n">
        <v>257.84</v>
      </c>
      <c r="I761" s="3" t="n">
        <v>773.52</v>
      </c>
      <c r="J761" s="3" t="n">
        <v>192.02</v>
      </c>
      <c r="K761" s="3" t="n">
        <v>576.0599999999999</v>
      </c>
      <c r="L761" s="3" t="n">
        <v>197.46</v>
      </c>
      <c r="M761" s="4" t="n">
        <v>0.2553</v>
      </c>
    </row>
    <row r="762">
      <c r="A762" s="2" t="inlineStr">
        <is>
          <t>SKL-00761</t>
        </is>
      </c>
      <c r="B762" s="2" t="inlineStr">
        <is>
          <t>SIP-0202</t>
        </is>
      </c>
      <c r="C762" s="2" t="inlineStr">
        <is>
          <t>ENDVAN-003</t>
        </is>
      </c>
      <c r="D762" s="5" t="n">
        <v>17</v>
      </c>
      <c r="E762" s="2" t="inlineStr">
        <is>
          <t>Adet</t>
        </is>
      </c>
      <c r="F762" s="3" t="n">
        <v>1421.95</v>
      </c>
      <c r="G762" s="4" t="n">
        <v>0.07820000000000001</v>
      </c>
      <c r="H762" s="3" t="n">
        <v>1310.75</v>
      </c>
      <c r="I762" s="3" t="n">
        <v>22282.75</v>
      </c>
      <c r="J762" s="3" t="n">
        <v>1050.24</v>
      </c>
      <c r="K762" s="3" t="n">
        <v>17854.08</v>
      </c>
      <c r="L762" s="3" t="n">
        <v>4428.67</v>
      </c>
      <c r="M762" s="4" t="n">
        <v>0.1987</v>
      </c>
    </row>
    <row r="763">
      <c r="A763" s="2" t="inlineStr">
        <is>
          <t>SKL-00762</t>
        </is>
      </c>
      <c r="B763" s="2" t="inlineStr">
        <is>
          <t>SIP-0202</t>
        </is>
      </c>
      <c r="C763" s="2" t="inlineStr">
        <is>
          <t>FLAIZO-001</t>
        </is>
      </c>
      <c r="D763" s="5" t="n">
        <v>69</v>
      </c>
      <c r="E763" s="2" t="inlineStr">
        <is>
          <t>Set</t>
        </is>
      </c>
      <c r="F763" s="3" t="n">
        <v>108.83</v>
      </c>
      <c r="G763" s="4" t="n">
        <v>0.0696</v>
      </c>
      <c r="H763" s="3" t="n">
        <v>101.26</v>
      </c>
      <c r="I763" s="3" t="n">
        <v>6986.94</v>
      </c>
      <c r="J763" s="3" t="n">
        <v>72.90000000000001</v>
      </c>
      <c r="K763" s="3" t="n">
        <v>5030.1</v>
      </c>
      <c r="L763" s="3" t="n">
        <v>1956.84</v>
      </c>
      <c r="M763" s="4" t="n">
        <v>0.2801</v>
      </c>
    </row>
    <row r="764">
      <c r="A764" s="2" t="inlineStr">
        <is>
          <t>SKL-00763</t>
        </is>
      </c>
      <c r="B764" s="2" t="inlineStr">
        <is>
          <t>SIP-0202</t>
        </is>
      </c>
      <c r="C764" s="2" t="inlineStr">
        <is>
          <t>MEKSIZ-001</t>
        </is>
      </c>
      <c r="D764" s="5" t="n">
        <v>10</v>
      </c>
      <c r="E764" s="2" t="inlineStr">
        <is>
          <t>Adet</t>
        </is>
      </c>
      <c r="F764" s="3" t="n">
        <v>594.45</v>
      </c>
      <c r="G764" s="4" t="n">
        <v>0.1064</v>
      </c>
      <c r="H764" s="3" t="n">
        <v>531.2</v>
      </c>
      <c r="I764" s="3" t="n">
        <v>5312</v>
      </c>
      <c r="J764" s="3" t="n">
        <v>372.57</v>
      </c>
      <c r="K764" s="3" t="n">
        <v>3725.7</v>
      </c>
      <c r="L764" s="3" t="n">
        <v>1586.3</v>
      </c>
      <c r="M764" s="4" t="n">
        <v>0.2986</v>
      </c>
    </row>
    <row r="765">
      <c r="A765" s="2" t="inlineStr">
        <is>
          <t>SKL-00764</t>
        </is>
      </c>
      <c r="B765" s="2" t="inlineStr">
        <is>
          <t>SIP-0202</t>
        </is>
      </c>
      <c r="C765" s="2" t="inlineStr">
        <is>
          <t>MEKSIZ-003</t>
        </is>
      </c>
      <c r="D765" s="5" t="n">
        <v>15</v>
      </c>
      <c r="E765" s="2" t="inlineStr">
        <is>
          <t>Adet</t>
        </is>
      </c>
      <c r="F765" s="3" t="n">
        <v>526.15</v>
      </c>
      <c r="G765" s="4" t="n">
        <v>0.0135</v>
      </c>
      <c r="H765" s="3" t="n">
        <v>519.05</v>
      </c>
      <c r="I765" s="3" t="n">
        <v>7785.75</v>
      </c>
      <c r="J765" s="3" t="n">
        <v>341.68</v>
      </c>
      <c r="K765" s="3" t="n">
        <v>5125.2</v>
      </c>
      <c r="L765" s="3" t="n">
        <v>2660.55</v>
      </c>
      <c r="M765" s="4" t="n">
        <v>0.3417</v>
      </c>
    </row>
    <row r="766">
      <c r="A766" s="2" t="inlineStr">
        <is>
          <t>SKL-00765</t>
        </is>
      </c>
      <c r="B766" s="2" t="inlineStr">
        <is>
          <t>SIP-0202</t>
        </is>
      </c>
      <c r="C766" s="2" t="inlineStr">
        <is>
          <t>MEKSIZ-012</t>
        </is>
      </c>
      <c r="D766" s="5" t="n">
        <v>8</v>
      </c>
      <c r="E766" s="2" t="inlineStr">
        <is>
          <t>Adet</t>
        </is>
      </c>
      <c r="F766" s="3" t="n">
        <v>453.33</v>
      </c>
      <c r="G766" s="4" t="n">
        <v>0.0979</v>
      </c>
      <c r="H766" s="3" t="n">
        <v>408.95</v>
      </c>
      <c r="I766" s="3" t="n">
        <v>3271.6</v>
      </c>
      <c r="J766" s="3" t="n">
        <v>282.12</v>
      </c>
      <c r="K766" s="3" t="n">
        <v>2256.96</v>
      </c>
      <c r="L766" s="3" t="n">
        <v>1014.64</v>
      </c>
      <c r="M766" s="4" t="n">
        <v>0.3101</v>
      </c>
    </row>
    <row r="767">
      <c r="A767" s="2" t="inlineStr">
        <is>
          <t>SKL-00766</t>
        </is>
      </c>
      <c r="B767" s="2" t="inlineStr">
        <is>
          <t>SIP-0203</t>
        </is>
      </c>
      <c r="C767" s="2" t="inlineStr">
        <is>
          <t>YAREND-009</t>
        </is>
      </c>
      <c r="D767" s="5" t="n">
        <v>8</v>
      </c>
      <c r="E767" s="2" t="inlineStr">
        <is>
          <t>Adet</t>
        </is>
      </c>
      <c r="F767" s="3" t="n">
        <v>1281.63</v>
      </c>
      <c r="G767" s="4" t="n">
        <v>0.0885</v>
      </c>
      <c r="H767" s="3" t="n">
        <v>1168.21</v>
      </c>
      <c r="I767" s="3" t="n">
        <v>9345.68</v>
      </c>
      <c r="J767" s="3" t="n">
        <v>873.73</v>
      </c>
      <c r="K767" s="3" t="n">
        <v>6989.84</v>
      </c>
      <c r="L767" s="3" t="n">
        <v>2355.84</v>
      </c>
      <c r="M767" s="4" t="n">
        <v>0.2521</v>
      </c>
    </row>
    <row r="768">
      <c r="A768" s="2" t="inlineStr">
        <is>
          <t>SKL-00767</t>
        </is>
      </c>
      <c r="B768" s="2" t="inlineStr">
        <is>
          <t>SIP-0203</t>
        </is>
      </c>
      <c r="C768" s="2" t="inlineStr">
        <is>
          <t>ENDVAN-018</t>
        </is>
      </c>
      <c r="D768" s="5" t="n">
        <v>20</v>
      </c>
      <c r="E768" s="2" t="inlineStr">
        <is>
          <t>Adet</t>
        </is>
      </c>
      <c r="F768" s="3" t="n">
        <v>1084.35</v>
      </c>
      <c r="G768" s="4" t="n">
        <v>0.0105</v>
      </c>
      <c r="H768" s="3" t="n">
        <v>1072.96</v>
      </c>
      <c r="I768" s="3" t="n">
        <v>21459.2</v>
      </c>
      <c r="J768" s="3" t="n">
        <v>781.12</v>
      </c>
      <c r="K768" s="3" t="n">
        <v>15622.4</v>
      </c>
      <c r="L768" s="3" t="n">
        <v>5836.8</v>
      </c>
      <c r="M768" s="4" t="n">
        <v>0.272</v>
      </c>
    </row>
    <row r="769">
      <c r="A769" s="2" t="inlineStr">
        <is>
          <t>SKL-00768</t>
        </is>
      </c>
      <c r="B769" s="2" t="inlineStr">
        <is>
          <t>SIP-0203</t>
        </is>
      </c>
      <c r="C769" s="2" t="inlineStr">
        <is>
          <t>ENDVAN-017</t>
        </is>
      </c>
      <c r="D769" s="5" t="n">
        <v>12</v>
      </c>
      <c r="E769" s="2" t="inlineStr">
        <is>
          <t>Adet</t>
        </is>
      </c>
      <c r="F769" s="3" t="n">
        <v>747.8200000000001</v>
      </c>
      <c r="G769" s="4" t="n">
        <v>0.0044</v>
      </c>
      <c r="H769" s="3" t="n">
        <v>744.53</v>
      </c>
      <c r="I769" s="3" t="n">
        <v>8934.360000000001</v>
      </c>
      <c r="J769" s="3" t="n">
        <v>518.3099999999999</v>
      </c>
      <c r="K769" s="3" t="n">
        <v>6219.72</v>
      </c>
      <c r="L769" s="3" t="n">
        <v>2714.64</v>
      </c>
      <c r="M769" s="4" t="n">
        <v>0.3038</v>
      </c>
    </row>
    <row r="770">
      <c r="A770" s="2" t="inlineStr">
        <is>
          <t>SKL-00769</t>
        </is>
      </c>
      <c r="B770" s="2" t="inlineStr">
        <is>
          <t>SIP-0204</t>
        </is>
      </c>
      <c r="C770" s="2" t="inlineStr">
        <is>
          <t>ENDVAN-032</t>
        </is>
      </c>
      <c r="D770" s="5" t="n">
        <v>10</v>
      </c>
      <c r="E770" s="2" t="inlineStr">
        <is>
          <t>Adet</t>
        </is>
      </c>
      <c r="F770" s="3" t="n">
        <v>954.1799999999999</v>
      </c>
      <c r="G770" s="4" t="n">
        <v>0.0476</v>
      </c>
      <c r="H770" s="3" t="n">
        <v>908.76</v>
      </c>
      <c r="I770" s="3" t="n">
        <v>9087.6</v>
      </c>
      <c r="J770" s="3" t="n">
        <v>641.8099999999999</v>
      </c>
      <c r="K770" s="3" t="n">
        <v>6418.1</v>
      </c>
      <c r="L770" s="3" t="n">
        <v>2669.5</v>
      </c>
      <c r="M770" s="4" t="n">
        <v>0.2938</v>
      </c>
    </row>
    <row r="771">
      <c r="A771" s="2" t="inlineStr">
        <is>
          <t>SKL-00770</t>
        </is>
      </c>
      <c r="B771" s="2" t="inlineStr">
        <is>
          <t>SIP-0204</t>
        </is>
      </c>
      <c r="C771" s="2" t="inlineStr">
        <is>
          <t>ENDVAN-003</t>
        </is>
      </c>
      <c r="D771" s="5" t="n">
        <v>4</v>
      </c>
      <c r="E771" s="2" t="inlineStr">
        <is>
          <t>Adet</t>
        </is>
      </c>
      <c r="F771" s="3" t="n">
        <v>1485.43</v>
      </c>
      <c r="G771" s="4" t="n">
        <v>0.0895</v>
      </c>
      <c r="H771" s="3" t="n">
        <v>1352.48</v>
      </c>
      <c r="I771" s="3" t="n">
        <v>5409.92</v>
      </c>
      <c r="J771" s="3" t="n">
        <v>1050.24</v>
      </c>
      <c r="K771" s="3" t="n">
        <v>4200.96</v>
      </c>
      <c r="L771" s="3" t="n">
        <v>1208.96</v>
      </c>
      <c r="M771" s="4" t="n">
        <v>0.2235</v>
      </c>
    </row>
    <row r="772">
      <c r="A772" s="2" t="inlineStr">
        <is>
          <t>SKL-00771</t>
        </is>
      </c>
      <c r="B772" s="2" t="inlineStr">
        <is>
          <t>SIP-0204</t>
        </is>
      </c>
      <c r="C772" s="2" t="inlineStr">
        <is>
          <t>ENDVAN-025</t>
        </is>
      </c>
      <c r="D772" s="5" t="n">
        <v>15</v>
      </c>
      <c r="E772" s="2" t="inlineStr">
        <is>
          <t>Adet</t>
        </is>
      </c>
      <c r="F772" s="3" t="n">
        <v>281.24</v>
      </c>
      <c r="G772" s="4" t="n">
        <v>0.0631</v>
      </c>
      <c r="H772" s="3" t="n">
        <v>263.49</v>
      </c>
      <c r="I772" s="3" t="n">
        <v>3952.35</v>
      </c>
      <c r="J772" s="3" t="n">
        <v>205.87</v>
      </c>
      <c r="K772" s="3" t="n">
        <v>3088.05</v>
      </c>
      <c r="L772" s="3" t="n">
        <v>864.3</v>
      </c>
      <c r="M772" s="4" t="n">
        <v>0.2187</v>
      </c>
    </row>
    <row r="773">
      <c r="A773" s="2" t="inlineStr">
        <is>
          <t>SKL-00772</t>
        </is>
      </c>
      <c r="B773" s="2" t="inlineStr">
        <is>
          <t>SIP-0204</t>
        </is>
      </c>
      <c r="C773" s="2" t="inlineStr">
        <is>
          <t>ENDVAN-006</t>
        </is>
      </c>
      <c r="D773" s="5" t="n">
        <v>3</v>
      </c>
      <c r="E773" s="2" t="inlineStr">
        <is>
          <t>Adet</t>
        </is>
      </c>
      <c r="F773" s="3" t="n">
        <v>1671.67</v>
      </c>
      <c r="G773" s="4" t="n">
        <v>0.08649999999999999</v>
      </c>
      <c r="H773" s="3" t="n">
        <v>1527.07</v>
      </c>
      <c r="I773" s="3" t="n">
        <v>4581.21</v>
      </c>
      <c r="J773" s="3" t="n">
        <v>1160.99</v>
      </c>
      <c r="K773" s="3" t="n">
        <v>3482.97</v>
      </c>
      <c r="L773" s="3" t="n">
        <v>1098.24</v>
      </c>
      <c r="M773" s="4" t="n">
        <v>0.2397</v>
      </c>
    </row>
    <row r="774">
      <c r="A774" s="2" t="inlineStr">
        <is>
          <t>SKL-00773</t>
        </is>
      </c>
      <c r="B774" s="2" t="inlineStr">
        <is>
          <t>SIP-0205</t>
        </is>
      </c>
      <c r="C774" s="2" t="inlineStr">
        <is>
          <t>ENDVAN-013</t>
        </is>
      </c>
      <c r="D774" s="5" t="n">
        <v>13</v>
      </c>
      <c r="E774" s="2" t="inlineStr">
        <is>
          <t>Adet</t>
        </is>
      </c>
      <c r="F774" s="3" t="n">
        <v>1647.59</v>
      </c>
      <c r="G774" s="4" t="n">
        <v>0.0463</v>
      </c>
      <c r="H774" s="3" t="n">
        <v>1571.31</v>
      </c>
      <c r="I774" s="3" t="n">
        <v>20427.03</v>
      </c>
      <c r="J774" s="3" t="n">
        <v>1133.86</v>
      </c>
      <c r="K774" s="3" t="n">
        <v>14740.18</v>
      </c>
      <c r="L774" s="3" t="n">
        <v>5686.85</v>
      </c>
      <c r="M774" s="4" t="n">
        <v>0.2784</v>
      </c>
    </row>
    <row r="775">
      <c r="A775" s="2" t="inlineStr">
        <is>
          <t>SKL-00774</t>
        </is>
      </c>
      <c r="B775" s="2" t="inlineStr">
        <is>
          <t>SIP-0205</t>
        </is>
      </c>
      <c r="C775" s="2" t="inlineStr">
        <is>
          <t>ENDVAN-019</t>
        </is>
      </c>
      <c r="D775" s="5" t="n">
        <v>10</v>
      </c>
      <c r="E775" s="2" t="inlineStr">
        <is>
          <t>Adet</t>
        </is>
      </c>
      <c r="F775" s="3" t="n">
        <v>770.9400000000001</v>
      </c>
      <c r="G775" s="4" t="n">
        <v>0.0911</v>
      </c>
      <c r="H775" s="3" t="n">
        <v>700.71</v>
      </c>
      <c r="I775" s="3" t="n">
        <v>7007.1</v>
      </c>
      <c r="J775" s="3" t="n">
        <v>564.9400000000001</v>
      </c>
      <c r="K775" s="3" t="n">
        <v>5649.4</v>
      </c>
      <c r="L775" s="3" t="n">
        <v>1357.7</v>
      </c>
      <c r="M775" s="4" t="n">
        <v>0.1938</v>
      </c>
    </row>
    <row r="776">
      <c r="A776" s="2" t="inlineStr">
        <is>
          <t>SKL-00775</t>
        </is>
      </c>
      <c r="B776" s="2" t="inlineStr">
        <is>
          <t>SIP-0205</t>
        </is>
      </c>
      <c r="C776" s="2" t="inlineStr">
        <is>
          <t>ENDVAN-033</t>
        </is>
      </c>
      <c r="D776" s="5" t="n">
        <v>16</v>
      </c>
      <c r="E776" s="2" t="inlineStr">
        <is>
          <t>Adet</t>
        </is>
      </c>
      <c r="F776" s="3" t="n">
        <v>1797.84</v>
      </c>
      <c r="G776" s="4" t="n">
        <v>0.08799999999999999</v>
      </c>
      <c r="H776" s="3" t="n">
        <v>1639.63</v>
      </c>
      <c r="I776" s="3" t="n">
        <v>26234.08</v>
      </c>
      <c r="J776" s="3" t="n">
        <v>1125.6</v>
      </c>
      <c r="K776" s="3" t="n">
        <v>18009.6</v>
      </c>
      <c r="L776" s="3" t="n">
        <v>8224.48</v>
      </c>
      <c r="M776" s="4" t="n">
        <v>0.3135</v>
      </c>
    </row>
    <row r="777">
      <c r="A777" s="2" t="inlineStr">
        <is>
          <t>SKL-00776</t>
        </is>
      </c>
      <c r="B777" s="2" t="inlineStr">
        <is>
          <t>SIP-0206</t>
        </is>
      </c>
      <c r="C777" s="2" t="inlineStr">
        <is>
          <t>ENDVAN-022</t>
        </is>
      </c>
      <c r="D777" s="5" t="n">
        <v>12</v>
      </c>
      <c r="E777" s="2" t="inlineStr">
        <is>
          <t>Adet</t>
        </is>
      </c>
      <c r="F777" s="3" t="n">
        <v>223.86</v>
      </c>
      <c r="G777" s="4" t="n">
        <v>0.0762</v>
      </c>
      <c r="H777" s="3" t="n">
        <v>206.8</v>
      </c>
      <c r="I777" s="3" t="n">
        <v>2481.6</v>
      </c>
      <c r="J777" s="3" t="n">
        <v>163.9</v>
      </c>
      <c r="K777" s="3" t="n">
        <v>1966.8</v>
      </c>
      <c r="L777" s="3" t="n">
        <v>514.8</v>
      </c>
      <c r="M777" s="4" t="n">
        <v>0.2074</v>
      </c>
    </row>
    <row r="778">
      <c r="A778" s="2" t="inlineStr">
        <is>
          <t>SKL-00777</t>
        </is>
      </c>
      <c r="B778" s="2" t="inlineStr">
        <is>
          <t>SIP-0207</t>
        </is>
      </c>
      <c r="C778" s="2" t="inlineStr">
        <is>
          <t>ENDVAN-001</t>
        </is>
      </c>
      <c r="D778" s="5" t="n">
        <v>9</v>
      </c>
      <c r="E778" s="2" t="inlineStr">
        <is>
          <t>Adet</t>
        </is>
      </c>
      <c r="F778" s="3" t="n">
        <v>286.09</v>
      </c>
      <c r="G778" s="4" t="n">
        <v>0.0124</v>
      </c>
      <c r="H778" s="3" t="n">
        <v>282.54</v>
      </c>
      <c r="I778" s="3" t="n">
        <v>2542.86</v>
      </c>
      <c r="J778" s="3" t="n">
        <v>192.02</v>
      </c>
      <c r="K778" s="3" t="n">
        <v>1728.18</v>
      </c>
      <c r="L778" s="3" t="n">
        <v>814.6799999999999</v>
      </c>
      <c r="M778" s="4" t="n">
        <v>0.3204</v>
      </c>
    </row>
    <row r="779">
      <c r="A779" s="2" t="inlineStr">
        <is>
          <t>SKL-00778</t>
        </is>
      </c>
      <c r="B779" s="2" t="inlineStr">
        <is>
          <t>SIP-0207</t>
        </is>
      </c>
      <c r="C779" s="2" t="inlineStr">
        <is>
          <t>ENDVAN-011</t>
        </is>
      </c>
      <c r="D779" s="5" t="n">
        <v>2</v>
      </c>
      <c r="E779" s="2" t="inlineStr">
        <is>
          <t>Adet</t>
        </is>
      </c>
      <c r="F779" s="3" t="n">
        <v>973.58</v>
      </c>
      <c r="G779" s="4" t="n">
        <v>0.0104</v>
      </c>
      <c r="H779" s="3" t="n">
        <v>963.45</v>
      </c>
      <c r="I779" s="3" t="n">
        <v>1926.9</v>
      </c>
      <c r="J779" s="3" t="n">
        <v>615.55</v>
      </c>
      <c r="K779" s="3" t="n">
        <v>1231.1</v>
      </c>
      <c r="L779" s="3" t="n">
        <v>695.8</v>
      </c>
      <c r="M779" s="4" t="n">
        <v>0.3611</v>
      </c>
    </row>
    <row r="780">
      <c r="A780" s="2" t="inlineStr">
        <is>
          <t>SKL-00779</t>
        </is>
      </c>
      <c r="B780" s="2" t="inlineStr">
        <is>
          <t>SIP-0207</t>
        </is>
      </c>
      <c r="C780" s="2" t="inlineStr">
        <is>
          <t>ENDVAN-023</t>
        </is>
      </c>
      <c r="D780" s="5" t="n">
        <v>12</v>
      </c>
      <c r="E780" s="2" t="inlineStr">
        <is>
          <t>Adet</t>
        </is>
      </c>
      <c r="F780" s="3" t="n">
        <v>1076.48</v>
      </c>
      <c r="G780" s="4" t="n">
        <v>0.1016</v>
      </c>
      <c r="H780" s="3" t="n">
        <v>967.11</v>
      </c>
      <c r="I780" s="3" t="n">
        <v>11605.32</v>
      </c>
      <c r="J780" s="3" t="n">
        <v>763.0599999999999</v>
      </c>
      <c r="K780" s="3" t="n">
        <v>9156.719999999999</v>
      </c>
      <c r="L780" s="3" t="n">
        <v>2448.6</v>
      </c>
      <c r="M780" s="4" t="n">
        <v>0.211</v>
      </c>
    </row>
    <row r="781">
      <c r="A781" s="2" t="inlineStr">
        <is>
          <t>SKL-00780</t>
        </is>
      </c>
      <c r="B781" s="2" t="inlineStr">
        <is>
          <t>SIP-0207</t>
        </is>
      </c>
      <c r="C781" s="2" t="inlineStr">
        <is>
          <t>ENDVAN-030</t>
        </is>
      </c>
      <c r="D781" s="5" t="n">
        <v>6</v>
      </c>
      <c r="E781" s="2" t="inlineStr">
        <is>
          <t>Adet</t>
        </is>
      </c>
      <c r="F781" s="3" t="n">
        <v>483.51</v>
      </c>
      <c r="G781" s="4" t="n">
        <v>0.06569999999999999</v>
      </c>
      <c r="H781" s="3" t="n">
        <v>451.74</v>
      </c>
      <c r="I781" s="3" t="n">
        <v>2710.44</v>
      </c>
      <c r="J781" s="3" t="n">
        <v>303.77</v>
      </c>
      <c r="K781" s="3" t="n">
        <v>1822.62</v>
      </c>
      <c r="L781" s="3" t="n">
        <v>887.8200000000001</v>
      </c>
      <c r="M781" s="4" t="n">
        <v>0.3276</v>
      </c>
    </row>
    <row r="782">
      <c r="A782" s="2" t="inlineStr">
        <is>
          <t>SKL-00781</t>
        </is>
      </c>
      <c r="B782" s="2" t="inlineStr">
        <is>
          <t>SIP-0208</t>
        </is>
      </c>
      <c r="C782" s="2" t="inlineStr">
        <is>
          <t>ENDVAN-007</t>
        </is>
      </c>
      <c r="D782" s="5" t="n">
        <v>11</v>
      </c>
      <c r="E782" s="2" t="inlineStr">
        <is>
          <t>Adet</t>
        </is>
      </c>
      <c r="F782" s="3" t="n">
        <v>188.39</v>
      </c>
      <c r="G782" s="4" t="n">
        <v>0.0257</v>
      </c>
      <c r="H782" s="3" t="n">
        <v>183.55</v>
      </c>
      <c r="I782" s="3" t="n">
        <v>2019.05</v>
      </c>
      <c r="J782" s="3" t="n">
        <v>126.94</v>
      </c>
      <c r="K782" s="3" t="n">
        <v>1396.34</v>
      </c>
      <c r="L782" s="3" t="n">
        <v>622.71</v>
      </c>
      <c r="M782" s="4" t="n">
        <v>0.3084</v>
      </c>
    </row>
    <row r="783">
      <c r="A783" s="2" t="inlineStr">
        <is>
          <t>SKL-00782</t>
        </is>
      </c>
      <c r="B783" s="2" t="inlineStr">
        <is>
          <t>SIP-0208</t>
        </is>
      </c>
      <c r="C783" s="2" t="inlineStr">
        <is>
          <t>ENDVAN-027</t>
        </is>
      </c>
      <c r="D783" s="5" t="n">
        <v>1</v>
      </c>
      <c r="E783" s="2" t="inlineStr">
        <is>
          <t>Adet</t>
        </is>
      </c>
      <c r="F783" s="3" t="n">
        <v>1705.99</v>
      </c>
      <c r="G783" s="4" t="n">
        <v>0.06710000000000001</v>
      </c>
      <c r="H783" s="3" t="n">
        <v>1591.52</v>
      </c>
      <c r="I783" s="3" t="n">
        <v>1591.52</v>
      </c>
      <c r="J783" s="3" t="n">
        <v>1041.65</v>
      </c>
      <c r="K783" s="3" t="n">
        <v>1041.65</v>
      </c>
      <c r="L783" s="3" t="n">
        <v>549.87</v>
      </c>
      <c r="M783" s="4" t="n">
        <v>0.3455</v>
      </c>
    </row>
    <row r="784">
      <c r="A784" s="2" t="inlineStr">
        <is>
          <t>SKL-00783</t>
        </is>
      </c>
      <c r="B784" s="2" t="inlineStr">
        <is>
          <t>SIP-0208</t>
        </is>
      </c>
      <c r="C784" s="2" t="inlineStr">
        <is>
          <t>YAREND-013</t>
        </is>
      </c>
      <c r="D784" s="5" t="n">
        <v>10</v>
      </c>
      <c r="E784" s="2" t="inlineStr">
        <is>
          <t>Adet</t>
        </is>
      </c>
      <c r="F784" s="3" t="n">
        <v>557.5599999999999</v>
      </c>
      <c r="G784" s="4" t="n">
        <v>0.06909999999999999</v>
      </c>
      <c r="H784" s="3" t="n">
        <v>519.03</v>
      </c>
      <c r="I784" s="3" t="n">
        <v>5190.3</v>
      </c>
      <c r="J784" s="3" t="n">
        <v>387.77</v>
      </c>
      <c r="K784" s="3" t="n">
        <v>3877.7</v>
      </c>
      <c r="L784" s="3" t="n">
        <v>1312.6</v>
      </c>
      <c r="M784" s="4" t="n">
        <v>0.2529</v>
      </c>
    </row>
    <row r="785">
      <c r="A785" s="2" t="inlineStr">
        <is>
          <t>SKL-00784</t>
        </is>
      </c>
      <c r="B785" s="2" t="inlineStr">
        <is>
          <t>SIP-0208</t>
        </is>
      </c>
      <c r="C785" s="2" t="inlineStr">
        <is>
          <t>ENDVAN-020</t>
        </is>
      </c>
      <c r="D785" s="5" t="n">
        <v>5</v>
      </c>
      <c r="E785" s="2" t="inlineStr">
        <is>
          <t>Adet</t>
        </is>
      </c>
      <c r="F785" s="3" t="n">
        <v>655.02</v>
      </c>
      <c r="G785" s="4" t="n">
        <v>0.0814</v>
      </c>
      <c r="H785" s="3" t="n">
        <v>601.7</v>
      </c>
      <c r="I785" s="3" t="n">
        <v>3008.5</v>
      </c>
      <c r="J785" s="3" t="n">
        <v>433.62</v>
      </c>
      <c r="K785" s="3" t="n">
        <v>2168.1</v>
      </c>
      <c r="L785" s="3" t="n">
        <v>840.4</v>
      </c>
      <c r="M785" s="4" t="n">
        <v>0.2793</v>
      </c>
    </row>
    <row r="786">
      <c r="A786" s="2" t="inlineStr">
        <is>
          <t>SKL-00785</t>
        </is>
      </c>
      <c r="B786" s="2" t="inlineStr">
        <is>
          <t>SIP-0209</t>
        </is>
      </c>
      <c r="C786" s="2" t="inlineStr">
        <is>
          <t>ENDVAN-009</t>
        </is>
      </c>
      <c r="D786" s="5" t="n">
        <v>15</v>
      </c>
      <c r="E786" s="2" t="inlineStr">
        <is>
          <t>Adet</t>
        </is>
      </c>
      <c r="F786" s="3" t="n">
        <v>543.73</v>
      </c>
      <c r="G786" s="4" t="n">
        <v>0.09660000000000001</v>
      </c>
      <c r="H786" s="3" t="n">
        <v>491.21</v>
      </c>
      <c r="I786" s="3" t="n">
        <v>7368.15</v>
      </c>
      <c r="J786" s="3" t="n">
        <v>411.64</v>
      </c>
      <c r="K786" s="3" t="n">
        <v>6174.6</v>
      </c>
      <c r="L786" s="3" t="n">
        <v>1193.55</v>
      </c>
      <c r="M786" s="4" t="n">
        <v>0.162</v>
      </c>
    </row>
    <row r="787">
      <c r="A787" s="2" t="inlineStr">
        <is>
          <t>SKL-00786</t>
        </is>
      </c>
      <c r="B787" s="2" t="inlineStr">
        <is>
          <t>SIP-0209</t>
        </is>
      </c>
      <c r="C787" s="2" t="inlineStr">
        <is>
          <t>ENDVAN-020</t>
        </is>
      </c>
      <c r="D787" s="5" t="n">
        <v>13</v>
      </c>
      <c r="E787" s="2" t="inlineStr">
        <is>
          <t>Adet</t>
        </is>
      </c>
      <c r="F787" s="3" t="n">
        <v>636.28</v>
      </c>
      <c r="G787" s="4" t="n">
        <v>0.0163</v>
      </c>
      <c r="H787" s="3" t="n">
        <v>625.91</v>
      </c>
      <c r="I787" s="3" t="n">
        <v>8136.83</v>
      </c>
      <c r="J787" s="3" t="n">
        <v>433.62</v>
      </c>
      <c r="K787" s="3" t="n">
        <v>5637.06</v>
      </c>
      <c r="L787" s="3" t="n">
        <v>2499.77</v>
      </c>
      <c r="M787" s="4" t="n">
        <v>0.3072</v>
      </c>
    </row>
    <row r="788">
      <c r="A788" s="2" t="inlineStr">
        <is>
          <t>SKL-00787</t>
        </is>
      </c>
      <c r="B788" s="2" t="inlineStr">
        <is>
          <t>SIP-0209</t>
        </is>
      </c>
      <c r="C788" s="2" t="inlineStr">
        <is>
          <t>ENDVAN-024</t>
        </is>
      </c>
      <c r="D788" s="5" t="n">
        <v>8</v>
      </c>
      <c r="E788" s="2" t="inlineStr">
        <is>
          <t>Adet</t>
        </is>
      </c>
      <c r="F788" s="3" t="n">
        <v>1755.75</v>
      </c>
      <c r="G788" s="4" t="n">
        <v>0.0008</v>
      </c>
      <c r="H788" s="3" t="n">
        <v>1754.35</v>
      </c>
      <c r="I788" s="3" t="n">
        <v>14034.8</v>
      </c>
      <c r="J788" s="3" t="n">
        <v>1156.64</v>
      </c>
      <c r="K788" s="3" t="n">
        <v>9253.120000000001</v>
      </c>
      <c r="L788" s="3" t="n">
        <v>4781.68</v>
      </c>
      <c r="M788" s="4" t="n">
        <v>0.3407</v>
      </c>
    </row>
    <row r="789">
      <c r="A789" s="2" t="inlineStr">
        <is>
          <t>SKL-00788</t>
        </is>
      </c>
      <c r="B789" s="2" t="inlineStr">
        <is>
          <t>SIP-0209</t>
        </is>
      </c>
      <c r="C789" s="2" t="inlineStr">
        <is>
          <t>ENDVAN-031</t>
        </is>
      </c>
      <c r="D789" s="5" t="n">
        <v>6</v>
      </c>
      <c r="E789" s="2" t="inlineStr">
        <is>
          <t>Adet</t>
        </is>
      </c>
      <c r="F789" s="3" t="n">
        <v>334.22</v>
      </c>
      <c r="G789" s="4" t="n">
        <v>0.0044</v>
      </c>
      <c r="H789" s="3" t="n">
        <v>332.75</v>
      </c>
      <c r="I789" s="3" t="n">
        <v>1996.5</v>
      </c>
      <c r="J789" s="3" t="n">
        <v>247.14</v>
      </c>
      <c r="K789" s="3" t="n">
        <v>1482.84</v>
      </c>
      <c r="L789" s="3" t="n">
        <v>513.66</v>
      </c>
      <c r="M789" s="4" t="n">
        <v>0.2573</v>
      </c>
    </row>
    <row r="790">
      <c r="A790" s="2" t="inlineStr">
        <is>
          <t>SKL-00789</t>
        </is>
      </c>
      <c r="B790" s="2" t="inlineStr">
        <is>
          <t>SIP-0209</t>
        </is>
      </c>
      <c r="C790" s="2" t="inlineStr">
        <is>
          <t>FLAIZO-014</t>
        </is>
      </c>
      <c r="D790" s="5" t="n">
        <v>55</v>
      </c>
      <c r="E790" s="2" t="inlineStr">
        <is>
          <t>Set</t>
        </is>
      </c>
      <c r="F790" s="3" t="n">
        <v>62.9</v>
      </c>
      <c r="G790" s="4" t="n">
        <v>0.0494</v>
      </c>
      <c r="H790" s="3" t="n">
        <v>59.79</v>
      </c>
      <c r="I790" s="3" t="n">
        <v>3288.45</v>
      </c>
      <c r="J790" s="3" t="n">
        <v>32.61</v>
      </c>
      <c r="K790" s="3" t="n">
        <v>1793.55</v>
      </c>
      <c r="L790" s="3" t="n">
        <v>1494.9</v>
      </c>
      <c r="M790" s="4" t="n">
        <v>0.4546</v>
      </c>
    </row>
    <row r="791">
      <c r="A791" s="2" t="inlineStr">
        <is>
          <t>SKL-00790</t>
        </is>
      </c>
      <c r="B791" s="2" t="inlineStr">
        <is>
          <t>SIP-0209</t>
        </is>
      </c>
      <c r="C791" s="2" t="inlineStr">
        <is>
          <t>ENDVAN-022</t>
        </is>
      </c>
      <c r="D791" s="5" t="n">
        <v>23</v>
      </c>
      <c r="E791" s="2" t="inlineStr">
        <is>
          <t>Adet</t>
        </is>
      </c>
      <c r="F791" s="3" t="n">
        <v>223.81</v>
      </c>
      <c r="G791" s="4" t="n">
        <v>0.0423</v>
      </c>
      <c r="H791" s="3" t="n">
        <v>214.34</v>
      </c>
      <c r="I791" s="3" t="n">
        <v>4929.82</v>
      </c>
      <c r="J791" s="3" t="n">
        <v>163.9</v>
      </c>
      <c r="K791" s="3" t="n">
        <v>3769.7</v>
      </c>
      <c r="L791" s="3" t="n">
        <v>1160.12</v>
      </c>
      <c r="M791" s="4" t="n">
        <v>0.2353</v>
      </c>
    </row>
    <row r="792">
      <c r="A792" s="2" t="inlineStr">
        <is>
          <t>SKL-00791</t>
        </is>
      </c>
      <c r="B792" s="2" t="inlineStr">
        <is>
          <t>SIP-0210</t>
        </is>
      </c>
      <c r="C792" s="2" t="inlineStr">
        <is>
          <t>ENDVAN-010</t>
        </is>
      </c>
      <c r="D792" s="5" t="n">
        <v>19</v>
      </c>
      <c r="E792" s="2" t="inlineStr">
        <is>
          <t>Adet</t>
        </is>
      </c>
      <c r="F792" s="3" t="n">
        <v>1123.5</v>
      </c>
      <c r="G792" s="4" t="n">
        <v>0.0375</v>
      </c>
      <c r="H792" s="3" t="n">
        <v>1081.37</v>
      </c>
      <c r="I792" s="3" t="n">
        <v>20546.03</v>
      </c>
      <c r="J792" s="3" t="n">
        <v>891.17</v>
      </c>
      <c r="K792" s="3" t="n">
        <v>16932.23</v>
      </c>
      <c r="L792" s="3" t="n">
        <v>3613.8</v>
      </c>
      <c r="M792" s="4" t="n">
        <v>0.1759</v>
      </c>
    </row>
    <row r="793">
      <c r="A793" s="2" t="inlineStr">
        <is>
          <t>SKL-00792</t>
        </is>
      </c>
      <c r="B793" s="2" t="inlineStr">
        <is>
          <t>SIP-0210</t>
        </is>
      </c>
      <c r="C793" s="2" t="inlineStr">
        <is>
          <t>MEKSIZ-010</t>
        </is>
      </c>
      <c r="D793" s="5" t="n">
        <v>16</v>
      </c>
      <c r="E793" s="2" t="inlineStr">
        <is>
          <t>Adet</t>
        </is>
      </c>
      <c r="F793" s="3" t="n">
        <v>727.91</v>
      </c>
      <c r="G793" s="4" t="n">
        <v>0.0437</v>
      </c>
      <c r="H793" s="3" t="n">
        <v>696.1</v>
      </c>
      <c r="I793" s="3" t="n">
        <v>11137.6</v>
      </c>
      <c r="J793" s="3" t="n">
        <v>421.08</v>
      </c>
      <c r="K793" s="3" t="n">
        <v>6737.28</v>
      </c>
      <c r="L793" s="3" t="n">
        <v>4400.32</v>
      </c>
      <c r="M793" s="4" t="n">
        <v>0.3951</v>
      </c>
    </row>
    <row r="794">
      <c r="A794" s="2" t="inlineStr">
        <is>
          <t>SKL-00793</t>
        </is>
      </c>
      <c r="B794" s="2" t="inlineStr">
        <is>
          <t>SIP-0211</t>
        </is>
      </c>
      <c r="C794" s="2" t="inlineStr">
        <is>
          <t>ENDVAN-030</t>
        </is>
      </c>
      <c r="D794" s="5" t="n">
        <v>19</v>
      </c>
      <c r="E794" s="2" t="inlineStr">
        <is>
          <t>Adet</t>
        </is>
      </c>
      <c r="F794" s="3" t="n">
        <v>438.37</v>
      </c>
      <c r="G794" s="4" t="n">
        <v>0.0115</v>
      </c>
      <c r="H794" s="3" t="n">
        <v>433.33</v>
      </c>
      <c r="I794" s="3" t="n">
        <v>8233.27</v>
      </c>
      <c r="J794" s="3" t="n">
        <v>303.77</v>
      </c>
      <c r="K794" s="3" t="n">
        <v>5771.63</v>
      </c>
      <c r="L794" s="3" t="n">
        <v>2461.64</v>
      </c>
      <c r="M794" s="4" t="n">
        <v>0.299</v>
      </c>
    </row>
    <row r="795">
      <c r="A795" s="2" t="inlineStr">
        <is>
          <t>SKL-00794</t>
        </is>
      </c>
      <c r="B795" s="2" t="inlineStr">
        <is>
          <t>SIP-0211</t>
        </is>
      </c>
      <c r="C795" s="2" t="inlineStr">
        <is>
          <t>ENDVAN-004</t>
        </is>
      </c>
      <c r="D795" s="5" t="n">
        <v>10</v>
      </c>
      <c r="E795" s="2" t="inlineStr">
        <is>
          <t>Adet</t>
        </is>
      </c>
      <c r="F795" s="3" t="n">
        <v>308.55</v>
      </c>
      <c r="G795" s="4" t="n">
        <v>0.1086</v>
      </c>
      <c r="H795" s="3" t="n">
        <v>275.04</v>
      </c>
      <c r="I795" s="3" t="n">
        <v>2750.4</v>
      </c>
      <c r="J795" s="3" t="n">
        <v>212.53</v>
      </c>
      <c r="K795" s="3" t="n">
        <v>2125.3</v>
      </c>
      <c r="L795" s="3" t="n">
        <v>625.1</v>
      </c>
      <c r="M795" s="4" t="n">
        <v>0.2273</v>
      </c>
    </row>
    <row r="796">
      <c r="A796" s="2" t="inlineStr">
        <is>
          <t>SKL-00795</t>
        </is>
      </c>
      <c r="B796" s="2" t="inlineStr">
        <is>
          <t>SIP-0212</t>
        </is>
      </c>
      <c r="C796" s="2" t="inlineStr">
        <is>
          <t>ENDVAN-026</t>
        </is>
      </c>
      <c r="D796" s="5" t="n">
        <v>1</v>
      </c>
      <c r="E796" s="2" t="inlineStr">
        <is>
          <t>Adet</t>
        </is>
      </c>
      <c r="F796" s="3" t="n">
        <v>1388.07</v>
      </c>
      <c r="G796" s="4" t="n">
        <v>0.1075</v>
      </c>
      <c r="H796" s="3" t="n">
        <v>1238.85</v>
      </c>
      <c r="I796" s="3" t="n">
        <v>1238.85</v>
      </c>
      <c r="J796" s="3" t="n">
        <v>1039.5</v>
      </c>
      <c r="K796" s="3" t="n">
        <v>1039.5</v>
      </c>
      <c r="L796" s="3" t="n">
        <v>199.35</v>
      </c>
      <c r="M796" s="4" t="n">
        <v>0.1609</v>
      </c>
    </row>
    <row r="797">
      <c r="A797" s="2" t="inlineStr">
        <is>
          <t>SKL-00796</t>
        </is>
      </c>
      <c r="B797" s="2" t="inlineStr">
        <is>
          <t>SIP-0212</t>
        </is>
      </c>
      <c r="C797" s="2" t="inlineStr">
        <is>
          <t>FLAIZO-008</t>
        </is>
      </c>
      <c r="D797" s="5" t="n">
        <v>32</v>
      </c>
      <c r="E797" s="2" t="inlineStr">
        <is>
          <t>Set</t>
        </is>
      </c>
      <c r="F797" s="3" t="n">
        <v>138.55</v>
      </c>
      <c r="G797" s="4" t="n">
        <v>0.0449</v>
      </c>
      <c r="H797" s="3" t="n">
        <v>132.33</v>
      </c>
      <c r="I797" s="3" t="n">
        <v>4234.56</v>
      </c>
      <c r="J797" s="3" t="n">
        <v>78.08</v>
      </c>
      <c r="K797" s="3" t="n">
        <v>2498.56</v>
      </c>
      <c r="L797" s="3" t="n">
        <v>1736</v>
      </c>
      <c r="M797" s="4" t="n">
        <v>0.41</v>
      </c>
    </row>
    <row r="798">
      <c r="A798" s="2" t="inlineStr">
        <is>
          <t>SKL-00797</t>
        </is>
      </c>
      <c r="B798" s="2" t="inlineStr">
        <is>
          <t>SIP-0212</t>
        </is>
      </c>
      <c r="C798" s="2" t="inlineStr">
        <is>
          <t>FLAIZO-002</t>
        </is>
      </c>
      <c r="D798" s="5" t="n">
        <v>31</v>
      </c>
      <c r="E798" s="2" t="inlineStr">
        <is>
          <t>Set</t>
        </is>
      </c>
      <c r="F798" s="3" t="n">
        <v>96.87</v>
      </c>
      <c r="G798" s="4" t="n">
        <v>0.0045</v>
      </c>
      <c r="H798" s="3" t="n">
        <v>96.43000000000001</v>
      </c>
      <c r="I798" s="3" t="n">
        <v>2989.33</v>
      </c>
      <c r="J798" s="3" t="n">
        <v>54.73</v>
      </c>
      <c r="K798" s="3" t="n">
        <v>1696.63</v>
      </c>
      <c r="L798" s="3" t="n">
        <v>1292.7</v>
      </c>
      <c r="M798" s="4" t="n">
        <v>0.4324</v>
      </c>
    </row>
    <row r="799">
      <c r="A799" s="2" t="inlineStr">
        <is>
          <t>SKL-00798</t>
        </is>
      </c>
      <c r="B799" s="2" t="inlineStr">
        <is>
          <t>SIP-0213</t>
        </is>
      </c>
      <c r="C799" s="2" t="inlineStr">
        <is>
          <t>KAR/-008</t>
        </is>
      </c>
      <c r="D799" s="5" t="n">
        <v>4</v>
      </c>
      <c r="E799" s="2" t="inlineStr">
        <is>
          <t>Adet</t>
        </is>
      </c>
      <c r="F799" s="3" t="n">
        <v>4358.79</v>
      </c>
      <c r="G799" s="4" t="n">
        <v>0.0511</v>
      </c>
      <c r="H799" s="3" t="n">
        <v>4136.06</v>
      </c>
      <c r="I799" s="3" t="n">
        <v>16544.24</v>
      </c>
      <c r="J799" s="3" t="n">
        <v>3361.51</v>
      </c>
      <c r="K799" s="3" t="n">
        <v>13446.04</v>
      </c>
      <c r="L799" s="3" t="n">
        <v>3098.2</v>
      </c>
      <c r="M799" s="4" t="n">
        <v>0.1873</v>
      </c>
    </row>
    <row r="800">
      <c r="A800" s="2" t="inlineStr">
        <is>
          <t>SKL-00799</t>
        </is>
      </c>
      <c r="B800" s="2" t="inlineStr">
        <is>
          <t>SIP-0213</t>
        </is>
      </c>
      <c r="C800" s="2" t="inlineStr">
        <is>
          <t>ENDVAN-033</t>
        </is>
      </c>
      <c r="D800" s="5" t="n">
        <v>11</v>
      </c>
      <c r="E800" s="2" t="inlineStr">
        <is>
          <t>Adet</t>
        </is>
      </c>
      <c r="F800" s="3" t="n">
        <v>1615.63</v>
      </c>
      <c r="G800" s="4" t="n">
        <v>0.08069999999999999</v>
      </c>
      <c r="H800" s="3" t="n">
        <v>1485.25</v>
      </c>
      <c r="I800" s="3" t="n">
        <v>16337.75</v>
      </c>
      <c r="J800" s="3" t="n">
        <v>1125.6</v>
      </c>
      <c r="K800" s="3" t="n">
        <v>12381.6</v>
      </c>
      <c r="L800" s="3" t="n">
        <v>3956.15</v>
      </c>
      <c r="M800" s="4" t="n">
        <v>0.2421</v>
      </c>
    </row>
    <row r="801">
      <c r="A801" s="2" t="inlineStr">
        <is>
          <t>SKL-00800</t>
        </is>
      </c>
      <c r="B801" s="2" t="inlineStr">
        <is>
          <t>SIP-0213</t>
        </is>
      </c>
      <c r="C801" s="2" t="inlineStr">
        <is>
          <t>FLAIZO-001</t>
        </is>
      </c>
      <c r="D801" s="5" t="n">
        <v>58</v>
      </c>
      <c r="E801" s="2" t="inlineStr">
        <is>
          <t>Set</t>
        </is>
      </c>
      <c r="F801" s="3" t="n">
        <v>105.26</v>
      </c>
      <c r="G801" s="4" t="n">
        <v>0.1077</v>
      </c>
      <c r="H801" s="3" t="n">
        <v>93.92</v>
      </c>
      <c r="I801" s="3" t="n">
        <v>5447.36</v>
      </c>
      <c r="J801" s="3" t="n">
        <v>72.90000000000001</v>
      </c>
      <c r="K801" s="3" t="n">
        <v>4228.2</v>
      </c>
      <c r="L801" s="3" t="n">
        <v>1219.16</v>
      </c>
      <c r="M801" s="4" t="n">
        <v>0.2238</v>
      </c>
    </row>
    <row r="802">
      <c r="A802" s="2" t="inlineStr">
        <is>
          <t>SKL-00801</t>
        </is>
      </c>
      <c r="B802" s="2" t="inlineStr">
        <is>
          <t>SIP-0214</t>
        </is>
      </c>
      <c r="C802" s="2" t="inlineStr">
        <is>
          <t>ENDVAN-009</t>
        </is>
      </c>
      <c r="D802" s="5" t="n">
        <v>24</v>
      </c>
      <c r="E802" s="2" t="inlineStr">
        <is>
          <t>Adet</t>
        </is>
      </c>
      <c r="F802" s="3" t="n">
        <v>578.55</v>
      </c>
      <c r="G802" s="4" t="n">
        <v>0.073</v>
      </c>
      <c r="H802" s="3" t="n">
        <v>536.3200000000001</v>
      </c>
      <c r="I802" s="3" t="n">
        <v>12871.68</v>
      </c>
      <c r="J802" s="3" t="n">
        <v>411.64</v>
      </c>
      <c r="K802" s="3" t="n">
        <v>9879.360000000001</v>
      </c>
      <c r="L802" s="3" t="n">
        <v>2992.32</v>
      </c>
      <c r="M802" s="4" t="n">
        <v>0.2325</v>
      </c>
    </row>
    <row r="803">
      <c r="A803" s="2" t="inlineStr">
        <is>
          <t>SKL-00802</t>
        </is>
      </c>
      <c r="B803" s="2" t="inlineStr">
        <is>
          <t>SIP-0214</t>
        </is>
      </c>
      <c r="C803" s="2" t="inlineStr">
        <is>
          <t>YAREND-007</t>
        </is>
      </c>
      <c r="D803" s="5" t="n">
        <v>5</v>
      </c>
      <c r="E803" s="2" t="inlineStr">
        <is>
          <t>Adet</t>
        </is>
      </c>
      <c r="F803" s="3" t="n">
        <v>628.61</v>
      </c>
      <c r="G803" s="4" t="n">
        <v>0.0492</v>
      </c>
      <c r="H803" s="3" t="n">
        <v>597.6799999999999</v>
      </c>
      <c r="I803" s="3" t="n">
        <v>2988.4</v>
      </c>
      <c r="J803" s="3" t="n">
        <v>459.17</v>
      </c>
      <c r="K803" s="3" t="n">
        <v>2295.85</v>
      </c>
      <c r="L803" s="3" t="n">
        <v>692.55</v>
      </c>
      <c r="M803" s="4" t="n">
        <v>0.2317</v>
      </c>
    </row>
    <row r="804">
      <c r="A804" s="2" t="inlineStr">
        <is>
          <t>SKL-00803</t>
        </is>
      </c>
      <c r="B804" s="2" t="inlineStr">
        <is>
          <t>SIP-0215</t>
        </is>
      </c>
      <c r="C804" s="2" t="inlineStr">
        <is>
          <t>ENDVAN-012</t>
        </is>
      </c>
      <c r="D804" s="5" t="n">
        <v>7</v>
      </c>
      <c r="E804" s="2" t="inlineStr">
        <is>
          <t>Adet</t>
        </is>
      </c>
      <c r="F804" s="3" t="n">
        <v>363.07</v>
      </c>
      <c r="G804" s="4" t="n">
        <v>0.1057</v>
      </c>
      <c r="H804" s="3" t="n">
        <v>324.69</v>
      </c>
      <c r="I804" s="3" t="n">
        <v>2272.83</v>
      </c>
      <c r="J804" s="3" t="n">
        <v>281.71</v>
      </c>
      <c r="K804" s="3" t="n">
        <v>1971.97</v>
      </c>
      <c r="L804" s="3" t="n">
        <v>300.86</v>
      </c>
      <c r="M804" s="4" t="n">
        <v>0.1324</v>
      </c>
    </row>
    <row r="805">
      <c r="A805" s="2" t="inlineStr">
        <is>
          <t>SKL-00804</t>
        </is>
      </c>
      <c r="B805" s="2" t="inlineStr">
        <is>
          <t>SIP-0215</t>
        </is>
      </c>
      <c r="C805" s="2" t="inlineStr">
        <is>
          <t>MEKSIZ-001</t>
        </is>
      </c>
      <c r="D805" s="5" t="n">
        <v>10</v>
      </c>
      <c r="E805" s="2" t="inlineStr">
        <is>
          <t>Adet</t>
        </is>
      </c>
      <c r="F805" s="3" t="n">
        <v>648.78</v>
      </c>
      <c r="G805" s="4" t="n">
        <v>0.08409999999999999</v>
      </c>
      <c r="H805" s="3" t="n">
        <v>594.22</v>
      </c>
      <c r="I805" s="3" t="n">
        <v>5942.2</v>
      </c>
      <c r="J805" s="3" t="n">
        <v>372.57</v>
      </c>
      <c r="K805" s="3" t="n">
        <v>3725.7</v>
      </c>
      <c r="L805" s="3" t="n">
        <v>2216.5</v>
      </c>
      <c r="M805" s="4" t="n">
        <v>0.373</v>
      </c>
    </row>
    <row r="806">
      <c r="A806" s="2" t="inlineStr">
        <is>
          <t>SKL-00805</t>
        </is>
      </c>
      <c r="B806" s="2" t="inlineStr">
        <is>
          <t>SIP-0215</t>
        </is>
      </c>
      <c r="C806" s="2" t="inlineStr">
        <is>
          <t>ENDVAN-030</t>
        </is>
      </c>
      <c r="D806" s="5" t="n">
        <v>10</v>
      </c>
      <c r="E806" s="2" t="inlineStr">
        <is>
          <t>Adet</t>
        </is>
      </c>
      <c r="F806" s="3" t="n">
        <v>466.2</v>
      </c>
      <c r="G806" s="4" t="n">
        <v>0.0433</v>
      </c>
      <c r="H806" s="3" t="n">
        <v>446.01</v>
      </c>
      <c r="I806" s="3" t="n">
        <v>4460.1</v>
      </c>
      <c r="J806" s="3" t="n">
        <v>303.77</v>
      </c>
      <c r="K806" s="3" t="n">
        <v>3037.7</v>
      </c>
      <c r="L806" s="3" t="n">
        <v>1422.4</v>
      </c>
      <c r="M806" s="4" t="n">
        <v>0.3189</v>
      </c>
    </row>
    <row r="807">
      <c r="A807" s="2" t="inlineStr">
        <is>
          <t>SKL-00806</t>
        </is>
      </c>
      <c r="B807" s="2" t="inlineStr">
        <is>
          <t>SIP-0215</t>
        </is>
      </c>
      <c r="C807" s="2" t="inlineStr">
        <is>
          <t>KAR/-004</t>
        </is>
      </c>
      <c r="D807" s="5" t="n">
        <v>4</v>
      </c>
      <c r="E807" s="2" t="inlineStr">
        <is>
          <t>Adet</t>
        </is>
      </c>
      <c r="F807" s="3" t="n">
        <v>4343.85</v>
      </c>
      <c r="G807" s="4" t="n">
        <v>0.0304</v>
      </c>
      <c r="H807" s="3" t="n">
        <v>4211.8</v>
      </c>
      <c r="I807" s="3" t="n">
        <v>16847.2</v>
      </c>
      <c r="J807" s="3" t="n">
        <v>3492.79</v>
      </c>
      <c r="K807" s="3" t="n">
        <v>13971.16</v>
      </c>
      <c r="L807" s="3" t="n">
        <v>2876.04</v>
      </c>
      <c r="M807" s="4" t="n">
        <v>0.1707</v>
      </c>
    </row>
    <row r="808">
      <c r="A808" s="2" t="inlineStr">
        <is>
          <t>SKL-00807</t>
        </is>
      </c>
      <c r="B808" s="2" t="inlineStr">
        <is>
          <t>SIP-0216</t>
        </is>
      </c>
      <c r="C808" s="2" t="inlineStr">
        <is>
          <t>MEKSIZ-003</t>
        </is>
      </c>
      <c r="D808" s="5" t="n">
        <v>9</v>
      </c>
      <c r="E808" s="2" t="inlineStr">
        <is>
          <t>Adet</t>
        </is>
      </c>
      <c r="F808" s="3" t="n">
        <v>471.75</v>
      </c>
      <c r="G808" s="4" t="n">
        <v>0.0251</v>
      </c>
      <c r="H808" s="3" t="n">
        <v>459.91</v>
      </c>
      <c r="I808" s="3" t="n">
        <v>4139.19</v>
      </c>
      <c r="J808" s="3" t="n">
        <v>341.68</v>
      </c>
      <c r="K808" s="3" t="n">
        <v>3075.12</v>
      </c>
      <c r="L808" s="3" t="n">
        <v>1064.07</v>
      </c>
      <c r="M808" s="4" t="n">
        <v>0.2571</v>
      </c>
    </row>
    <row r="809">
      <c r="A809" s="2" t="inlineStr">
        <is>
          <t>SKL-00808</t>
        </is>
      </c>
      <c r="B809" s="2" t="inlineStr">
        <is>
          <t>SIP-0216</t>
        </is>
      </c>
      <c r="C809" s="2" t="inlineStr">
        <is>
          <t>ENDVAN-032</t>
        </is>
      </c>
      <c r="D809" s="5" t="n">
        <v>5</v>
      </c>
      <c r="E809" s="2" t="inlineStr">
        <is>
          <t>Adet</t>
        </is>
      </c>
      <c r="F809" s="3" t="n">
        <v>993.01</v>
      </c>
      <c r="G809" s="4" t="n">
        <v>0.034</v>
      </c>
      <c r="H809" s="3" t="n">
        <v>959.25</v>
      </c>
      <c r="I809" s="3" t="n">
        <v>4796.25</v>
      </c>
      <c r="J809" s="3" t="n">
        <v>641.8099999999999</v>
      </c>
      <c r="K809" s="3" t="n">
        <v>3209.05</v>
      </c>
      <c r="L809" s="3" t="n">
        <v>1587.2</v>
      </c>
      <c r="M809" s="4" t="n">
        <v>0.3309</v>
      </c>
    </row>
    <row r="810">
      <c r="A810" s="2" t="inlineStr">
        <is>
          <t>SKL-00809</t>
        </is>
      </c>
      <c r="B810" s="2" t="inlineStr">
        <is>
          <t>SIP-0216</t>
        </is>
      </c>
      <c r="C810" s="2" t="inlineStr">
        <is>
          <t>ENDVAN-018</t>
        </is>
      </c>
      <c r="D810" s="5" t="n">
        <v>9</v>
      </c>
      <c r="E810" s="2" t="inlineStr">
        <is>
          <t>Adet</t>
        </is>
      </c>
      <c r="F810" s="3" t="n">
        <v>1022.09</v>
      </c>
      <c r="G810" s="4" t="n">
        <v>0.0515</v>
      </c>
      <c r="H810" s="3" t="n">
        <v>969.45</v>
      </c>
      <c r="I810" s="3" t="n">
        <v>8725.049999999999</v>
      </c>
      <c r="J810" s="3" t="n">
        <v>781.12</v>
      </c>
      <c r="K810" s="3" t="n">
        <v>7030.08</v>
      </c>
      <c r="L810" s="3" t="n">
        <v>1694.97</v>
      </c>
      <c r="M810" s="4" t="n">
        <v>0.1943</v>
      </c>
    </row>
    <row r="811">
      <c r="A811" s="2" t="inlineStr">
        <is>
          <t>SKL-00810</t>
        </is>
      </c>
      <c r="B811" s="2" t="inlineStr">
        <is>
          <t>SIP-0217</t>
        </is>
      </c>
      <c r="C811" s="2" t="inlineStr">
        <is>
          <t>ENDVAN-032</t>
        </is>
      </c>
      <c r="D811" s="5" t="n">
        <v>12</v>
      </c>
      <c r="E811" s="2" t="inlineStr">
        <is>
          <t>Adet</t>
        </is>
      </c>
      <c r="F811" s="3" t="n">
        <v>986.55</v>
      </c>
      <c r="G811" s="4" t="n">
        <v>0.0533</v>
      </c>
      <c r="H811" s="3" t="n">
        <v>933.97</v>
      </c>
      <c r="I811" s="3" t="n">
        <v>11207.64</v>
      </c>
      <c r="J811" s="3" t="n">
        <v>641.8099999999999</v>
      </c>
      <c r="K811" s="3" t="n">
        <v>7701.72</v>
      </c>
      <c r="L811" s="3" t="n">
        <v>3505.92</v>
      </c>
      <c r="M811" s="4" t="n">
        <v>0.3128</v>
      </c>
    </row>
    <row r="812">
      <c r="A812" s="2" t="inlineStr">
        <is>
          <t>SKL-00811</t>
        </is>
      </c>
      <c r="B812" s="2" t="inlineStr">
        <is>
          <t>SIP-0217</t>
        </is>
      </c>
      <c r="C812" s="2" t="inlineStr">
        <is>
          <t>ENDVAN-031</t>
        </is>
      </c>
      <c r="D812" s="5" t="n">
        <v>6</v>
      </c>
      <c r="E812" s="2" t="inlineStr">
        <is>
          <t>Adet</t>
        </is>
      </c>
      <c r="F812" s="3" t="n">
        <v>322.77</v>
      </c>
      <c r="G812" s="4" t="n">
        <v>0.0713</v>
      </c>
      <c r="H812" s="3" t="n">
        <v>299.76</v>
      </c>
      <c r="I812" s="3" t="n">
        <v>1798.56</v>
      </c>
      <c r="J812" s="3" t="n">
        <v>247.14</v>
      </c>
      <c r="K812" s="3" t="n">
        <v>1482.84</v>
      </c>
      <c r="L812" s="3" t="n">
        <v>315.72</v>
      </c>
      <c r="M812" s="4" t="n">
        <v>0.1755</v>
      </c>
    </row>
    <row r="813">
      <c r="A813" s="2" t="inlineStr">
        <is>
          <t>SKL-00812</t>
        </is>
      </c>
      <c r="B813" s="2" t="inlineStr">
        <is>
          <t>SIP-0217</t>
        </is>
      </c>
      <c r="C813" s="2" t="inlineStr">
        <is>
          <t>MEKSIZ-004</t>
        </is>
      </c>
      <c r="D813" s="5" t="n">
        <v>15</v>
      </c>
      <c r="E813" s="2" t="inlineStr">
        <is>
          <t>Adet</t>
        </is>
      </c>
      <c r="F813" s="3" t="n">
        <v>263.86</v>
      </c>
      <c r="G813" s="4" t="n">
        <v>0.0252</v>
      </c>
      <c r="H813" s="3" t="n">
        <v>257.21</v>
      </c>
      <c r="I813" s="3" t="n">
        <v>3858.15</v>
      </c>
      <c r="J813" s="3" t="n">
        <v>164.52</v>
      </c>
      <c r="K813" s="3" t="n">
        <v>2467.8</v>
      </c>
      <c r="L813" s="3" t="n">
        <v>1390.35</v>
      </c>
      <c r="M813" s="4" t="n">
        <v>0.3604</v>
      </c>
    </row>
    <row r="814">
      <c r="A814" s="2" t="inlineStr">
        <is>
          <t>SKL-00813</t>
        </is>
      </c>
      <c r="B814" s="2" t="inlineStr">
        <is>
          <t>SIP-0218</t>
        </is>
      </c>
      <c r="C814" s="2" t="inlineStr">
        <is>
          <t>YAREND-006</t>
        </is>
      </c>
      <c r="D814" s="5" t="n">
        <v>8</v>
      </c>
      <c r="E814" s="2" t="inlineStr">
        <is>
          <t>Adet</t>
        </is>
      </c>
      <c r="F814" s="3" t="n">
        <v>540.25</v>
      </c>
      <c r="G814" s="4" t="n">
        <v>0.0788</v>
      </c>
      <c r="H814" s="3" t="n">
        <v>497.68</v>
      </c>
      <c r="I814" s="3" t="n">
        <v>3981.44</v>
      </c>
      <c r="J814" s="3" t="n">
        <v>363.57</v>
      </c>
      <c r="K814" s="3" t="n">
        <v>2908.56</v>
      </c>
      <c r="L814" s="3" t="n">
        <v>1072.88</v>
      </c>
      <c r="M814" s="4" t="n">
        <v>0.2695</v>
      </c>
    </row>
    <row r="815">
      <c r="A815" s="2" t="inlineStr">
        <is>
          <t>SKL-00814</t>
        </is>
      </c>
      <c r="B815" s="2" t="inlineStr">
        <is>
          <t>SIP-0218</t>
        </is>
      </c>
      <c r="C815" s="2" t="inlineStr">
        <is>
          <t>FLAIZO-009</t>
        </is>
      </c>
      <c r="D815" s="5" t="n">
        <v>46</v>
      </c>
      <c r="E815" s="2" t="inlineStr">
        <is>
          <t>Set</t>
        </is>
      </c>
      <c r="F815" s="3" t="n">
        <v>210.6</v>
      </c>
      <c r="G815" s="4" t="n">
        <v>0.0487</v>
      </c>
      <c r="H815" s="3" t="n">
        <v>200.34</v>
      </c>
      <c r="I815" s="3" t="n">
        <v>9215.639999999999</v>
      </c>
      <c r="J815" s="3" t="n">
        <v>127.08</v>
      </c>
      <c r="K815" s="3" t="n">
        <v>5845.68</v>
      </c>
      <c r="L815" s="3" t="n">
        <v>3369.96</v>
      </c>
      <c r="M815" s="4" t="n">
        <v>0.3657</v>
      </c>
    </row>
    <row r="816">
      <c r="A816" s="2" t="inlineStr">
        <is>
          <t>SKL-00815</t>
        </is>
      </c>
      <c r="B816" s="2" t="inlineStr">
        <is>
          <t>SIP-0218</t>
        </is>
      </c>
      <c r="C816" s="2" t="inlineStr">
        <is>
          <t>ENDVAN-007</t>
        </is>
      </c>
      <c r="D816" s="5" t="n">
        <v>2</v>
      </c>
      <c r="E816" s="2" t="inlineStr">
        <is>
          <t>Adet</t>
        </is>
      </c>
      <c r="F816" s="3" t="n">
        <v>188.73</v>
      </c>
      <c r="G816" s="4" t="n">
        <v>0.06419999999999999</v>
      </c>
      <c r="H816" s="3" t="n">
        <v>176.61</v>
      </c>
      <c r="I816" s="3" t="n">
        <v>353.22</v>
      </c>
      <c r="J816" s="3" t="n">
        <v>126.94</v>
      </c>
      <c r="K816" s="3" t="n">
        <v>253.88</v>
      </c>
      <c r="L816" s="3" t="n">
        <v>99.34</v>
      </c>
      <c r="M816" s="4" t="n">
        <v>0.2812</v>
      </c>
    </row>
    <row r="817">
      <c r="A817" s="2" t="inlineStr">
        <is>
          <t>SKL-00816</t>
        </is>
      </c>
      <c r="B817" s="2" t="inlineStr">
        <is>
          <t>SIP-0218</t>
        </is>
      </c>
      <c r="C817" s="2" t="inlineStr">
        <is>
          <t>ENDVAN-021</t>
        </is>
      </c>
      <c r="D817" s="5" t="n">
        <v>23</v>
      </c>
      <c r="E817" s="2" t="inlineStr">
        <is>
          <t>Adet</t>
        </is>
      </c>
      <c r="F817" s="3" t="n">
        <v>1047.16</v>
      </c>
      <c r="G817" s="4" t="n">
        <v>0.0315</v>
      </c>
      <c r="H817" s="3" t="n">
        <v>1014.17</v>
      </c>
      <c r="I817" s="3" t="n">
        <v>23325.91</v>
      </c>
      <c r="J817" s="3" t="n">
        <v>736.7</v>
      </c>
      <c r="K817" s="3" t="n">
        <v>16944.1</v>
      </c>
      <c r="L817" s="3" t="n">
        <v>6381.81</v>
      </c>
      <c r="M817" s="4" t="n">
        <v>0.2736</v>
      </c>
    </row>
    <row r="818">
      <c r="A818" s="2" t="inlineStr">
        <is>
          <t>SKL-00817</t>
        </is>
      </c>
      <c r="B818" s="2" t="inlineStr">
        <is>
          <t>SIP-0218</t>
        </is>
      </c>
      <c r="C818" s="2" t="inlineStr">
        <is>
          <t>ENDVAN-001</t>
        </is>
      </c>
      <c r="D818" s="5" t="n">
        <v>4</v>
      </c>
      <c r="E818" s="2" t="inlineStr">
        <is>
          <t>Adet</t>
        </is>
      </c>
      <c r="F818" s="3" t="n">
        <v>267.13</v>
      </c>
      <c r="G818" s="4" t="n">
        <v>0.0384</v>
      </c>
      <c r="H818" s="3" t="n">
        <v>256.87</v>
      </c>
      <c r="I818" s="3" t="n">
        <v>1027.48</v>
      </c>
      <c r="J818" s="3" t="n">
        <v>192.02</v>
      </c>
      <c r="K818" s="3" t="n">
        <v>768.08</v>
      </c>
      <c r="L818" s="3" t="n">
        <v>259.4</v>
      </c>
      <c r="M818" s="4" t="n">
        <v>0.2525</v>
      </c>
    </row>
    <row r="819">
      <c r="A819" s="2" t="inlineStr">
        <is>
          <t>SKL-00818</t>
        </is>
      </c>
      <c r="B819" s="2" t="inlineStr">
        <is>
          <t>SIP-0219</t>
        </is>
      </c>
      <c r="C819" s="2" t="inlineStr">
        <is>
          <t>YAREND-013</t>
        </is>
      </c>
      <c r="D819" s="5" t="n">
        <v>11</v>
      </c>
      <c r="E819" s="2" t="inlineStr">
        <is>
          <t>Adet</t>
        </is>
      </c>
      <c r="F819" s="3" t="n">
        <v>541.35</v>
      </c>
      <c r="G819" s="4" t="n">
        <v>0.0984</v>
      </c>
      <c r="H819" s="3" t="n">
        <v>488.08</v>
      </c>
      <c r="I819" s="3" t="n">
        <v>5368.88</v>
      </c>
      <c r="J819" s="3" t="n">
        <v>387.77</v>
      </c>
      <c r="K819" s="3" t="n">
        <v>4265.47</v>
      </c>
      <c r="L819" s="3" t="n">
        <v>1103.41</v>
      </c>
      <c r="M819" s="4" t="n">
        <v>0.2055</v>
      </c>
    </row>
    <row r="820">
      <c r="A820" s="2" t="inlineStr">
        <is>
          <t>SKL-00819</t>
        </is>
      </c>
      <c r="B820" s="2" t="inlineStr">
        <is>
          <t>SIP-0219</t>
        </is>
      </c>
      <c r="C820" s="2" t="inlineStr">
        <is>
          <t>FLAIZO-006</t>
        </is>
      </c>
      <c r="D820" s="5" t="n">
        <v>78</v>
      </c>
      <c r="E820" s="2" t="inlineStr">
        <is>
          <t>Set</t>
        </is>
      </c>
      <c r="F820" s="3" t="n">
        <v>62.54</v>
      </c>
      <c r="G820" s="4" t="n">
        <v>0.0269</v>
      </c>
      <c r="H820" s="3" t="n">
        <v>60.86</v>
      </c>
      <c r="I820" s="3" t="n">
        <v>4747.08</v>
      </c>
      <c r="J820" s="3" t="n">
        <v>41.17</v>
      </c>
      <c r="K820" s="3" t="n">
        <v>3211.26</v>
      </c>
      <c r="L820" s="3" t="n">
        <v>1535.82</v>
      </c>
      <c r="M820" s="4" t="n">
        <v>0.3235</v>
      </c>
    </row>
    <row r="821">
      <c r="A821" s="2" t="inlineStr">
        <is>
          <t>SKL-00820</t>
        </is>
      </c>
      <c r="B821" s="2" t="inlineStr">
        <is>
          <t>SIP-0219</t>
        </is>
      </c>
      <c r="C821" s="2" t="inlineStr">
        <is>
          <t>ENDVAN-004</t>
        </is>
      </c>
      <c r="D821" s="5" t="n">
        <v>4</v>
      </c>
      <c r="E821" s="2" t="inlineStr">
        <is>
          <t>Adet</t>
        </is>
      </c>
      <c r="F821" s="3" t="n">
        <v>304.53</v>
      </c>
      <c r="G821" s="4" t="n">
        <v>0.0549</v>
      </c>
      <c r="H821" s="3" t="n">
        <v>287.81</v>
      </c>
      <c r="I821" s="3" t="n">
        <v>1151.24</v>
      </c>
      <c r="J821" s="3" t="n">
        <v>212.53</v>
      </c>
      <c r="K821" s="3" t="n">
        <v>850.12</v>
      </c>
      <c r="L821" s="3" t="n">
        <v>301.12</v>
      </c>
      <c r="M821" s="4" t="n">
        <v>0.2616</v>
      </c>
    </row>
    <row r="822">
      <c r="A822" s="2" t="inlineStr">
        <is>
          <t>SKL-00821</t>
        </is>
      </c>
      <c r="B822" s="2" t="inlineStr">
        <is>
          <t>SIP-0219</t>
        </is>
      </c>
      <c r="C822" s="2" t="inlineStr">
        <is>
          <t>KAR/-011</t>
        </is>
      </c>
      <c r="D822" s="5" t="n">
        <v>4</v>
      </c>
      <c r="E822" s="2" t="inlineStr">
        <is>
          <t>Adet</t>
        </is>
      </c>
      <c r="F822" s="3" t="n">
        <v>9033.15</v>
      </c>
      <c r="G822" s="4" t="n">
        <v>0.08690000000000001</v>
      </c>
      <c r="H822" s="3" t="n">
        <v>8248.17</v>
      </c>
      <c r="I822" s="3" t="n">
        <v>32992.68</v>
      </c>
      <c r="J822" s="3" t="n">
        <v>6335.26</v>
      </c>
      <c r="K822" s="3" t="n">
        <v>25341.04</v>
      </c>
      <c r="L822" s="3" t="n">
        <v>7651.64</v>
      </c>
      <c r="M822" s="4" t="n">
        <v>0.2319</v>
      </c>
    </row>
    <row r="823">
      <c r="A823" s="2" t="inlineStr">
        <is>
          <t>SKL-00822</t>
        </is>
      </c>
      <c r="B823" s="2" t="inlineStr">
        <is>
          <t>SIP-0219</t>
        </is>
      </c>
      <c r="C823" s="2" t="inlineStr">
        <is>
          <t>ENDVAN-008</t>
        </is>
      </c>
      <c r="D823" s="5" t="n">
        <v>24</v>
      </c>
      <c r="E823" s="2" t="inlineStr">
        <is>
          <t>Adet</t>
        </is>
      </c>
      <c r="F823" s="3" t="n">
        <v>529.23</v>
      </c>
      <c r="G823" s="4" t="n">
        <v>0.0997</v>
      </c>
      <c r="H823" s="3" t="n">
        <v>476.47</v>
      </c>
      <c r="I823" s="3" t="n">
        <v>11435.28</v>
      </c>
      <c r="J823" s="3" t="n">
        <v>429.42</v>
      </c>
      <c r="K823" s="3" t="n">
        <v>10306.08</v>
      </c>
      <c r="L823" s="3" t="n">
        <v>1129.2</v>
      </c>
      <c r="M823" s="4" t="n">
        <v>0.0987</v>
      </c>
    </row>
    <row r="824">
      <c r="A824" s="2" t="inlineStr">
        <is>
          <t>SKL-00823</t>
        </is>
      </c>
      <c r="B824" s="2" t="inlineStr">
        <is>
          <t>SIP-0219</t>
        </is>
      </c>
      <c r="C824" s="2" t="inlineStr">
        <is>
          <t>MEKSIZ-008</t>
        </is>
      </c>
      <c r="D824" s="5" t="n">
        <v>28</v>
      </c>
      <c r="E824" s="2" t="inlineStr">
        <is>
          <t>Adet</t>
        </is>
      </c>
      <c r="F824" s="3" t="n">
        <v>736.14</v>
      </c>
      <c r="G824" s="4" t="n">
        <v>0.0436</v>
      </c>
      <c r="H824" s="3" t="n">
        <v>704.04</v>
      </c>
      <c r="I824" s="3" t="n">
        <v>19713.12</v>
      </c>
      <c r="J824" s="3" t="n">
        <v>457.74</v>
      </c>
      <c r="K824" s="3" t="n">
        <v>12816.72</v>
      </c>
      <c r="L824" s="3" t="n">
        <v>6896.4</v>
      </c>
      <c r="M824" s="4" t="n">
        <v>0.3498</v>
      </c>
    </row>
    <row r="825">
      <c r="A825" s="2" t="inlineStr">
        <is>
          <t>SKL-00824</t>
        </is>
      </c>
      <c r="B825" s="2" t="inlineStr">
        <is>
          <t>SIP-0220</t>
        </is>
      </c>
      <c r="C825" s="2" t="inlineStr">
        <is>
          <t>ENDVAN-022</t>
        </is>
      </c>
      <c r="D825" s="5" t="n">
        <v>5</v>
      </c>
      <c r="E825" s="2" t="inlineStr">
        <is>
          <t>Adet</t>
        </is>
      </c>
      <c r="F825" s="3" t="n">
        <v>221.03</v>
      </c>
      <c r="G825" s="4" t="n">
        <v>0.0503</v>
      </c>
      <c r="H825" s="3" t="n">
        <v>209.91</v>
      </c>
      <c r="I825" s="3" t="n">
        <v>1049.55</v>
      </c>
      <c r="J825" s="3" t="n">
        <v>163.9</v>
      </c>
      <c r="K825" s="3" t="n">
        <v>819.5</v>
      </c>
      <c r="L825" s="3" t="n">
        <v>230.05</v>
      </c>
      <c r="M825" s="4" t="n">
        <v>0.2192</v>
      </c>
    </row>
    <row r="826">
      <c r="A826" s="2" t="inlineStr">
        <is>
          <t>SKL-00825</t>
        </is>
      </c>
      <c r="B826" s="2" t="inlineStr">
        <is>
          <t>SIP-0220</t>
        </is>
      </c>
      <c r="C826" s="2" t="inlineStr">
        <is>
          <t>YAREND-012</t>
        </is>
      </c>
      <c r="D826" s="5" t="n">
        <v>4</v>
      </c>
      <c r="E826" s="2" t="inlineStr">
        <is>
          <t>Adet</t>
        </is>
      </c>
      <c r="F826" s="3" t="n">
        <v>732.5599999999999</v>
      </c>
      <c r="G826" s="4" t="n">
        <v>0.0184</v>
      </c>
      <c r="H826" s="3" t="n">
        <v>719.08</v>
      </c>
      <c r="I826" s="3" t="n">
        <v>2876.32</v>
      </c>
      <c r="J826" s="3" t="n">
        <v>528.15</v>
      </c>
      <c r="K826" s="3" t="n">
        <v>2112.6</v>
      </c>
      <c r="L826" s="3" t="n">
        <v>763.72</v>
      </c>
      <c r="M826" s="4" t="n">
        <v>0.2655</v>
      </c>
    </row>
    <row r="827">
      <c r="A827" s="2" t="inlineStr">
        <is>
          <t>SKL-00826</t>
        </is>
      </c>
      <c r="B827" s="2" t="inlineStr">
        <is>
          <t>SIP-0220</t>
        </is>
      </c>
      <c r="C827" s="2" t="inlineStr">
        <is>
          <t>FLAIZO-008</t>
        </is>
      </c>
      <c r="D827" s="5" t="n">
        <v>74</v>
      </c>
      <c r="E827" s="2" t="inlineStr">
        <is>
          <t>Set</t>
        </is>
      </c>
      <c r="F827" s="3" t="n">
        <v>138.59</v>
      </c>
      <c r="G827" s="4" t="n">
        <v>0.0272</v>
      </c>
      <c r="H827" s="3" t="n">
        <v>134.82</v>
      </c>
      <c r="I827" s="3" t="n">
        <v>9976.68</v>
      </c>
      <c r="J827" s="3" t="n">
        <v>78.08</v>
      </c>
      <c r="K827" s="3" t="n">
        <v>5777.92</v>
      </c>
      <c r="L827" s="3" t="n">
        <v>4198.76</v>
      </c>
      <c r="M827" s="4" t="n">
        <v>0.4209</v>
      </c>
    </row>
    <row r="828">
      <c r="A828" s="2" t="inlineStr">
        <is>
          <t>SKL-00827</t>
        </is>
      </c>
      <c r="B828" s="2" t="inlineStr">
        <is>
          <t>SIP-0220</t>
        </is>
      </c>
      <c r="C828" s="2" t="inlineStr">
        <is>
          <t>ENDVAN-010</t>
        </is>
      </c>
      <c r="D828" s="5" t="n">
        <v>11</v>
      </c>
      <c r="E828" s="2" t="inlineStr">
        <is>
          <t>Adet</t>
        </is>
      </c>
      <c r="F828" s="3" t="n">
        <v>1256.63</v>
      </c>
      <c r="G828" s="4" t="n">
        <v>0.0482</v>
      </c>
      <c r="H828" s="3" t="n">
        <v>1196.06</v>
      </c>
      <c r="I828" s="3" t="n">
        <v>13156.66</v>
      </c>
      <c r="J828" s="3" t="n">
        <v>891.17</v>
      </c>
      <c r="K828" s="3" t="n">
        <v>9802.870000000001</v>
      </c>
      <c r="L828" s="3" t="n">
        <v>3353.79</v>
      </c>
      <c r="M828" s="4" t="n">
        <v>0.2549</v>
      </c>
    </row>
    <row r="829">
      <c r="A829" s="2" t="inlineStr">
        <is>
          <t>SKL-00828</t>
        </is>
      </c>
      <c r="B829" s="2" t="inlineStr">
        <is>
          <t>SIP-0221</t>
        </is>
      </c>
      <c r="C829" s="2" t="inlineStr">
        <is>
          <t>MEKSIZ-011</t>
        </is>
      </c>
      <c r="D829" s="5" t="n">
        <v>16</v>
      </c>
      <c r="E829" s="2" t="inlineStr">
        <is>
          <t>Adet</t>
        </is>
      </c>
      <c r="F829" s="3" t="n">
        <v>452.04</v>
      </c>
      <c r="G829" s="4" t="n">
        <v>0.0121</v>
      </c>
      <c r="H829" s="3" t="n">
        <v>446.57</v>
      </c>
      <c r="I829" s="3" t="n">
        <v>7145.12</v>
      </c>
      <c r="J829" s="3" t="n">
        <v>258.54</v>
      </c>
      <c r="K829" s="3" t="n">
        <v>4136.64</v>
      </c>
      <c r="L829" s="3" t="n">
        <v>3008.48</v>
      </c>
      <c r="M829" s="4" t="n">
        <v>0.4211</v>
      </c>
    </row>
    <row r="830">
      <c r="A830" s="2" t="inlineStr">
        <is>
          <t>SKL-00829</t>
        </is>
      </c>
      <c r="B830" s="2" t="inlineStr">
        <is>
          <t>SIP-0221</t>
        </is>
      </c>
      <c r="C830" s="2" t="inlineStr">
        <is>
          <t>ENDVAN-026</t>
        </is>
      </c>
      <c r="D830" s="5" t="n">
        <v>5</v>
      </c>
      <c r="E830" s="2" t="inlineStr">
        <is>
          <t>Adet</t>
        </is>
      </c>
      <c r="F830" s="3" t="n">
        <v>1449.64</v>
      </c>
      <c r="G830" s="4" t="n">
        <v>0.051</v>
      </c>
      <c r="H830" s="3" t="n">
        <v>1375.71</v>
      </c>
      <c r="I830" s="3" t="n">
        <v>6878.55</v>
      </c>
      <c r="J830" s="3" t="n">
        <v>1039.5</v>
      </c>
      <c r="K830" s="3" t="n">
        <v>5197.5</v>
      </c>
      <c r="L830" s="3" t="n">
        <v>1681.05</v>
      </c>
      <c r="M830" s="4" t="n">
        <v>0.2444</v>
      </c>
    </row>
    <row r="831">
      <c r="A831" s="2" t="inlineStr">
        <is>
          <t>SKL-00830</t>
        </is>
      </c>
      <c r="B831" s="2" t="inlineStr">
        <is>
          <t>SIP-0222</t>
        </is>
      </c>
      <c r="C831" s="2" t="inlineStr">
        <is>
          <t>MEKSIZ-001</t>
        </is>
      </c>
      <c r="D831" s="5" t="n">
        <v>27</v>
      </c>
      <c r="E831" s="2" t="inlineStr">
        <is>
          <t>Adet</t>
        </is>
      </c>
      <c r="F831" s="3" t="n">
        <v>647.6900000000001</v>
      </c>
      <c r="G831" s="4" t="n">
        <v>0.0539</v>
      </c>
      <c r="H831" s="3" t="n">
        <v>612.78</v>
      </c>
      <c r="I831" s="3" t="n">
        <v>16545.06</v>
      </c>
      <c r="J831" s="3" t="n">
        <v>372.57</v>
      </c>
      <c r="K831" s="3" t="n">
        <v>10059.39</v>
      </c>
      <c r="L831" s="3" t="n">
        <v>6485.67</v>
      </c>
      <c r="M831" s="4" t="n">
        <v>0.392</v>
      </c>
    </row>
    <row r="832">
      <c r="A832" s="2" t="inlineStr">
        <is>
          <t>SKL-00831</t>
        </is>
      </c>
      <c r="B832" s="2" t="inlineStr">
        <is>
          <t>SIP-0222</t>
        </is>
      </c>
      <c r="C832" s="2" t="inlineStr">
        <is>
          <t>MEKSIZ-004</t>
        </is>
      </c>
      <c r="D832" s="5" t="n">
        <v>6</v>
      </c>
      <c r="E832" s="2" t="inlineStr">
        <is>
          <t>Adet</t>
        </is>
      </c>
      <c r="F832" s="3" t="n">
        <v>258.02</v>
      </c>
      <c r="G832" s="4" t="n">
        <v>0.06909999999999999</v>
      </c>
      <c r="H832" s="3" t="n">
        <v>240.19</v>
      </c>
      <c r="I832" s="3" t="n">
        <v>1441.14</v>
      </c>
      <c r="J832" s="3" t="n">
        <v>164.52</v>
      </c>
      <c r="K832" s="3" t="n">
        <v>987.12</v>
      </c>
      <c r="L832" s="3" t="n">
        <v>454.02</v>
      </c>
      <c r="M832" s="4" t="n">
        <v>0.315</v>
      </c>
    </row>
    <row r="833">
      <c r="A833" s="2" t="inlineStr">
        <is>
          <t>SKL-00832</t>
        </is>
      </c>
      <c r="B833" s="2" t="inlineStr">
        <is>
          <t>SIP-0222</t>
        </is>
      </c>
      <c r="C833" s="2" t="inlineStr">
        <is>
          <t>ENDVAN-010</t>
        </is>
      </c>
      <c r="D833" s="5" t="n">
        <v>6</v>
      </c>
      <c r="E833" s="2" t="inlineStr">
        <is>
          <t>Adet</t>
        </is>
      </c>
      <c r="F833" s="3" t="n">
        <v>1195.07</v>
      </c>
      <c r="G833" s="4" t="n">
        <v>0.0709</v>
      </c>
      <c r="H833" s="3" t="n">
        <v>1110.34</v>
      </c>
      <c r="I833" s="3" t="n">
        <v>6662.04</v>
      </c>
      <c r="J833" s="3" t="n">
        <v>891.17</v>
      </c>
      <c r="K833" s="3" t="n">
        <v>5347.02</v>
      </c>
      <c r="L833" s="3" t="n">
        <v>1315.02</v>
      </c>
      <c r="M833" s="4" t="n">
        <v>0.1974</v>
      </c>
    </row>
    <row r="834">
      <c r="A834" s="2" t="inlineStr">
        <is>
          <t>SKL-00833</t>
        </is>
      </c>
      <c r="B834" s="2" t="inlineStr">
        <is>
          <t>SIP-0222</t>
        </is>
      </c>
      <c r="C834" s="2" t="inlineStr">
        <is>
          <t>FLAIZO-014</t>
        </is>
      </c>
      <c r="D834" s="5" t="n">
        <v>15</v>
      </c>
      <c r="E834" s="2" t="inlineStr">
        <is>
          <t>Set</t>
        </is>
      </c>
      <c r="F834" s="3" t="n">
        <v>62.29</v>
      </c>
      <c r="G834" s="4" t="n">
        <v>0.0089</v>
      </c>
      <c r="H834" s="3" t="n">
        <v>61.74</v>
      </c>
      <c r="I834" s="3" t="n">
        <v>926.1</v>
      </c>
      <c r="J834" s="3" t="n">
        <v>32.61</v>
      </c>
      <c r="K834" s="3" t="n">
        <v>489.15</v>
      </c>
      <c r="L834" s="3" t="n">
        <v>436.95</v>
      </c>
      <c r="M834" s="4" t="n">
        <v>0.4718</v>
      </c>
    </row>
    <row r="835">
      <c r="A835" s="2" t="inlineStr">
        <is>
          <t>SKL-00834</t>
        </is>
      </c>
      <c r="B835" s="2" t="inlineStr">
        <is>
          <t>SIP-0222</t>
        </is>
      </c>
      <c r="C835" s="2" t="inlineStr">
        <is>
          <t>ENDVAN-013</t>
        </is>
      </c>
      <c r="D835" s="5" t="n">
        <v>13</v>
      </c>
      <c r="E835" s="2" t="inlineStr">
        <is>
          <t>Adet</t>
        </is>
      </c>
      <c r="F835" s="3" t="n">
        <v>1625.19</v>
      </c>
      <c r="G835" s="4" t="n">
        <v>0.0225</v>
      </c>
      <c r="H835" s="3" t="n">
        <v>1588.62</v>
      </c>
      <c r="I835" s="3" t="n">
        <v>20652.06</v>
      </c>
      <c r="J835" s="3" t="n">
        <v>1133.86</v>
      </c>
      <c r="K835" s="3" t="n">
        <v>14740.18</v>
      </c>
      <c r="L835" s="3" t="n">
        <v>5911.88</v>
      </c>
      <c r="M835" s="4" t="n">
        <v>0.2863</v>
      </c>
    </row>
    <row r="836">
      <c r="A836" s="2" t="inlineStr">
        <is>
          <t>SKL-00835</t>
        </is>
      </c>
      <c r="B836" s="2" t="inlineStr">
        <is>
          <t>SIP-0222</t>
        </is>
      </c>
      <c r="C836" s="2" t="inlineStr">
        <is>
          <t>ENDVAN-007</t>
        </is>
      </c>
      <c r="D836" s="5" t="n">
        <v>11</v>
      </c>
      <c r="E836" s="2" t="inlineStr">
        <is>
          <t>Adet</t>
        </is>
      </c>
      <c r="F836" s="3" t="n">
        <v>198.8</v>
      </c>
      <c r="G836" s="4" t="n">
        <v>0.0654</v>
      </c>
      <c r="H836" s="3" t="n">
        <v>185.8</v>
      </c>
      <c r="I836" s="3" t="n">
        <v>2043.8</v>
      </c>
      <c r="J836" s="3" t="n">
        <v>126.94</v>
      </c>
      <c r="K836" s="3" t="n">
        <v>1396.34</v>
      </c>
      <c r="L836" s="3" t="n">
        <v>647.46</v>
      </c>
      <c r="M836" s="4" t="n">
        <v>0.3168</v>
      </c>
    </row>
    <row r="837">
      <c r="A837" s="2" t="inlineStr">
        <is>
          <t>SKL-00836</t>
        </is>
      </c>
      <c r="B837" s="2" t="inlineStr">
        <is>
          <t>SIP-0223</t>
        </is>
      </c>
      <c r="C837" s="2" t="inlineStr">
        <is>
          <t>ENDVAN-001</t>
        </is>
      </c>
      <c r="D837" s="5" t="n">
        <v>14</v>
      </c>
      <c r="E837" s="2" t="inlineStr">
        <is>
          <t>Adet</t>
        </is>
      </c>
      <c r="F837" s="3" t="n">
        <v>281.63</v>
      </c>
      <c r="G837" s="4" t="n">
        <v>0.0718</v>
      </c>
      <c r="H837" s="3" t="n">
        <v>261.41</v>
      </c>
      <c r="I837" s="3" t="n">
        <v>3659.74</v>
      </c>
      <c r="J837" s="3" t="n">
        <v>192.02</v>
      </c>
      <c r="K837" s="3" t="n">
        <v>2688.28</v>
      </c>
      <c r="L837" s="3" t="n">
        <v>971.46</v>
      </c>
      <c r="M837" s="4" t="n">
        <v>0.2654</v>
      </c>
    </row>
    <row r="838">
      <c r="A838" s="2" t="inlineStr">
        <is>
          <t>SKL-00837</t>
        </is>
      </c>
      <c r="B838" s="2" t="inlineStr">
        <is>
          <t>SIP-0223</t>
        </is>
      </c>
      <c r="C838" s="2" t="inlineStr">
        <is>
          <t>KAR/-008</t>
        </is>
      </c>
      <c r="D838" s="5" t="n">
        <v>3</v>
      </c>
      <c r="E838" s="2" t="inlineStr">
        <is>
          <t>Adet</t>
        </is>
      </c>
      <c r="F838" s="3" t="n">
        <v>4463.12</v>
      </c>
      <c r="G838" s="4" t="n">
        <v>0.0692</v>
      </c>
      <c r="H838" s="3" t="n">
        <v>4154.27</v>
      </c>
      <c r="I838" s="3" t="n">
        <v>12462.81</v>
      </c>
      <c r="J838" s="3" t="n">
        <v>3361.51</v>
      </c>
      <c r="K838" s="3" t="n">
        <v>10084.53</v>
      </c>
      <c r="L838" s="3" t="n">
        <v>2378.28</v>
      </c>
      <c r="M838" s="4" t="n">
        <v>0.1908</v>
      </c>
    </row>
    <row r="839">
      <c r="A839" s="2" t="inlineStr">
        <is>
          <t>SKL-00838</t>
        </is>
      </c>
      <c r="B839" s="2" t="inlineStr">
        <is>
          <t>SIP-0224</t>
        </is>
      </c>
      <c r="C839" s="2" t="inlineStr">
        <is>
          <t>ENDVAN-028</t>
        </is>
      </c>
      <c r="D839" s="5" t="n">
        <v>1</v>
      </c>
      <c r="E839" s="2" t="inlineStr">
        <is>
          <t>Adet</t>
        </is>
      </c>
      <c r="F839" s="3" t="n">
        <v>1111.69</v>
      </c>
      <c r="G839" s="4" t="n">
        <v>0.0286</v>
      </c>
      <c r="H839" s="3" t="n">
        <v>1079.9</v>
      </c>
      <c r="I839" s="3" t="n">
        <v>1079.9</v>
      </c>
      <c r="J839" s="3" t="n">
        <v>812.05</v>
      </c>
      <c r="K839" s="3" t="n">
        <v>812.05</v>
      </c>
      <c r="L839" s="3" t="n">
        <v>267.85</v>
      </c>
      <c r="M839" s="4" t="n">
        <v>0.248</v>
      </c>
    </row>
    <row r="840">
      <c r="A840" s="2" t="inlineStr">
        <is>
          <t>SKL-00839</t>
        </is>
      </c>
      <c r="B840" s="2" t="inlineStr">
        <is>
          <t>SIP-0224</t>
        </is>
      </c>
      <c r="C840" s="2" t="inlineStr">
        <is>
          <t>YAREND-013</t>
        </is>
      </c>
      <c r="D840" s="5" t="n">
        <v>8</v>
      </c>
      <c r="E840" s="2" t="inlineStr">
        <is>
          <t>Adet</t>
        </is>
      </c>
      <c r="F840" s="3" t="n">
        <v>566.3</v>
      </c>
      <c r="G840" s="4" t="n">
        <v>0.0925</v>
      </c>
      <c r="H840" s="3" t="n">
        <v>513.92</v>
      </c>
      <c r="I840" s="3" t="n">
        <v>4111.36</v>
      </c>
      <c r="J840" s="3" t="n">
        <v>387.77</v>
      </c>
      <c r="K840" s="3" t="n">
        <v>3102.16</v>
      </c>
      <c r="L840" s="3" t="n">
        <v>1009.2</v>
      </c>
      <c r="M840" s="4" t="n">
        <v>0.2455</v>
      </c>
    </row>
    <row r="841">
      <c r="A841" s="2" t="inlineStr">
        <is>
          <t>SKL-00840</t>
        </is>
      </c>
      <c r="B841" s="2" t="inlineStr">
        <is>
          <t>SIP-0224</t>
        </is>
      </c>
      <c r="C841" s="2" t="inlineStr">
        <is>
          <t>ENDVAN-019</t>
        </is>
      </c>
      <c r="D841" s="5" t="n">
        <v>10</v>
      </c>
      <c r="E841" s="2" t="inlineStr">
        <is>
          <t>Adet</t>
        </is>
      </c>
      <c r="F841" s="3" t="n">
        <v>755.78</v>
      </c>
      <c r="G841" s="4" t="n">
        <v>0.0557</v>
      </c>
      <c r="H841" s="3" t="n">
        <v>713.6799999999999</v>
      </c>
      <c r="I841" s="3" t="n">
        <v>7136.8</v>
      </c>
      <c r="J841" s="3" t="n">
        <v>564.9400000000001</v>
      </c>
      <c r="K841" s="3" t="n">
        <v>5649.4</v>
      </c>
      <c r="L841" s="3" t="n">
        <v>1487.4</v>
      </c>
      <c r="M841" s="4" t="n">
        <v>0.2084</v>
      </c>
    </row>
    <row r="842">
      <c r="A842" s="2" t="inlineStr">
        <is>
          <t>SKL-00841</t>
        </is>
      </c>
      <c r="B842" s="2" t="inlineStr">
        <is>
          <t>SIP-0224</t>
        </is>
      </c>
      <c r="C842" s="2" t="inlineStr">
        <is>
          <t>ENDVAN-015</t>
        </is>
      </c>
      <c r="D842" s="5" t="n">
        <v>4</v>
      </c>
      <c r="E842" s="2" t="inlineStr">
        <is>
          <t>Adet</t>
        </is>
      </c>
      <c r="F842" s="3" t="n">
        <v>1691.34</v>
      </c>
      <c r="G842" s="4" t="n">
        <v>0.061</v>
      </c>
      <c r="H842" s="3" t="n">
        <v>1588.17</v>
      </c>
      <c r="I842" s="3" t="n">
        <v>6352.68</v>
      </c>
      <c r="J842" s="3" t="n">
        <v>1019.05</v>
      </c>
      <c r="K842" s="3" t="n">
        <v>4076.2</v>
      </c>
      <c r="L842" s="3" t="n">
        <v>2276.48</v>
      </c>
      <c r="M842" s="4" t="n">
        <v>0.3583</v>
      </c>
    </row>
    <row r="843">
      <c r="A843" s="2" t="inlineStr">
        <is>
          <t>SKL-00842</t>
        </is>
      </c>
      <c r="B843" s="2" t="inlineStr">
        <is>
          <t>SIP-0225</t>
        </is>
      </c>
      <c r="C843" s="2" t="inlineStr">
        <is>
          <t>MEKSIZ-001</t>
        </is>
      </c>
      <c r="D843" s="5" t="n">
        <v>28</v>
      </c>
      <c r="E843" s="2" t="inlineStr">
        <is>
          <t>Adet</t>
        </is>
      </c>
      <c r="F843" s="3" t="n">
        <v>628.66</v>
      </c>
      <c r="G843" s="4" t="n">
        <v>0.0893</v>
      </c>
      <c r="H843" s="3" t="n">
        <v>572.52</v>
      </c>
      <c r="I843" s="3" t="n">
        <v>16030.56</v>
      </c>
      <c r="J843" s="3" t="n">
        <v>372.57</v>
      </c>
      <c r="K843" s="3" t="n">
        <v>10431.96</v>
      </c>
      <c r="L843" s="3" t="n">
        <v>5598.6</v>
      </c>
      <c r="M843" s="4" t="n">
        <v>0.3492</v>
      </c>
    </row>
    <row r="844">
      <c r="A844" s="2" t="inlineStr">
        <is>
          <t>SKL-00843</t>
        </is>
      </c>
      <c r="B844" s="2" t="inlineStr">
        <is>
          <t>SIP-0225</t>
        </is>
      </c>
      <c r="C844" s="2" t="inlineStr">
        <is>
          <t>MEKSIZ-001</t>
        </is>
      </c>
      <c r="D844" s="5" t="n">
        <v>6</v>
      </c>
      <c r="E844" s="2" t="inlineStr">
        <is>
          <t>Adet</t>
        </is>
      </c>
      <c r="F844" s="3" t="n">
        <v>633.21</v>
      </c>
      <c r="G844" s="4" t="n">
        <v>0.0638</v>
      </c>
      <c r="H844" s="3" t="n">
        <v>592.8099999999999</v>
      </c>
      <c r="I844" s="3" t="n">
        <v>3556.86</v>
      </c>
      <c r="J844" s="3" t="n">
        <v>372.57</v>
      </c>
      <c r="K844" s="3" t="n">
        <v>2235.42</v>
      </c>
      <c r="L844" s="3" t="n">
        <v>1321.44</v>
      </c>
      <c r="M844" s="4" t="n">
        <v>0.3715</v>
      </c>
    </row>
    <row r="845">
      <c r="A845" s="2" t="inlineStr">
        <is>
          <t>SKL-00844</t>
        </is>
      </c>
      <c r="B845" s="2" t="inlineStr">
        <is>
          <t>SIP-0225</t>
        </is>
      </c>
      <c r="C845" s="2" t="inlineStr">
        <is>
          <t>YAREND-005</t>
        </is>
      </c>
      <c r="D845" s="5" t="n">
        <v>9</v>
      </c>
      <c r="E845" s="2" t="inlineStr">
        <is>
          <t>Adet</t>
        </is>
      </c>
      <c r="F845" s="3" t="n">
        <v>990.27</v>
      </c>
      <c r="G845" s="4" t="n">
        <v>0.0698</v>
      </c>
      <c r="H845" s="3" t="n">
        <v>921.15</v>
      </c>
      <c r="I845" s="3" t="n">
        <v>8290.35</v>
      </c>
      <c r="J845" s="3" t="n">
        <v>729.01</v>
      </c>
      <c r="K845" s="3" t="n">
        <v>6561.09</v>
      </c>
      <c r="L845" s="3" t="n">
        <v>1729.26</v>
      </c>
      <c r="M845" s="4" t="n">
        <v>0.2086</v>
      </c>
    </row>
    <row r="846">
      <c r="A846" s="2" t="inlineStr">
        <is>
          <t>SKL-00845</t>
        </is>
      </c>
      <c r="B846" s="2" t="inlineStr">
        <is>
          <t>SIP-0226</t>
        </is>
      </c>
      <c r="C846" s="2" t="inlineStr">
        <is>
          <t>YAREND-002</t>
        </is>
      </c>
      <c r="D846" s="5" t="n">
        <v>3</v>
      </c>
      <c r="E846" s="2" t="inlineStr">
        <is>
          <t>Adet</t>
        </is>
      </c>
      <c r="F846" s="3" t="n">
        <v>1272.32</v>
      </c>
      <c r="G846" s="4" t="n">
        <v>0.0808</v>
      </c>
      <c r="H846" s="3" t="n">
        <v>1169.52</v>
      </c>
      <c r="I846" s="3" t="n">
        <v>3508.56</v>
      </c>
      <c r="J846" s="3" t="n">
        <v>839.65</v>
      </c>
      <c r="K846" s="3" t="n">
        <v>2518.95</v>
      </c>
      <c r="L846" s="3" t="n">
        <v>989.61</v>
      </c>
      <c r="M846" s="4" t="n">
        <v>0.2821</v>
      </c>
    </row>
    <row r="847">
      <c r="A847" s="2" t="inlineStr">
        <is>
          <t>SKL-00846</t>
        </is>
      </c>
      <c r="B847" s="2" t="inlineStr">
        <is>
          <t>SIP-0226</t>
        </is>
      </c>
      <c r="C847" s="2" t="inlineStr">
        <is>
          <t>ENDVAN-034</t>
        </is>
      </c>
      <c r="D847" s="5" t="n">
        <v>16</v>
      </c>
      <c r="E847" s="2" t="inlineStr">
        <is>
          <t>Adet</t>
        </is>
      </c>
      <c r="F847" s="3" t="n">
        <v>818.67</v>
      </c>
      <c r="G847" s="4" t="n">
        <v>0.1001</v>
      </c>
      <c r="H847" s="3" t="n">
        <v>736.72</v>
      </c>
      <c r="I847" s="3" t="n">
        <v>11787.52</v>
      </c>
      <c r="J847" s="3" t="n">
        <v>595.41</v>
      </c>
      <c r="K847" s="3" t="n">
        <v>9526.559999999999</v>
      </c>
      <c r="L847" s="3" t="n">
        <v>2260.96</v>
      </c>
      <c r="M847" s="4" t="n">
        <v>0.1918</v>
      </c>
    </row>
    <row r="848">
      <c r="A848" s="2" t="inlineStr">
        <is>
          <t>SKL-00847</t>
        </is>
      </c>
      <c r="B848" s="2" t="inlineStr">
        <is>
          <t>SIP-0226</t>
        </is>
      </c>
      <c r="C848" s="2" t="inlineStr">
        <is>
          <t>MEKSIZ-013</t>
        </is>
      </c>
      <c r="D848" s="5" t="n">
        <v>12</v>
      </c>
      <c r="E848" s="2" t="inlineStr">
        <is>
          <t>Adet</t>
        </is>
      </c>
      <c r="F848" s="3" t="n">
        <v>71.42</v>
      </c>
      <c r="G848" s="4" t="n">
        <v>0.0648</v>
      </c>
      <c r="H848" s="3" t="n">
        <v>66.79000000000001</v>
      </c>
      <c r="I848" s="3" t="n">
        <v>801.48</v>
      </c>
      <c r="J848" s="3" t="n">
        <v>45.62</v>
      </c>
      <c r="K848" s="3" t="n">
        <v>547.4400000000001</v>
      </c>
      <c r="L848" s="3" t="n">
        <v>254.04</v>
      </c>
      <c r="M848" s="4" t="n">
        <v>0.317</v>
      </c>
    </row>
    <row r="849">
      <c r="A849" s="2" t="inlineStr">
        <is>
          <t>SKL-00848</t>
        </is>
      </c>
      <c r="B849" s="2" t="inlineStr">
        <is>
          <t>SIP-0227</t>
        </is>
      </c>
      <c r="C849" s="2" t="inlineStr">
        <is>
          <t>ENDVAN-020</t>
        </is>
      </c>
      <c r="D849" s="5" t="n">
        <v>12</v>
      </c>
      <c r="E849" s="2" t="inlineStr">
        <is>
          <t>Adet</t>
        </is>
      </c>
      <c r="F849" s="3" t="n">
        <v>618.76</v>
      </c>
      <c r="G849" s="4" t="n">
        <v>0.0596</v>
      </c>
      <c r="H849" s="3" t="n">
        <v>581.88</v>
      </c>
      <c r="I849" s="3" t="n">
        <v>6982.56</v>
      </c>
      <c r="J849" s="3" t="n">
        <v>433.62</v>
      </c>
      <c r="K849" s="3" t="n">
        <v>5203.44</v>
      </c>
      <c r="L849" s="3" t="n">
        <v>1779.12</v>
      </c>
      <c r="M849" s="4" t="n">
        <v>0.2548</v>
      </c>
    </row>
    <row r="850">
      <c r="A850" s="2" t="inlineStr">
        <is>
          <t>SKL-00849</t>
        </is>
      </c>
      <c r="B850" s="2" t="inlineStr">
        <is>
          <t>SIP-0227</t>
        </is>
      </c>
      <c r="C850" s="2" t="inlineStr">
        <is>
          <t>ENDVAN-031</t>
        </is>
      </c>
      <c r="D850" s="5" t="n">
        <v>5</v>
      </c>
      <c r="E850" s="2" t="inlineStr">
        <is>
          <t>Adet</t>
        </is>
      </c>
      <c r="F850" s="3" t="n">
        <v>310.41</v>
      </c>
      <c r="G850" s="4" t="n">
        <v>0.09420000000000001</v>
      </c>
      <c r="H850" s="3" t="n">
        <v>281.17</v>
      </c>
      <c r="I850" s="3" t="n">
        <v>1405.85</v>
      </c>
      <c r="J850" s="3" t="n">
        <v>247.14</v>
      </c>
      <c r="K850" s="3" t="n">
        <v>1235.7</v>
      </c>
      <c r="L850" s="3" t="n">
        <v>170.15</v>
      </c>
      <c r="M850" s="4" t="n">
        <v>0.121</v>
      </c>
    </row>
    <row r="851">
      <c r="A851" s="2" t="inlineStr">
        <is>
          <t>SKL-00850</t>
        </is>
      </c>
      <c r="B851" s="2" t="inlineStr">
        <is>
          <t>SIP-0227</t>
        </is>
      </c>
      <c r="C851" s="2" t="inlineStr">
        <is>
          <t>FLAIZO-004</t>
        </is>
      </c>
      <c r="D851" s="5" t="n">
        <v>36</v>
      </c>
      <c r="E851" s="2" t="inlineStr">
        <is>
          <t>Set</t>
        </is>
      </c>
      <c r="F851" s="3" t="n">
        <v>50.49</v>
      </c>
      <c r="G851" s="4" t="n">
        <v>0.0139</v>
      </c>
      <c r="H851" s="3" t="n">
        <v>49.79</v>
      </c>
      <c r="I851" s="3" t="n">
        <v>1792.44</v>
      </c>
      <c r="J851" s="3" t="n">
        <v>25.08</v>
      </c>
      <c r="K851" s="3" t="n">
        <v>902.88</v>
      </c>
      <c r="L851" s="3" t="n">
        <v>889.5599999999999</v>
      </c>
      <c r="M851" s="4" t="n">
        <v>0.4963</v>
      </c>
    </row>
    <row r="852">
      <c r="A852" s="2" t="inlineStr">
        <is>
          <t>SKL-00851</t>
        </is>
      </c>
      <c r="B852" s="2" t="inlineStr">
        <is>
          <t>SIP-0227</t>
        </is>
      </c>
      <c r="C852" s="2" t="inlineStr">
        <is>
          <t>ENDVAN-034</t>
        </is>
      </c>
      <c r="D852" s="5" t="n">
        <v>16</v>
      </c>
      <c r="E852" s="2" t="inlineStr">
        <is>
          <t>Adet</t>
        </is>
      </c>
      <c r="F852" s="3" t="n">
        <v>737.3200000000001</v>
      </c>
      <c r="G852" s="4" t="n">
        <v>0.0723</v>
      </c>
      <c r="H852" s="3" t="n">
        <v>684.01</v>
      </c>
      <c r="I852" s="3" t="n">
        <v>10944.16</v>
      </c>
      <c r="J852" s="3" t="n">
        <v>595.41</v>
      </c>
      <c r="K852" s="3" t="n">
        <v>9526.559999999999</v>
      </c>
      <c r="L852" s="3" t="n">
        <v>1417.6</v>
      </c>
      <c r="M852" s="4" t="n">
        <v>0.1295</v>
      </c>
    </row>
    <row r="853">
      <c r="A853" s="2" t="inlineStr">
        <is>
          <t>SKL-00852</t>
        </is>
      </c>
      <c r="B853" s="2" t="inlineStr">
        <is>
          <t>SIP-0227</t>
        </is>
      </c>
      <c r="C853" s="2" t="inlineStr">
        <is>
          <t>ENDVAN-034</t>
        </is>
      </c>
      <c r="D853" s="5" t="n">
        <v>9</v>
      </c>
      <c r="E853" s="2" t="inlineStr">
        <is>
          <t>Adet</t>
        </is>
      </c>
      <c r="F853" s="3" t="n">
        <v>811.15</v>
      </c>
      <c r="G853" s="4" t="n">
        <v>0.0272</v>
      </c>
      <c r="H853" s="3" t="n">
        <v>789.09</v>
      </c>
      <c r="I853" s="3" t="n">
        <v>7101.81</v>
      </c>
      <c r="J853" s="3" t="n">
        <v>595.41</v>
      </c>
      <c r="K853" s="3" t="n">
        <v>5358.69</v>
      </c>
      <c r="L853" s="3" t="n">
        <v>1743.12</v>
      </c>
      <c r="M853" s="4" t="n">
        <v>0.2454</v>
      </c>
    </row>
    <row r="854">
      <c r="A854" s="2" t="inlineStr">
        <is>
          <t>SKL-00853</t>
        </is>
      </c>
      <c r="B854" s="2" t="inlineStr">
        <is>
          <t>SIP-0227</t>
        </is>
      </c>
      <c r="C854" s="2" t="inlineStr">
        <is>
          <t>ENDVAN-008</t>
        </is>
      </c>
      <c r="D854" s="5" t="n">
        <v>10</v>
      </c>
      <c r="E854" s="2" t="inlineStr">
        <is>
          <t>Adet</t>
        </is>
      </c>
      <c r="F854" s="3" t="n">
        <v>582.99</v>
      </c>
      <c r="G854" s="4" t="n">
        <v>0.0328</v>
      </c>
      <c r="H854" s="3" t="n">
        <v>563.87</v>
      </c>
      <c r="I854" s="3" t="n">
        <v>5638.7</v>
      </c>
      <c r="J854" s="3" t="n">
        <v>429.42</v>
      </c>
      <c r="K854" s="3" t="n">
        <v>4294.2</v>
      </c>
      <c r="L854" s="3" t="n">
        <v>1344.5</v>
      </c>
      <c r="M854" s="4" t="n">
        <v>0.2384</v>
      </c>
    </row>
    <row r="855">
      <c r="A855" s="2" t="inlineStr">
        <is>
          <t>SKL-00854</t>
        </is>
      </c>
      <c r="B855" s="2" t="inlineStr">
        <is>
          <t>SIP-0227</t>
        </is>
      </c>
      <c r="C855" s="2" t="inlineStr">
        <is>
          <t>ENDVAN-024</t>
        </is>
      </c>
      <c r="D855" s="5" t="n">
        <v>11</v>
      </c>
      <c r="E855" s="2" t="inlineStr">
        <is>
          <t>Adet</t>
        </is>
      </c>
      <c r="F855" s="3" t="n">
        <v>1748.01</v>
      </c>
      <c r="G855" s="4" t="n">
        <v>0.0149</v>
      </c>
      <c r="H855" s="3" t="n">
        <v>1721.96</v>
      </c>
      <c r="I855" s="3" t="n">
        <v>18941.56</v>
      </c>
      <c r="J855" s="3" t="n">
        <v>1156.64</v>
      </c>
      <c r="K855" s="3" t="n">
        <v>12723.04</v>
      </c>
      <c r="L855" s="3" t="n">
        <v>6218.52</v>
      </c>
      <c r="M855" s="4" t="n">
        <v>0.3283</v>
      </c>
    </row>
    <row r="856">
      <c r="A856" s="2" t="inlineStr">
        <is>
          <t>SKL-00855</t>
        </is>
      </c>
      <c r="B856" s="2" t="inlineStr">
        <is>
          <t>SIP-0228</t>
        </is>
      </c>
      <c r="C856" s="2" t="inlineStr">
        <is>
          <t>ENDVAN-006</t>
        </is>
      </c>
      <c r="D856" s="5" t="n">
        <v>14</v>
      </c>
      <c r="E856" s="2" t="inlineStr">
        <is>
          <t>Adet</t>
        </is>
      </c>
      <c r="F856" s="3" t="n">
        <v>1663.54</v>
      </c>
      <c r="G856" s="4" t="n">
        <v>0.0837</v>
      </c>
      <c r="H856" s="3" t="n">
        <v>1524.3</v>
      </c>
      <c r="I856" s="3" t="n">
        <v>21340.2</v>
      </c>
      <c r="J856" s="3" t="n">
        <v>1160.99</v>
      </c>
      <c r="K856" s="3" t="n">
        <v>16253.86</v>
      </c>
      <c r="L856" s="3" t="n">
        <v>5086.34</v>
      </c>
      <c r="M856" s="4" t="n">
        <v>0.2383</v>
      </c>
    </row>
    <row r="857">
      <c r="A857" s="2" t="inlineStr">
        <is>
          <t>SKL-00856</t>
        </is>
      </c>
      <c r="B857" s="2" t="inlineStr">
        <is>
          <t>SIP-0229</t>
        </is>
      </c>
      <c r="C857" s="2" t="inlineStr">
        <is>
          <t>ENDVAN-017</t>
        </is>
      </c>
      <c r="D857" s="5" t="n">
        <v>8</v>
      </c>
      <c r="E857" s="2" t="inlineStr">
        <is>
          <t>Adet</t>
        </is>
      </c>
      <c r="F857" s="3" t="n">
        <v>703.9400000000001</v>
      </c>
      <c r="G857" s="4" t="n">
        <v>0.0912</v>
      </c>
      <c r="H857" s="3" t="n">
        <v>639.74</v>
      </c>
      <c r="I857" s="3" t="n">
        <v>5117.92</v>
      </c>
      <c r="J857" s="3" t="n">
        <v>518.3099999999999</v>
      </c>
      <c r="K857" s="3" t="n">
        <v>4146.48</v>
      </c>
      <c r="L857" s="3" t="n">
        <v>971.4400000000001</v>
      </c>
      <c r="M857" s="4" t="n">
        <v>0.1898</v>
      </c>
    </row>
    <row r="858">
      <c r="A858" s="2" t="inlineStr">
        <is>
          <t>SKL-00857</t>
        </is>
      </c>
      <c r="B858" s="2" t="inlineStr">
        <is>
          <t>SIP-0229</t>
        </is>
      </c>
      <c r="C858" s="2" t="inlineStr">
        <is>
          <t>FLAIZO-014</t>
        </is>
      </c>
      <c r="D858" s="5" t="n">
        <v>48</v>
      </c>
      <c r="E858" s="2" t="inlineStr">
        <is>
          <t>Set</t>
        </is>
      </c>
      <c r="F858" s="3" t="n">
        <v>63.79</v>
      </c>
      <c r="G858" s="4" t="n">
        <v>0.0531</v>
      </c>
      <c r="H858" s="3" t="n">
        <v>60.4</v>
      </c>
      <c r="I858" s="3" t="n">
        <v>2899.2</v>
      </c>
      <c r="J858" s="3" t="n">
        <v>32.61</v>
      </c>
      <c r="K858" s="3" t="n">
        <v>1565.28</v>
      </c>
      <c r="L858" s="3" t="n">
        <v>1333.92</v>
      </c>
      <c r="M858" s="4" t="n">
        <v>0.4601</v>
      </c>
    </row>
    <row r="859">
      <c r="A859" s="2" t="inlineStr">
        <is>
          <t>SKL-00858</t>
        </is>
      </c>
      <c r="B859" s="2" t="inlineStr">
        <is>
          <t>SIP-0229</t>
        </is>
      </c>
      <c r="C859" s="2" t="inlineStr">
        <is>
          <t>FLAIZO-008</t>
        </is>
      </c>
      <c r="D859" s="5" t="n">
        <v>57</v>
      </c>
      <c r="E859" s="2" t="inlineStr">
        <is>
          <t>Set</t>
        </is>
      </c>
      <c r="F859" s="3" t="n">
        <v>138.97</v>
      </c>
      <c r="G859" s="4" t="n">
        <v>0.0361</v>
      </c>
      <c r="H859" s="3" t="n">
        <v>133.95</v>
      </c>
      <c r="I859" s="3" t="n">
        <v>7635.15</v>
      </c>
      <c r="J859" s="3" t="n">
        <v>78.08</v>
      </c>
      <c r="K859" s="3" t="n">
        <v>4450.56</v>
      </c>
      <c r="L859" s="3" t="n">
        <v>3184.59</v>
      </c>
      <c r="M859" s="4" t="n">
        <v>0.4171</v>
      </c>
    </row>
    <row r="860">
      <c r="A860" s="2" t="inlineStr">
        <is>
          <t>SKL-00859</t>
        </is>
      </c>
      <c r="B860" s="2" t="inlineStr">
        <is>
          <t>SIP-0230</t>
        </is>
      </c>
      <c r="C860" s="2" t="inlineStr">
        <is>
          <t>MEKSIZ-004</t>
        </is>
      </c>
      <c r="D860" s="5" t="n">
        <v>14</v>
      </c>
      <c r="E860" s="2" t="inlineStr">
        <is>
          <t>Adet</t>
        </is>
      </c>
      <c r="F860" s="3" t="n">
        <v>266.67</v>
      </c>
      <c r="G860" s="4" t="n">
        <v>0.0344</v>
      </c>
      <c r="H860" s="3" t="n">
        <v>257.5</v>
      </c>
      <c r="I860" s="3" t="n">
        <v>3605</v>
      </c>
      <c r="J860" s="3" t="n">
        <v>164.52</v>
      </c>
      <c r="K860" s="3" t="n">
        <v>2303.28</v>
      </c>
      <c r="L860" s="3" t="n">
        <v>1301.72</v>
      </c>
      <c r="M860" s="4" t="n">
        <v>0.3611</v>
      </c>
    </row>
    <row r="861">
      <c r="A861" s="2" t="inlineStr">
        <is>
          <t>SKL-00860</t>
        </is>
      </c>
      <c r="B861" s="2" t="inlineStr">
        <is>
          <t>SIP-0230</t>
        </is>
      </c>
      <c r="C861" s="2" t="inlineStr">
        <is>
          <t>FLAIZO-014</t>
        </is>
      </c>
      <c r="D861" s="5" t="n">
        <v>14</v>
      </c>
      <c r="E861" s="2" t="inlineStr">
        <is>
          <t>Set</t>
        </is>
      </c>
      <c r="F861" s="3" t="n">
        <v>63.27</v>
      </c>
      <c r="G861" s="4" t="n">
        <v>0.0301</v>
      </c>
      <c r="H861" s="3" t="n">
        <v>61.37</v>
      </c>
      <c r="I861" s="3" t="n">
        <v>859.1799999999999</v>
      </c>
      <c r="J861" s="3" t="n">
        <v>32.61</v>
      </c>
      <c r="K861" s="3" t="n">
        <v>456.54</v>
      </c>
      <c r="L861" s="3" t="n">
        <v>402.64</v>
      </c>
      <c r="M861" s="4" t="n">
        <v>0.4686</v>
      </c>
    </row>
    <row r="862">
      <c r="A862" s="2" t="inlineStr">
        <is>
          <t>SKL-00861</t>
        </is>
      </c>
      <c r="B862" s="2" t="inlineStr">
        <is>
          <t>SIP-0230</t>
        </is>
      </c>
      <c r="C862" s="2" t="inlineStr">
        <is>
          <t>FLAIZO-004</t>
        </is>
      </c>
      <c r="D862" s="5" t="n">
        <v>73</v>
      </c>
      <c r="E862" s="2" t="inlineStr">
        <is>
          <t>Set</t>
        </is>
      </c>
      <c r="F862" s="3" t="n">
        <v>47.02</v>
      </c>
      <c r="G862" s="4" t="n">
        <v>0.0982</v>
      </c>
      <c r="H862" s="3" t="n">
        <v>42.4</v>
      </c>
      <c r="I862" s="3" t="n">
        <v>3095.2</v>
      </c>
      <c r="J862" s="3" t="n">
        <v>25.08</v>
      </c>
      <c r="K862" s="3" t="n">
        <v>1830.84</v>
      </c>
      <c r="L862" s="3" t="n">
        <v>1264.36</v>
      </c>
      <c r="M862" s="4" t="n">
        <v>0.4085</v>
      </c>
    </row>
    <row r="863">
      <c r="A863" s="2" t="inlineStr">
        <is>
          <t>SKL-00862</t>
        </is>
      </c>
      <c r="B863" s="2" t="inlineStr">
        <is>
          <t>SIP-0230</t>
        </is>
      </c>
      <c r="C863" s="2" t="inlineStr">
        <is>
          <t>ENDVAN-002</t>
        </is>
      </c>
      <c r="D863" s="5" t="n">
        <v>7</v>
      </c>
      <c r="E863" s="2" t="inlineStr">
        <is>
          <t>Adet</t>
        </is>
      </c>
      <c r="F863" s="3" t="n">
        <v>245.71</v>
      </c>
      <c r="G863" s="4" t="n">
        <v>0.0824</v>
      </c>
      <c r="H863" s="3" t="n">
        <v>225.46</v>
      </c>
      <c r="I863" s="3" t="n">
        <v>1578.22</v>
      </c>
      <c r="J863" s="3" t="n">
        <v>186.74</v>
      </c>
      <c r="K863" s="3" t="n">
        <v>1307.18</v>
      </c>
      <c r="L863" s="3" t="n">
        <v>271.04</v>
      </c>
      <c r="M863" s="4" t="n">
        <v>0.1717</v>
      </c>
    </row>
    <row r="864">
      <c r="A864" s="2" t="inlineStr">
        <is>
          <t>SKL-00863</t>
        </is>
      </c>
      <c r="B864" s="2" t="inlineStr">
        <is>
          <t>SIP-0230</t>
        </is>
      </c>
      <c r="C864" s="2" t="inlineStr">
        <is>
          <t>KAR/-012</t>
        </is>
      </c>
      <c r="D864" s="5" t="n">
        <v>3</v>
      </c>
      <c r="E864" s="2" t="inlineStr">
        <is>
          <t>Adet</t>
        </is>
      </c>
      <c r="F864" s="3" t="n">
        <v>7107.05</v>
      </c>
      <c r="G864" s="4" t="n">
        <v>0.07140000000000001</v>
      </c>
      <c r="H864" s="3" t="n">
        <v>6599.61</v>
      </c>
      <c r="I864" s="3" t="n">
        <v>19798.83</v>
      </c>
      <c r="J864" s="3" t="n">
        <v>5176.41</v>
      </c>
      <c r="K864" s="3" t="n">
        <v>15529.23</v>
      </c>
      <c r="L864" s="3" t="n">
        <v>4269.6</v>
      </c>
      <c r="M864" s="4" t="n">
        <v>0.2156</v>
      </c>
    </row>
    <row r="865">
      <c r="A865" s="2" t="inlineStr">
        <is>
          <t>SKL-00864</t>
        </is>
      </c>
      <c r="B865" s="2" t="inlineStr">
        <is>
          <t>SIP-0231</t>
        </is>
      </c>
      <c r="C865" s="2" t="inlineStr">
        <is>
          <t>YAREND-006</t>
        </is>
      </c>
      <c r="D865" s="5" t="n">
        <v>9</v>
      </c>
      <c r="E865" s="2" t="inlineStr">
        <is>
          <t>Adet</t>
        </is>
      </c>
      <c r="F865" s="3" t="n">
        <v>485.65</v>
      </c>
      <c r="G865" s="4" t="n">
        <v>0.0012</v>
      </c>
      <c r="H865" s="3" t="n">
        <v>485.07</v>
      </c>
      <c r="I865" s="3" t="n">
        <v>4365.63</v>
      </c>
      <c r="J865" s="3" t="n">
        <v>363.57</v>
      </c>
      <c r="K865" s="3" t="n">
        <v>3272.13</v>
      </c>
      <c r="L865" s="3" t="n">
        <v>1093.5</v>
      </c>
      <c r="M865" s="4" t="n">
        <v>0.2505</v>
      </c>
    </row>
    <row r="866">
      <c r="A866" s="2" t="inlineStr">
        <is>
          <t>SKL-00865</t>
        </is>
      </c>
      <c r="B866" s="2" t="inlineStr">
        <is>
          <t>SIP-0231</t>
        </is>
      </c>
      <c r="C866" s="2" t="inlineStr">
        <is>
          <t>MEKSIZ-006</t>
        </is>
      </c>
      <c r="D866" s="5" t="n">
        <v>10</v>
      </c>
      <c r="E866" s="2" t="inlineStr">
        <is>
          <t>Adet</t>
        </is>
      </c>
      <c r="F866" s="3" t="n">
        <v>589.4400000000001</v>
      </c>
      <c r="G866" s="4" t="n">
        <v>0.1036</v>
      </c>
      <c r="H866" s="3" t="n">
        <v>528.37</v>
      </c>
      <c r="I866" s="3" t="n">
        <v>5283.7</v>
      </c>
      <c r="J866" s="3" t="n">
        <v>347.05</v>
      </c>
      <c r="K866" s="3" t="n">
        <v>3470.5</v>
      </c>
      <c r="L866" s="3" t="n">
        <v>1813.2</v>
      </c>
      <c r="M866" s="4" t="n">
        <v>0.3432</v>
      </c>
    </row>
    <row r="867">
      <c r="A867" s="2" t="inlineStr">
        <is>
          <t>SKL-00866</t>
        </is>
      </c>
      <c r="B867" s="2" t="inlineStr">
        <is>
          <t>SIP-0231</t>
        </is>
      </c>
      <c r="C867" s="2" t="inlineStr">
        <is>
          <t>ENDVAN-006</t>
        </is>
      </c>
      <c r="D867" s="5" t="n">
        <v>8</v>
      </c>
      <c r="E867" s="2" t="inlineStr">
        <is>
          <t>Adet</t>
        </is>
      </c>
      <c r="F867" s="3" t="n">
        <v>1661.13</v>
      </c>
      <c r="G867" s="4" t="n">
        <v>0.0559</v>
      </c>
      <c r="H867" s="3" t="n">
        <v>1568.27</v>
      </c>
      <c r="I867" s="3" t="n">
        <v>12546.16</v>
      </c>
      <c r="J867" s="3" t="n">
        <v>1160.99</v>
      </c>
      <c r="K867" s="3" t="n">
        <v>9287.92</v>
      </c>
      <c r="L867" s="3" t="n">
        <v>3258.24</v>
      </c>
      <c r="M867" s="4" t="n">
        <v>0.2597</v>
      </c>
    </row>
    <row r="868">
      <c r="A868" s="2" t="inlineStr">
        <is>
          <t>SKL-00867</t>
        </is>
      </c>
      <c r="B868" s="2" t="inlineStr">
        <is>
          <t>SIP-0231</t>
        </is>
      </c>
      <c r="C868" s="2" t="inlineStr">
        <is>
          <t>MEKSIZ-006</t>
        </is>
      </c>
      <c r="D868" s="5" t="n">
        <v>23</v>
      </c>
      <c r="E868" s="2" t="inlineStr">
        <is>
          <t>Adet</t>
        </is>
      </c>
      <c r="F868" s="3" t="n">
        <v>560.84</v>
      </c>
      <c r="G868" s="4" t="n">
        <v>0.0303</v>
      </c>
      <c r="H868" s="3" t="n">
        <v>543.85</v>
      </c>
      <c r="I868" s="3" t="n">
        <v>12508.55</v>
      </c>
      <c r="J868" s="3" t="n">
        <v>347.05</v>
      </c>
      <c r="K868" s="3" t="n">
        <v>7982.15</v>
      </c>
      <c r="L868" s="3" t="n">
        <v>4526.4</v>
      </c>
      <c r="M868" s="4" t="n">
        <v>0.3619</v>
      </c>
    </row>
    <row r="869">
      <c r="A869" s="2" t="inlineStr">
        <is>
          <t>SKL-00868</t>
        </is>
      </c>
      <c r="B869" s="2" t="inlineStr">
        <is>
          <t>SIP-0232</t>
        </is>
      </c>
      <c r="C869" s="2" t="inlineStr">
        <is>
          <t>PROTAN-007</t>
        </is>
      </c>
      <c r="D869" s="5" t="n">
        <v>1</v>
      </c>
      <c r="E869" s="2" t="inlineStr">
        <is>
          <t>Adet</t>
        </is>
      </c>
      <c r="F869" s="3" t="n">
        <v>15825.35</v>
      </c>
      <c r="G869" s="4" t="n">
        <v>0.0774</v>
      </c>
      <c r="H869" s="3" t="n">
        <v>14600.47</v>
      </c>
      <c r="I869" s="3" t="n">
        <v>14600.47</v>
      </c>
      <c r="J869" s="3" t="n">
        <v>12517.98</v>
      </c>
      <c r="K869" s="3" t="n">
        <v>12517.98</v>
      </c>
      <c r="L869" s="3" t="n">
        <v>2082.49</v>
      </c>
      <c r="M869" s="4" t="n">
        <v>0.1426</v>
      </c>
    </row>
    <row r="870">
      <c r="A870" s="2" t="inlineStr">
        <is>
          <t>SKL-00869</t>
        </is>
      </c>
      <c r="B870" s="2" t="inlineStr">
        <is>
          <t>SIP-0232</t>
        </is>
      </c>
      <c r="C870" s="2" t="inlineStr">
        <is>
          <t>ENDVAN-008</t>
        </is>
      </c>
      <c r="D870" s="5" t="n">
        <v>14</v>
      </c>
      <c r="E870" s="2" t="inlineStr">
        <is>
          <t>Adet</t>
        </is>
      </c>
      <c r="F870" s="3" t="n">
        <v>581.55</v>
      </c>
      <c r="G870" s="4" t="n">
        <v>0.0008</v>
      </c>
      <c r="H870" s="3" t="n">
        <v>581.08</v>
      </c>
      <c r="I870" s="3" t="n">
        <v>8135.12</v>
      </c>
      <c r="J870" s="3" t="n">
        <v>429.42</v>
      </c>
      <c r="K870" s="3" t="n">
        <v>6011.88</v>
      </c>
      <c r="L870" s="3" t="n">
        <v>2123.24</v>
      </c>
      <c r="M870" s="4" t="n">
        <v>0.261</v>
      </c>
    </row>
    <row r="871">
      <c r="A871" s="2" t="inlineStr">
        <is>
          <t>SKL-00870</t>
        </is>
      </c>
      <c r="B871" s="2" t="inlineStr">
        <is>
          <t>SIP-0232</t>
        </is>
      </c>
      <c r="C871" s="2" t="inlineStr">
        <is>
          <t>ENDVAN-028</t>
        </is>
      </c>
      <c r="D871" s="5" t="n">
        <v>5</v>
      </c>
      <c r="E871" s="2" t="inlineStr">
        <is>
          <t>Adet</t>
        </is>
      </c>
      <c r="F871" s="3" t="n">
        <v>1063.82</v>
      </c>
      <c r="G871" s="4" t="n">
        <v>0.0423</v>
      </c>
      <c r="H871" s="3" t="n">
        <v>1018.82</v>
      </c>
      <c r="I871" s="3" t="n">
        <v>5094.1</v>
      </c>
      <c r="J871" s="3" t="n">
        <v>812.05</v>
      </c>
      <c r="K871" s="3" t="n">
        <v>4060.25</v>
      </c>
      <c r="L871" s="3" t="n">
        <v>1033.85</v>
      </c>
      <c r="M871" s="4" t="n">
        <v>0.203</v>
      </c>
    </row>
    <row r="872">
      <c r="A872" s="2" t="inlineStr">
        <is>
          <t>SKL-00871</t>
        </is>
      </c>
      <c r="B872" s="2" t="inlineStr">
        <is>
          <t>SIP-0232</t>
        </is>
      </c>
      <c r="C872" s="2" t="inlineStr">
        <is>
          <t>KAR/-002</t>
        </is>
      </c>
      <c r="D872" s="5" t="n">
        <v>3</v>
      </c>
      <c r="E872" s="2" t="inlineStr">
        <is>
          <t>Adet</t>
        </is>
      </c>
      <c r="F872" s="3" t="n">
        <v>11915.66</v>
      </c>
      <c r="G872" s="4" t="n">
        <v>0.0148</v>
      </c>
      <c r="H872" s="3" t="n">
        <v>11739.31</v>
      </c>
      <c r="I872" s="3" t="n">
        <v>35217.93</v>
      </c>
      <c r="J872" s="3" t="n">
        <v>9102.83</v>
      </c>
      <c r="K872" s="3" t="n">
        <v>27308.49</v>
      </c>
      <c r="L872" s="3" t="n">
        <v>7909.44</v>
      </c>
      <c r="M872" s="4" t="n">
        <v>0.2246</v>
      </c>
    </row>
    <row r="873">
      <c r="A873" s="2" t="inlineStr">
        <is>
          <t>SKL-00872</t>
        </is>
      </c>
      <c r="B873" s="2" t="inlineStr">
        <is>
          <t>SIP-0232</t>
        </is>
      </c>
      <c r="C873" s="2" t="inlineStr">
        <is>
          <t>ENDVAN-003</t>
        </is>
      </c>
      <c r="D873" s="5" t="n">
        <v>4</v>
      </c>
      <c r="E873" s="2" t="inlineStr">
        <is>
          <t>Adet</t>
        </is>
      </c>
      <c r="F873" s="3" t="n">
        <v>1418.93</v>
      </c>
      <c r="G873" s="4" t="n">
        <v>0.032</v>
      </c>
      <c r="H873" s="3" t="n">
        <v>1373.52</v>
      </c>
      <c r="I873" s="3" t="n">
        <v>5494.08</v>
      </c>
      <c r="J873" s="3" t="n">
        <v>1050.24</v>
      </c>
      <c r="K873" s="3" t="n">
        <v>4200.96</v>
      </c>
      <c r="L873" s="3" t="n">
        <v>1293.12</v>
      </c>
      <c r="M873" s="4" t="n">
        <v>0.2354</v>
      </c>
    </row>
    <row r="874">
      <c r="A874" s="2" t="inlineStr">
        <is>
          <t>SKL-00873</t>
        </is>
      </c>
      <c r="B874" s="2" t="inlineStr">
        <is>
          <t>SIP-0233</t>
        </is>
      </c>
      <c r="C874" s="2" t="inlineStr">
        <is>
          <t>YAREND-010</t>
        </is>
      </c>
      <c r="D874" s="5" t="n">
        <v>16</v>
      </c>
      <c r="E874" s="2" t="inlineStr">
        <is>
          <t>Adet</t>
        </is>
      </c>
      <c r="F874" s="3" t="n">
        <v>953.12</v>
      </c>
      <c r="G874" s="4" t="n">
        <v>0.1092</v>
      </c>
      <c r="H874" s="3" t="n">
        <v>849.04</v>
      </c>
      <c r="I874" s="3" t="n">
        <v>13584.64</v>
      </c>
      <c r="J874" s="3" t="n">
        <v>593.24</v>
      </c>
      <c r="K874" s="3" t="n">
        <v>9491.84</v>
      </c>
      <c r="L874" s="3" t="n">
        <v>4092.8</v>
      </c>
      <c r="M874" s="4" t="n">
        <v>0.3013</v>
      </c>
    </row>
    <row r="875">
      <c r="A875" s="2" t="inlineStr">
        <is>
          <t>SKL-00874</t>
        </is>
      </c>
      <c r="B875" s="2" t="inlineStr">
        <is>
          <t>SIP-0233</t>
        </is>
      </c>
      <c r="C875" s="2" t="inlineStr">
        <is>
          <t>FLAIZO-014</t>
        </is>
      </c>
      <c r="D875" s="5" t="n">
        <v>65</v>
      </c>
      <c r="E875" s="2" t="inlineStr">
        <is>
          <t>Set</t>
        </is>
      </c>
      <c r="F875" s="3" t="n">
        <v>56.95</v>
      </c>
      <c r="G875" s="4" t="n">
        <v>0.0645</v>
      </c>
      <c r="H875" s="3" t="n">
        <v>53.28</v>
      </c>
      <c r="I875" s="3" t="n">
        <v>3463.2</v>
      </c>
      <c r="J875" s="3" t="n">
        <v>32.61</v>
      </c>
      <c r="K875" s="3" t="n">
        <v>2119.65</v>
      </c>
      <c r="L875" s="3" t="n">
        <v>1343.55</v>
      </c>
      <c r="M875" s="4" t="n">
        <v>0.388</v>
      </c>
    </row>
    <row r="876">
      <c r="A876" s="2" t="inlineStr">
        <is>
          <t>SKL-00875</t>
        </is>
      </c>
      <c r="B876" s="2" t="inlineStr">
        <is>
          <t>SIP-0233</t>
        </is>
      </c>
      <c r="C876" s="2" t="inlineStr">
        <is>
          <t>ENDVAN-005</t>
        </is>
      </c>
      <c r="D876" s="5" t="n">
        <v>5</v>
      </c>
      <c r="E876" s="2" t="inlineStr">
        <is>
          <t>Adet</t>
        </is>
      </c>
      <c r="F876" s="3" t="n">
        <v>853.46</v>
      </c>
      <c r="G876" s="4" t="n">
        <v>0.0498</v>
      </c>
      <c r="H876" s="3" t="n">
        <v>810.96</v>
      </c>
      <c r="I876" s="3" t="n">
        <v>4054.8</v>
      </c>
      <c r="J876" s="3" t="n">
        <v>653.55</v>
      </c>
      <c r="K876" s="3" t="n">
        <v>3267.75</v>
      </c>
      <c r="L876" s="3" t="n">
        <v>787.05</v>
      </c>
      <c r="M876" s="4" t="n">
        <v>0.1941</v>
      </c>
    </row>
    <row r="877">
      <c r="A877" s="2" t="inlineStr">
        <is>
          <t>SKL-00876</t>
        </is>
      </c>
      <c r="B877" s="2" t="inlineStr">
        <is>
          <t>SIP-0234</t>
        </is>
      </c>
      <c r="C877" s="2" t="inlineStr">
        <is>
          <t>ENDVAN-010</t>
        </is>
      </c>
      <c r="D877" s="5" t="n">
        <v>10</v>
      </c>
      <c r="E877" s="2" t="inlineStr">
        <is>
          <t>Adet</t>
        </is>
      </c>
      <c r="F877" s="3" t="n">
        <v>1185.74</v>
      </c>
      <c r="G877" s="4" t="n">
        <v>0.08500000000000001</v>
      </c>
      <c r="H877" s="3" t="n">
        <v>1084.95</v>
      </c>
      <c r="I877" s="3" t="n">
        <v>10849.5</v>
      </c>
      <c r="J877" s="3" t="n">
        <v>891.17</v>
      </c>
      <c r="K877" s="3" t="n">
        <v>8911.700000000001</v>
      </c>
      <c r="L877" s="3" t="n">
        <v>1937.8</v>
      </c>
      <c r="M877" s="4" t="n">
        <v>0.1786</v>
      </c>
    </row>
    <row r="878">
      <c r="A878" s="2" t="inlineStr">
        <is>
          <t>SKL-00877</t>
        </is>
      </c>
      <c r="B878" s="2" t="inlineStr">
        <is>
          <t>SIP-0234</t>
        </is>
      </c>
      <c r="C878" s="2" t="inlineStr">
        <is>
          <t>ENDVAN-001</t>
        </is>
      </c>
      <c r="D878" s="5" t="n">
        <v>18</v>
      </c>
      <c r="E878" s="2" t="inlineStr">
        <is>
          <t>Adet</t>
        </is>
      </c>
      <c r="F878" s="3" t="n">
        <v>296.55</v>
      </c>
      <c r="G878" s="4" t="n">
        <v>0.0183</v>
      </c>
      <c r="H878" s="3" t="n">
        <v>291.12</v>
      </c>
      <c r="I878" s="3" t="n">
        <v>5240.16</v>
      </c>
      <c r="J878" s="3" t="n">
        <v>192.02</v>
      </c>
      <c r="K878" s="3" t="n">
        <v>3456.36</v>
      </c>
      <c r="L878" s="3" t="n">
        <v>1783.8</v>
      </c>
      <c r="M878" s="4" t="n">
        <v>0.3404</v>
      </c>
    </row>
    <row r="879">
      <c r="A879" s="2" t="inlineStr">
        <is>
          <t>SKL-00878</t>
        </is>
      </c>
      <c r="B879" s="2" t="inlineStr">
        <is>
          <t>SIP-0234</t>
        </is>
      </c>
      <c r="C879" s="2" t="inlineStr">
        <is>
          <t>KAR/-003</t>
        </is>
      </c>
      <c r="D879" s="5" t="n">
        <v>3</v>
      </c>
      <c r="E879" s="2" t="inlineStr">
        <is>
          <t>Adet</t>
        </is>
      </c>
      <c r="F879" s="3" t="n">
        <v>4739.37</v>
      </c>
      <c r="G879" s="4" t="n">
        <v>0.09</v>
      </c>
      <c r="H879" s="3" t="n">
        <v>4312.83</v>
      </c>
      <c r="I879" s="3" t="n">
        <v>12938.49</v>
      </c>
      <c r="J879" s="3" t="n">
        <v>3349.2</v>
      </c>
      <c r="K879" s="3" t="n">
        <v>10047.6</v>
      </c>
      <c r="L879" s="3" t="n">
        <v>2890.89</v>
      </c>
      <c r="M879" s="4" t="n">
        <v>0.2234</v>
      </c>
    </row>
    <row r="880">
      <c r="A880" s="2" t="inlineStr">
        <is>
          <t>SKL-00879</t>
        </is>
      </c>
      <c r="B880" s="2" t="inlineStr">
        <is>
          <t>SIP-0234</t>
        </is>
      </c>
      <c r="C880" s="2" t="inlineStr">
        <is>
          <t>PROTAN-007</t>
        </is>
      </c>
      <c r="D880" s="5" t="n">
        <v>1</v>
      </c>
      <c r="E880" s="2" t="inlineStr">
        <is>
          <t>Adet</t>
        </is>
      </c>
      <c r="F880" s="3" t="n">
        <v>16929.62</v>
      </c>
      <c r="G880" s="4" t="n">
        <v>0.0198</v>
      </c>
      <c r="H880" s="3" t="n">
        <v>16594.41</v>
      </c>
      <c r="I880" s="3" t="n">
        <v>16594.41</v>
      </c>
      <c r="J880" s="3" t="n">
        <v>12517.98</v>
      </c>
      <c r="K880" s="3" t="n">
        <v>12517.98</v>
      </c>
      <c r="L880" s="3" t="n">
        <v>4076.43</v>
      </c>
      <c r="M880" s="4" t="n">
        <v>0.2457</v>
      </c>
    </row>
    <row r="881">
      <c r="A881" s="2" t="inlineStr">
        <is>
          <t>SKL-00880</t>
        </is>
      </c>
      <c r="B881" s="2" t="inlineStr">
        <is>
          <t>SIP-0234</t>
        </is>
      </c>
      <c r="C881" s="2" t="inlineStr">
        <is>
          <t>YAREND-011</t>
        </is>
      </c>
      <c r="D881" s="5" t="n">
        <v>12</v>
      </c>
      <c r="E881" s="2" t="inlineStr">
        <is>
          <t>Adet</t>
        </is>
      </c>
      <c r="F881" s="3" t="n">
        <v>1091.23</v>
      </c>
      <c r="G881" s="4" t="n">
        <v>0.1091</v>
      </c>
      <c r="H881" s="3" t="n">
        <v>972.1799999999999</v>
      </c>
      <c r="I881" s="3" t="n">
        <v>11666.16</v>
      </c>
      <c r="J881" s="3" t="n">
        <v>777.02</v>
      </c>
      <c r="K881" s="3" t="n">
        <v>9324.24</v>
      </c>
      <c r="L881" s="3" t="n">
        <v>2341.92</v>
      </c>
      <c r="M881" s="4" t="n">
        <v>0.2007</v>
      </c>
    </row>
    <row r="882">
      <c r="A882" s="2" t="inlineStr">
        <is>
          <t>SKL-00881</t>
        </is>
      </c>
      <c r="B882" s="2" t="inlineStr">
        <is>
          <t>SIP-0234</t>
        </is>
      </c>
      <c r="C882" s="2" t="inlineStr">
        <is>
          <t>ENDVAN-032</t>
        </is>
      </c>
      <c r="D882" s="5" t="n">
        <v>16</v>
      </c>
      <c r="E882" s="2" t="inlineStr">
        <is>
          <t>Adet</t>
        </is>
      </c>
      <c r="F882" s="3" t="n">
        <v>956.73</v>
      </c>
      <c r="G882" s="4" t="n">
        <v>0.1098</v>
      </c>
      <c r="H882" s="3" t="n">
        <v>851.6799999999999</v>
      </c>
      <c r="I882" s="3" t="n">
        <v>13626.88</v>
      </c>
      <c r="J882" s="3" t="n">
        <v>641.8099999999999</v>
      </c>
      <c r="K882" s="3" t="n">
        <v>10268.96</v>
      </c>
      <c r="L882" s="3" t="n">
        <v>3357.92</v>
      </c>
      <c r="M882" s="4" t="n">
        <v>0.2464</v>
      </c>
    </row>
    <row r="883">
      <c r="A883" s="2" t="inlineStr">
        <is>
          <t>SKL-00882</t>
        </is>
      </c>
      <c r="B883" s="2" t="inlineStr">
        <is>
          <t>SIP-0235</t>
        </is>
      </c>
      <c r="C883" s="2" t="inlineStr">
        <is>
          <t>FLAIZO-006</t>
        </is>
      </c>
      <c r="D883" s="5" t="n">
        <v>56</v>
      </c>
      <c r="E883" s="2" t="inlineStr">
        <is>
          <t>Set</t>
        </is>
      </c>
      <c r="F883" s="3" t="n">
        <v>57.81</v>
      </c>
      <c r="G883" s="4" t="n">
        <v>0.0394</v>
      </c>
      <c r="H883" s="3" t="n">
        <v>55.53</v>
      </c>
      <c r="I883" s="3" t="n">
        <v>3109.68</v>
      </c>
      <c r="J883" s="3" t="n">
        <v>41.17</v>
      </c>
      <c r="K883" s="3" t="n">
        <v>2305.52</v>
      </c>
      <c r="L883" s="3" t="n">
        <v>804.16</v>
      </c>
      <c r="M883" s="4" t="n">
        <v>0.2586</v>
      </c>
    </row>
    <row r="884">
      <c r="A884" s="2" t="inlineStr">
        <is>
          <t>SKL-00883</t>
        </is>
      </c>
      <c r="B884" s="2" t="inlineStr">
        <is>
          <t>SIP-0235</t>
        </is>
      </c>
      <c r="C884" s="2" t="inlineStr">
        <is>
          <t>PROTAN-010</t>
        </is>
      </c>
      <c r="D884" s="5" t="n">
        <v>2</v>
      </c>
      <c r="E884" s="2" t="inlineStr">
        <is>
          <t>Adet</t>
        </is>
      </c>
      <c r="F884" s="3" t="n">
        <v>10112.13</v>
      </c>
      <c r="G884" s="4" t="n">
        <v>0.1083</v>
      </c>
      <c r="H884" s="3" t="n">
        <v>9016.99</v>
      </c>
      <c r="I884" s="3" t="n">
        <v>18033.98</v>
      </c>
      <c r="J884" s="3" t="n">
        <v>8539.790000000001</v>
      </c>
      <c r="K884" s="3" t="n">
        <v>17079.58</v>
      </c>
      <c r="L884" s="3" t="n">
        <v>954.4</v>
      </c>
      <c r="M884" s="4" t="n">
        <v>0.0529</v>
      </c>
    </row>
    <row r="885">
      <c r="A885" s="2" t="inlineStr">
        <is>
          <t>SKL-00884</t>
        </is>
      </c>
      <c r="B885" s="2" t="inlineStr">
        <is>
          <t>SIP-0235</t>
        </is>
      </c>
      <c r="C885" s="2" t="inlineStr">
        <is>
          <t>YAREND-012</t>
        </is>
      </c>
      <c r="D885" s="5" t="n">
        <v>7</v>
      </c>
      <c r="E885" s="2" t="inlineStr">
        <is>
          <t>Adet</t>
        </is>
      </c>
      <c r="F885" s="3" t="n">
        <v>734.28</v>
      </c>
      <c r="G885" s="4" t="n">
        <v>0.0328</v>
      </c>
      <c r="H885" s="3" t="n">
        <v>710.2</v>
      </c>
      <c r="I885" s="3" t="n">
        <v>4971.4</v>
      </c>
      <c r="J885" s="3" t="n">
        <v>528.15</v>
      </c>
      <c r="K885" s="3" t="n">
        <v>3697.05</v>
      </c>
      <c r="L885" s="3" t="n">
        <v>1274.35</v>
      </c>
      <c r="M885" s="4" t="n">
        <v>0.2563</v>
      </c>
    </row>
    <row r="886">
      <c r="A886" s="2" t="inlineStr">
        <is>
          <t>SKL-00885</t>
        </is>
      </c>
      <c r="B886" s="2" t="inlineStr">
        <is>
          <t>SIP-0235</t>
        </is>
      </c>
      <c r="C886" s="2" t="inlineStr">
        <is>
          <t>YAREND-003</t>
        </is>
      </c>
      <c r="D886" s="5" t="n">
        <v>11</v>
      </c>
      <c r="E886" s="2" t="inlineStr">
        <is>
          <t>Adet</t>
        </is>
      </c>
      <c r="F886" s="3" t="n">
        <v>217.44</v>
      </c>
      <c r="G886" s="4" t="n">
        <v>0.0116</v>
      </c>
      <c r="H886" s="3" t="n">
        <v>214.92</v>
      </c>
      <c r="I886" s="3" t="n">
        <v>2364.12</v>
      </c>
      <c r="J886" s="3" t="n">
        <v>159.13</v>
      </c>
      <c r="K886" s="3" t="n">
        <v>1750.43</v>
      </c>
      <c r="L886" s="3" t="n">
        <v>613.6900000000001</v>
      </c>
      <c r="M886" s="4" t="n">
        <v>0.2596</v>
      </c>
    </row>
    <row r="887">
      <c r="A887" s="2" t="inlineStr">
        <is>
          <t>SKL-00886</t>
        </is>
      </c>
      <c r="B887" s="2" t="inlineStr">
        <is>
          <t>SIP-0235</t>
        </is>
      </c>
      <c r="C887" s="2" t="inlineStr">
        <is>
          <t>ENDVAN-005</t>
        </is>
      </c>
      <c r="D887" s="5" t="n">
        <v>4</v>
      </c>
      <c r="E887" s="2" t="inlineStr">
        <is>
          <t>Adet</t>
        </is>
      </c>
      <c r="F887" s="3" t="n">
        <v>861.72</v>
      </c>
      <c r="G887" s="4" t="n">
        <v>0.008</v>
      </c>
      <c r="H887" s="3" t="n">
        <v>854.83</v>
      </c>
      <c r="I887" s="3" t="n">
        <v>3419.32</v>
      </c>
      <c r="J887" s="3" t="n">
        <v>653.55</v>
      </c>
      <c r="K887" s="3" t="n">
        <v>2614.2</v>
      </c>
      <c r="L887" s="3" t="n">
        <v>805.12</v>
      </c>
      <c r="M887" s="4" t="n">
        <v>0.2355</v>
      </c>
    </row>
    <row r="888">
      <c r="A888" s="2" t="inlineStr">
        <is>
          <t>SKL-00887</t>
        </is>
      </c>
      <c r="B888" s="2" t="inlineStr">
        <is>
          <t>SIP-0235</t>
        </is>
      </c>
      <c r="C888" s="2" t="inlineStr">
        <is>
          <t>FLAIZO-008</t>
        </is>
      </c>
      <c r="D888" s="5" t="n">
        <v>68</v>
      </c>
      <c r="E888" s="2" t="inlineStr">
        <is>
          <t>Set</t>
        </is>
      </c>
      <c r="F888" s="3" t="n">
        <v>131.04</v>
      </c>
      <c r="G888" s="4" t="n">
        <v>0.0228</v>
      </c>
      <c r="H888" s="3" t="n">
        <v>128.05</v>
      </c>
      <c r="I888" s="3" t="n">
        <v>8707.4</v>
      </c>
      <c r="J888" s="3" t="n">
        <v>78.08</v>
      </c>
      <c r="K888" s="3" t="n">
        <v>5309.44</v>
      </c>
      <c r="L888" s="3" t="n">
        <v>3397.96</v>
      </c>
      <c r="M888" s="4" t="n">
        <v>0.3902</v>
      </c>
    </row>
    <row r="889">
      <c r="A889" s="2" t="inlineStr">
        <is>
          <t>SKL-00888</t>
        </is>
      </c>
      <c r="B889" s="2" t="inlineStr">
        <is>
          <t>SIP-0235</t>
        </is>
      </c>
      <c r="C889" s="2" t="inlineStr">
        <is>
          <t>ENDVAN-012</t>
        </is>
      </c>
      <c r="D889" s="5" t="n">
        <v>6</v>
      </c>
      <c r="E889" s="2" t="inlineStr">
        <is>
          <t>Adet</t>
        </is>
      </c>
      <c r="F889" s="3" t="n">
        <v>358.35</v>
      </c>
      <c r="G889" s="4" t="n">
        <v>0.0094</v>
      </c>
      <c r="H889" s="3" t="n">
        <v>354.98</v>
      </c>
      <c r="I889" s="3" t="n">
        <v>2129.88</v>
      </c>
      <c r="J889" s="3" t="n">
        <v>281.71</v>
      </c>
      <c r="K889" s="3" t="n">
        <v>1690.26</v>
      </c>
      <c r="L889" s="3" t="n">
        <v>439.62</v>
      </c>
      <c r="M889" s="4" t="n">
        <v>0.2064</v>
      </c>
    </row>
    <row r="890">
      <c r="A890" s="2" t="inlineStr">
        <is>
          <t>SKL-00889</t>
        </is>
      </c>
      <c r="B890" s="2" t="inlineStr">
        <is>
          <t>SIP-0236</t>
        </is>
      </c>
      <c r="C890" s="2" t="inlineStr">
        <is>
          <t>YAREND-003</t>
        </is>
      </c>
      <c r="D890" s="5" t="n">
        <v>13</v>
      </c>
      <c r="E890" s="2" t="inlineStr">
        <is>
          <t>Adet</t>
        </is>
      </c>
      <c r="F890" s="3" t="n">
        <v>234.43</v>
      </c>
      <c r="G890" s="4" t="n">
        <v>0.083</v>
      </c>
      <c r="H890" s="3" t="n">
        <v>214.97</v>
      </c>
      <c r="I890" s="3" t="n">
        <v>2794.61</v>
      </c>
      <c r="J890" s="3" t="n">
        <v>159.13</v>
      </c>
      <c r="K890" s="3" t="n">
        <v>2068.69</v>
      </c>
      <c r="L890" s="3" t="n">
        <v>725.92</v>
      </c>
      <c r="M890" s="4" t="n">
        <v>0.2598</v>
      </c>
    </row>
    <row r="891">
      <c r="A891" s="2" t="inlineStr">
        <is>
          <t>SKL-00890</t>
        </is>
      </c>
      <c r="B891" s="2" t="inlineStr">
        <is>
          <t>SIP-0236</t>
        </is>
      </c>
      <c r="C891" s="2" t="inlineStr">
        <is>
          <t>MEKSIZ-005</t>
        </is>
      </c>
      <c r="D891" s="5" t="n">
        <v>26</v>
      </c>
      <c r="E891" s="2" t="inlineStr">
        <is>
          <t>Adet</t>
        </is>
      </c>
      <c r="F891" s="3" t="n">
        <v>668.91</v>
      </c>
      <c r="G891" s="4" t="n">
        <v>0.0139</v>
      </c>
      <c r="H891" s="3" t="n">
        <v>659.61</v>
      </c>
      <c r="I891" s="3" t="n">
        <v>17149.86</v>
      </c>
      <c r="J891" s="3" t="n">
        <v>370.26</v>
      </c>
      <c r="K891" s="3" t="n">
        <v>9626.76</v>
      </c>
      <c r="L891" s="3" t="n">
        <v>7523.1</v>
      </c>
      <c r="M891" s="4" t="n">
        <v>0.4387</v>
      </c>
    </row>
    <row r="892">
      <c r="A892" s="2" t="inlineStr">
        <is>
          <t>SKL-00891</t>
        </is>
      </c>
      <c r="B892" s="2" t="inlineStr">
        <is>
          <t>SIP-0236</t>
        </is>
      </c>
      <c r="C892" s="2" t="inlineStr">
        <is>
          <t>ENDVAN-032</t>
        </is>
      </c>
      <c r="D892" s="5" t="n">
        <v>14</v>
      </c>
      <c r="E892" s="2" t="inlineStr">
        <is>
          <t>Adet</t>
        </is>
      </c>
      <c r="F892" s="3" t="n">
        <v>958.85</v>
      </c>
      <c r="G892" s="4" t="n">
        <v>0.0498</v>
      </c>
      <c r="H892" s="3" t="n">
        <v>911.1</v>
      </c>
      <c r="I892" s="3" t="n">
        <v>12755.4</v>
      </c>
      <c r="J892" s="3" t="n">
        <v>641.8099999999999</v>
      </c>
      <c r="K892" s="3" t="n">
        <v>8985.34</v>
      </c>
      <c r="L892" s="3" t="n">
        <v>3770.06</v>
      </c>
      <c r="M892" s="4" t="n">
        <v>0.2956</v>
      </c>
    </row>
    <row r="893">
      <c r="A893" s="2" t="inlineStr">
        <is>
          <t>SKL-00892</t>
        </is>
      </c>
      <c r="B893" s="2" t="inlineStr">
        <is>
          <t>SIP-0236</t>
        </is>
      </c>
      <c r="C893" s="2" t="inlineStr">
        <is>
          <t>ENDVAN-005</t>
        </is>
      </c>
      <c r="D893" s="5" t="n">
        <v>10</v>
      </c>
      <c r="E893" s="2" t="inlineStr">
        <is>
          <t>Adet</t>
        </is>
      </c>
      <c r="F893" s="3" t="n">
        <v>898.27</v>
      </c>
      <c r="G893" s="4" t="n">
        <v>0.1074</v>
      </c>
      <c r="H893" s="3" t="n">
        <v>801.8</v>
      </c>
      <c r="I893" s="3" t="n">
        <v>8018</v>
      </c>
      <c r="J893" s="3" t="n">
        <v>653.55</v>
      </c>
      <c r="K893" s="3" t="n">
        <v>6535.5</v>
      </c>
      <c r="L893" s="3" t="n">
        <v>1482.5</v>
      </c>
      <c r="M893" s="4" t="n">
        <v>0.1849</v>
      </c>
    </row>
    <row r="894">
      <c r="A894" s="2" t="inlineStr">
        <is>
          <t>SKL-00893</t>
        </is>
      </c>
      <c r="B894" s="2" t="inlineStr">
        <is>
          <t>SIP-0236</t>
        </is>
      </c>
      <c r="C894" s="2" t="inlineStr">
        <is>
          <t>ENDVAN-017</t>
        </is>
      </c>
      <c r="D894" s="5" t="n">
        <v>12</v>
      </c>
      <c r="E894" s="2" t="inlineStr">
        <is>
          <t>Adet</t>
        </is>
      </c>
      <c r="F894" s="3" t="n">
        <v>769.36</v>
      </c>
      <c r="G894" s="4" t="n">
        <v>0.052</v>
      </c>
      <c r="H894" s="3" t="n">
        <v>729.35</v>
      </c>
      <c r="I894" s="3" t="n">
        <v>8752.200000000001</v>
      </c>
      <c r="J894" s="3" t="n">
        <v>518.3099999999999</v>
      </c>
      <c r="K894" s="3" t="n">
        <v>6219.72</v>
      </c>
      <c r="L894" s="3" t="n">
        <v>2532.48</v>
      </c>
      <c r="M894" s="4" t="n">
        <v>0.2894</v>
      </c>
    </row>
    <row r="895">
      <c r="A895" s="2" t="inlineStr">
        <is>
          <t>SKL-00894</t>
        </is>
      </c>
      <c r="B895" s="2" t="inlineStr">
        <is>
          <t>SIP-0236</t>
        </is>
      </c>
      <c r="C895" s="2" t="inlineStr">
        <is>
          <t>ENDVAN-032</t>
        </is>
      </c>
      <c r="D895" s="5" t="n">
        <v>8</v>
      </c>
      <c r="E895" s="2" t="inlineStr">
        <is>
          <t>Adet</t>
        </is>
      </c>
      <c r="F895" s="3" t="n">
        <v>936.53</v>
      </c>
      <c r="G895" s="4" t="n">
        <v>0.019</v>
      </c>
      <c r="H895" s="3" t="n">
        <v>918.74</v>
      </c>
      <c r="I895" s="3" t="n">
        <v>7349.92</v>
      </c>
      <c r="J895" s="3" t="n">
        <v>641.8099999999999</v>
      </c>
      <c r="K895" s="3" t="n">
        <v>5134.48</v>
      </c>
      <c r="L895" s="3" t="n">
        <v>2215.44</v>
      </c>
      <c r="M895" s="4" t="n">
        <v>0.3014</v>
      </c>
    </row>
    <row r="896">
      <c r="A896" s="2" t="inlineStr">
        <is>
          <t>SKL-00895</t>
        </is>
      </c>
      <c r="B896" s="2" t="inlineStr">
        <is>
          <t>SIP-0237</t>
        </is>
      </c>
      <c r="C896" s="2" t="inlineStr">
        <is>
          <t>ENDVAN-028</t>
        </is>
      </c>
      <c r="D896" s="5" t="n">
        <v>6</v>
      </c>
      <c r="E896" s="2" t="inlineStr">
        <is>
          <t>Adet</t>
        </is>
      </c>
      <c r="F896" s="3" t="n">
        <v>1151.82</v>
      </c>
      <c r="G896" s="4" t="n">
        <v>0.0482</v>
      </c>
      <c r="H896" s="3" t="n">
        <v>1096.3</v>
      </c>
      <c r="I896" s="3" t="n">
        <v>6577.8</v>
      </c>
      <c r="J896" s="3" t="n">
        <v>812.05</v>
      </c>
      <c r="K896" s="3" t="n">
        <v>4872.3</v>
      </c>
      <c r="L896" s="3" t="n">
        <v>1705.5</v>
      </c>
      <c r="M896" s="4" t="n">
        <v>0.2593</v>
      </c>
    </row>
    <row r="897">
      <c r="A897" s="2" t="inlineStr">
        <is>
          <t>SKL-00896</t>
        </is>
      </c>
      <c r="B897" s="2" t="inlineStr">
        <is>
          <t>SIP-0237</t>
        </is>
      </c>
      <c r="C897" s="2" t="inlineStr">
        <is>
          <t>KAR/-002</t>
        </is>
      </c>
      <c r="D897" s="5" t="n">
        <v>1</v>
      </c>
      <c r="E897" s="2" t="inlineStr">
        <is>
          <t>Adet</t>
        </is>
      </c>
      <c r="F897" s="3" t="n">
        <v>11235.13</v>
      </c>
      <c r="G897" s="4" t="n">
        <v>0.08110000000000001</v>
      </c>
      <c r="H897" s="3" t="n">
        <v>10323.96</v>
      </c>
      <c r="I897" s="3" t="n">
        <v>10323.96</v>
      </c>
      <c r="J897" s="3" t="n">
        <v>9102.83</v>
      </c>
      <c r="K897" s="3" t="n">
        <v>9102.83</v>
      </c>
      <c r="L897" s="3" t="n">
        <v>1221.13</v>
      </c>
      <c r="M897" s="4" t="n">
        <v>0.1183</v>
      </c>
    </row>
    <row r="898">
      <c r="A898" s="2" t="inlineStr">
        <is>
          <t>SKL-00897</t>
        </is>
      </c>
      <c r="B898" s="2" t="inlineStr">
        <is>
          <t>SIP-0237</t>
        </is>
      </c>
      <c r="C898" s="2" t="inlineStr">
        <is>
          <t>PROTAN-006</t>
        </is>
      </c>
      <c r="D898" s="5" t="n">
        <v>2</v>
      </c>
      <c r="E898" s="2" t="inlineStr">
        <is>
          <t>Adet</t>
        </is>
      </c>
      <c r="F898" s="3" t="n">
        <v>13699.31</v>
      </c>
      <c r="G898" s="4" t="n">
        <v>0.0476</v>
      </c>
      <c r="H898" s="3" t="n">
        <v>13047.22</v>
      </c>
      <c r="I898" s="3" t="n">
        <v>26094.44</v>
      </c>
      <c r="J898" s="3" t="n">
        <v>9915.59</v>
      </c>
      <c r="K898" s="3" t="n">
        <v>19831.18</v>
      </c>
      <c r="L898" s="3" t="n">
        <v>6263.26</v>
      </c>
      <c r="M898" s="4" t="n">
        <v>0.24</v>
      </c>
    </row>
    <row r="899">
      <c r="A899" s="2" t="inlineStr">
        <is>
          <t>SKL-00898</t>
        </is>
      </c>
      <c r="B899" s="2" t="inlineStr">
        <is>
          <t>SIP-0237</t>
        </is>
      </c>
      <c r="C899" s="2" t="inlineStr">
        <is>
          <t>ENDVAN-002</t>
        </is>
      </c>
      <c r="D899" s="5" t="n">
        <v>25</v>
      </c>
      <c r="E899" s="2" t="inlineStr">
        <is>
          <t>Adet</t>
        </is>
      </c>
      <c r="F899" s="3" t="n">
        <v>253.32</v>
      </c>
      <c r="G899" s="4" t="n">
        <v>0.06850000000000001</v>
      </c>
      <c r="H899" s="3" t="n">
        <v>235.97</v>
      </c>
      <c r="I899" s="3" t="n">
        <v>5899.25</v>
      </c>
      <c r="J899" s="3" t="n">
        <v>186.74</v>
      </c>
      <c r="K899" s="3" t="n">
        <v>4668.5</v>
      </c>
      <c r="L899" s="3" t="n">
        <v>1230.75</v>
      </c>
      <c r="M899" s="4" t="n">
        <v>0.2086</v>
      </c>
    </row>
    <row r="900">
      <c r="A900" s="2" t="inlineStr">
        <is>
          <t>SKL-00899</t>
        </is>
      </c>
      <c r="B900" s="2" t="inlineStr">
        <is>
          <t>SIP-0237</t>
        </is>
      </c>
      <c r="C900" s="2" t="inlineStr">
        <is>
          <t>ENDVAN-020</t>
        </is>
      </c>
      <c r="D900" s="5" t="n">
        <v>9</v>
      </c>
      <c r="E900" s="2" t="inlineStr">
        <is>
          <t>Adet</t>
        </is>
      </c>
      <c r="F900" s="3" t="n">
        <v>652.08</v>
      </c>
      <c r="G900" s="4" t="n">
        <v>0.07870000000000001</v>
      </c>
      <c r="H900" s="3" t="n">
        <v>600.76</v>
      </c>
      <c r="I900" s="3" t="n">
        <v>5406.84</v>
      </c>
      <c r="J900" s="3" t="n">
        <v>433.62</v>
      </c>
      <c r="K900" s="3" t="n">
        <v>3902.58</v>
      </c>
      <c r="L900" s="3" t="n">
        <v>1504.26</v>
      </c>
      <c r="M900" s="4" t="n">
        <v>0.2782</v>
      </c>
    </row>
    <row r="901">
      <c r="A901" s="2" t="inlineStr">
        <is>
          <t>SKL-00900</t>
        </is>
      </c>
      <c r="B901" s="2" t="inlineStr">
        <is>
          <t>SIP-0238</t>
        </is>
      </c>
      <c r="C901" s="2" t="inlineStr">
        <is>
          <t>YAREND-013</t>
        </is>
      </c>
      <c r="D901" s="5" t="n">
        <v>4</v>
      </c>
      <c r="E901" s="2" t="inlineStr">
        <is>
          <t>Adet</t>
        </is>
      </c>
      <c r="F901" s="3" t="n">
        <v>565.5599999999999</v>
      </c>
      <c r="G901" s="4" t="n">
        <v>0.0005999999999999999</v>
      </c>
      <c r="H901" s="3" t="n">
        <v>565.22</v>
      </c>
      <c r="I901" s="3" t="n">
        <v>2260.88</v>
      </c>
      <c r="J901" s="3" t="n">
        <v>387.77</v>
      </c>
      <c r="K901" s="3" t="n">
        <v>1551.08</v>
      </c>
      <c r="L901" s="3" t="n">
        <v>709.8</v>
      </c>
      <c r="M901" s="4" t="n">
        <v>0.3139</v>
      </c>
    </row>
    <row r="902">
      <c r="A902" s="2" t="inlineStr">
        <is>
          <t>SKL-00901</t>
        </is>
      </c>
      <c r="B902" s="2" t="inlineStr">
        <is>
          <t>SIP-0238</t>
        </is>
      </c>
      <c r="C902" s="2" t="inlineStr">
        <is>
          <t>YAREND-003</t>
        </is>
      </c>
      <c r="D902" s="5" t="n">
        <v>5</v>
      </c>
      <c r="E902" s="2" t="inlineStr">
        <is>
          <t>Adet</t>
        </is>
      </c>
      <c r="F902" s="3" t="n">
        <v>224.28</v>
      </c>
      <c r="G902" s="4" t="n">
        <v>0.0305</v>
      </c>
      <c r="H902" s="3" t="n">
        <v>217.44</v>
      </c>
      <c r="I902" s="3" t="n">
        <v>1087.2</v>
      </c>
      <c r="J902" s="3" t="n">
        <v>159.13</v>
      </c>
      <c r="K902" s="3" t="n">
        <v>795.65</v>
      </c>
      <c r="L902" s="3" t="n">
        <v>291.55</v>
      </c>
      <c r="M902" s="4" t="n">
        <v>0.2682</v>
      </c>
    </row>
    <row r="903">
      <c r="A903" s="2" t="inlineStr">
        <is>
          <t>SKL-00902</t>
        </is>
      </c>
      <c r="B903" s="2" t="inlineStr">
        <is>
          <t>SIP-0238</t>
        </is>
      </c>
      <c r="C903" s="2" t="inlineStr">
        <is>
          <t>MEKSIZ-008</t>
        </is>
      </c>
      <c r="D903" s="5" t="n">
        <v>7</v>
      </c>
      <c r="E903" s="2" t="inlineStr">
        <is>
          <t>Adet</t>
        </is>
      </c>
      <c r="F903" s="3" t="n">
        <v>730</v>
      </c>
      <c r="G903" s="4" t="n">
        <v>0.09959999999999999</v>
      </c>
      <c r="H903" s="3" t="n">
        <v>657.29</v>
      </c>
      <c r="I903" s="3" t="n">
        <v>4601.03</v>
      </c>
      <c r="J903" s="3" t="n">
        <v>457.74</v>
      </c>
      <c r="K903" s="3" t="n">
        <v>3204.18</v>
      </c>
      <c r="L903" s="3" t="n">
        <v>1396.85</v>
      </c>
      <c r="M903" s="4" t="n">
        <v>0.3036</v>
      </c>
    </row>
    <row r="904">
      <c r="A904" s="2" t="inlineStr">
        <is>
          <t>SKL-00903</t>
        </is>
      </c>
      <c r="B904" s="2" t="inlineStr">
        <is>
          <t>SIP-0239</t>
        </is>
      </c>
      <c r="C904" s="2" t="inlineStr">
        <is>
          <t>ENDVAN-004</t>
        </is>
      </c>
      <c r="D904" s="5" t="n">
        <v>14</v>
      </c>
      <c r="E904" s="2" t="inlineStr">
        <is>
          <t>Adet</t>
        </is>
      </c>
      <c r="F904" s="3" t="n">
        <v>305.06</v>
      </c>
      <c r="G904" s="4" t="n">
        <v>0.1001</v>
      </c>
      <c r="H904" s="3" t="n">
        <v>274.52</v>
      </c>
      <c r="I904" s="3" t="n">
        <v>3843.28</v>
      </c>
      <c r="J904" s="3" t="n">
        <v>212.53</v>
      </c>
      <c r="K904" s="3" t="n">
        <v>2975.42</v>
      </c>
      <c r="L904" s="3" t="n">
        <v>867.86</v>
      </c>
      <c r="M904" s="4" t="n">
        <v>0.2258</v>
      </c>
    </row>
    <row r="905">
      <c r="A905" s="2" t="inlineStr">
        <is>
          <t>SKL-00904</t>
        </is>
      </c>
      <c r="B905" s="2" t="inlineStr">
        <is>
          <t>SIP-0239</t>
        </is>
      </c>
      <c r="C905" s="2" t="inlineStr">
        <is>
          <t>ENDVAN-032</t>
        </is>
      </c>
      <c r="D905" s="5" t="n">
        <v>16</v>
      </c>
      <c r="E905" s="2" t="inlineStr">
        <is>
          <t>Adet</t>
        </is>
      </c>
      <c r="F905" s="3" t="n">
        <v>1043.66</v>
      </c>
      <c r="G905" s="4" t="n">
        <v>0.0578</v>
      </c>
      <c r="H905" s="3" t="n">
        <v>983.34</v>
      </c>
      <c r="I905" s="3" t="n">
        <v>15733.44</v>
      </c>
      <c r="J905" s="3" t="n">
        <v>641.8099999999999</v>
      </c>
      <c r="K905" s="3" t="n">
        <v>10268.96</v>
      </c>
      <c r="L905" s="3" t="n">
        <v>5464.48</v>
      </c>
      <c r="M905" s="4" t="n">
        <v>0.3473</v>
      </c>
    </row>
    <row r="906">
      <c r="A906" s="2" t="inlineStr">
        <is>
          <t>SKL-00905</t>
        </is>
      </c>
      <c r="B906" s="2" t="inlineStr">
        <is>
          <t>SIP-0239</t>
        </is>
      </c>
      <c r="C906" s="2" t="inlineStr">
        <is>
          <t>ENDVAN-010</t>
        </is>
      </c>
      <c r="D906" s="5" t="n">
        <v>3</v>
      </c>
      <c r="E906" s="2" t="inlineStr">
        <is>
          <t>Adet</t>
        </is>
      </c>
      <c r="F906" s="3" t="n">
        <v>1209.71</v>
      </c>
      <c r="G906" s="4" t="n">
        <v>0.0959</v>
      </c>
      <c r="H906" s="3" t="n">
        <v>1093.7</v>
      </c>
      <c r="I906" s="3" t="n">
        <v>3281.1</v>
      </c>
      <c r="J906" s="3" t="n">
        <v>891.17</v>
      </c>
      <c r="K906" s="3" t="n">
        <v>2673.51</v>
      </c>
      <c r="L906" s="3" t="n">
        <v>607.59</v>
      </c>
      <c r="M906" s="4" t="n">
        <v>0.1852</v>
      </c>
    </row>
    <row r="907">
      <c r="A907" s="2" t="inlineStr">
        <is>
          <t>SKL-00906</t>
        </is>
      </c>
      <c r="B907" s="2" t="inlineStr">
        <is>
          <t>SIP-0240</t>
        </is>
      </c>
      <c r="C907" s="2" t="inlineStr">
        <is>
          <t>ENDVAN-014</t>
        </is>
      </c>
      <c r="D907" s="5" t="n">
        <v>11</v>
      </c>
      <c r="E907" s="2" t="inlineStr">
        <is>
          <t>Adet</t>
        </is>
      </c>
      <c r="F907" s="3" t="n">
        <v>1500.92</v>
      </c>
      <c r="G907" s="4" t="n">
        <v>0.1064</v>
      </c>
      <c r="H907" s="3" t="n">
        <v>1341.22</v>
      </c>
      <c r="I907" s="3" t="n">
        <v>14753.42</v>
      </c>
      <c r="J907" s="3" t="n">
        <v>1025.06</v>
      </c>
      <c r="K907" s="3" t="n">
        <v>11275.66</v>
      </c>
      <c r="L907" s="3" t="n">
        <v>3477.76</v>
      </c>
      <c r="M907" s="4" t="n">
        <v>0.2357</v>
      </c>
    </row>
    <row r="908">
      <c r="A908" s="2" t="inlineStr">
        <is>
          <t>SKL-00907</t>
        </is>
      </c>
      <c r="B908" s="2" t="inlineStr">
        <is>
          <t>SIP-0240</t>
        </is>
      </c>
      <c r="C908" s="2" t="inlineStr">
        <is>
          <t>MEKSIZ-005</t>
        </is>
      </c>
      <c r="D908" s="5" t="n">
        <v>16</v>
      </c>
      <c r="E908" s="2" t="inlineStr">
        <is>
          <t>Adet</t>
        </is>
      </c>
      <c r="F908" s="3" t="n">
        <v>625.8099999999999</v>
      </c>
      <c r="G908" s="4" t="n">
        <v>0.064</v>
      </c>
      <c r="H908" s="3" t="n">
        <v>585.76</v>
      </c>
      <c r="I908" s="3" t="n">
        <v>9372.16</v>
      </c>
      <c r="J908" s="3" t="n">
        <v>370.26</v>
      </c>
      <c r="K908" s="3" t="n">
        <v>5924.16</v>
      </c>
      <c r="L908" s="3" t="n">
        <v>3448</v>
      </c>
      <c r="M908" s="4" t="n">
        <v>0.3679</v>
      </c>
    </row>
    <row r="909">
      <c r="A909" s="2" t="inlineStr">
        <is>
          <t>SKL-00908</t>
        </is>
      </c>
      <c r="B909" s="2" t="inlineStr">
        <is>
          <t>SIP-0240</t>
        </is>
      </c>
      <c r="C909" s="2" t="inlineStr">
        <is>
          <t>ENDVAN-029</t>
        </is>
      </c>
      <c r="D909" s="5" t="n">
        <v>13</v>
      </c>
      <c r="E909" s="2" t="inlineStr">
        <is>
          <t>Adet</t>
        </is>
      </c>
      <c r="F909" s="3" t="n">
        <v>521.55</v>
      </c>
      <c r="G909" s="4" t="n">
        <v>0.0561</v>
      </c>
      <c r="H909" s="3" t="n">
        <v>492.29</v>
      </c>
      <c r="I909" s="3" t="n">
        <v>6399.77</v>
      </c>
      <c r="J909" s="3" t="n">
        <v>318.96</v>
      </c>
      <c r="K909" s="3" t="n">
        <v>4146.48</v>
      </c>
      <c r="L909" s="3" t="n">
        <v>2253.29</v>
      </c>
      <c r="M909" s="4" t="n">
        <v>0.3521</v>
      </c>
    </row>
    <row r="910">
      <c r="A910" s="2" t="inlineStr">
        <is>
          <t>SKL-00909</t>
        </is>
      </c>
      <c r="B910" s="2" t="inlineStr">
        <is>
          <t>SIP-0240</t>
        </is>
      </c>
      <c r="C910" s="2" t="inlineStr">
        <is>
          <t>ENDVAN-010</t>
        </is>
      </c>
      <c r="D910" s="5" t="n">
        <v>10</v>
      </c>
      <c r="E910" s="2" t="inlineStr">
        <is>
          <t>Adet</t>
        </is>
      </c>
      <c r="F910" s="3" t="n">
        <v>1246.78</v>
      </c>
      <c r="G910" s="4" t="n">
        <v>0.0253</v>
      </c>
      <c r="H910" s="3" t="n">
        <v>1215.24</v>
      </c>
      <c r="I910" s="3" t="n">
        <v>12152.4</v>
      </c>
      <c r="J910" s="3" t="n">
        <v>891.17</v>
      </c>
      <c r="K910" s="3" t="n">
        <v>8911.700000000001</v>
      </c>
      <c r="L910" s="3" t="n">
        <v>3240.7</v>
      </c>
      <c r="M910" s="4" t="n">
        <v>0.2667</v>
      </c>
    </row>
    <row r="911">
      <c r="A911" s="2" t="inlineStr">
        <is>
          <t>SKL-00910</t>
        </is>
      </c>
      <c r="B911" s="2" t="inlineStr">
        <is>
          <t>SIP-0240</t>
        </is>
      </c>
      <c r="C911" s="2" t="inlineStr">
        <is>
          <t>ENDVAN-016</t>
        </is>
      </c>
      <c r="D911" s="5" t="n">
        <v>19</v>
      </c>
      <c r="E911" s="2" t="inlineStr">
        <is>
          <t>Adet</t>
        </is>
      </c>
      <c r="F911" s="3" t="n">
        <v>842.98</v>
      </c>
      <c r="G911" s="4" t="n">
        <v>0.05</v>
      </c>
      <c r="H911" s="3" t="n">
        <v>800.83</v>
      </c>
      <c r="I911" s="3" t="n">
        <v>15215.77</v>
      </c>
      <c r="J911" s="3" t="n">
        <v>674.97</v>
      </c>
      <c r="K911" s="3" t="n">
        <v>12824.43</v>
      </c>
      <c r="L911" s="3" t="n">
        <v>2391.34</v>
      </c>
      <c r="M911" s="4" t="n">
        <v>0.1572</v>
      </c>
    </row>
    <row r="912">
      <c r="A912" s="2" t="inlineStr">
        <is>
          <t>SKL-00911</t>
        </is>
      </c>
      <c r="B912" s="2" t="inlineStr">
        <is>
          <t>SIP-0240</t>
        </is>
      </c>
      <c r="C912" s="2" t="inlineStr">
        <is>
          <t>MEKSIZ-004</t>
        </is>
      </c>
      <c r="D912" s="5" t="n">
        <v>15</v>
      </c>
      <c r="E912" s="2" t="inlineStr">
        <is>
          <t>Adet</t>
        </is>
      </c>
      <c r="F912" s="3" t="n">
        <v>244.91</v>
      </c>
      <c r="G912" s="4" t="n">
        <v>0.1059</v>
      </c>
      <c r="H912" s="3" t="n">
        <v>218.97</v>
      </c>
      <c r="I912" s="3" t="n">
        <v>3284.55</v>
      </c>
      <c r="J912" s="3" t="n">
        <v>164.52</v>
      </c>
      <c r="K912" s="3" t="n">
        <v>2467.8</v>
      </c>
      <c r="L912" s="3" t="n">
        <v>816.75</v>
      </c>
      <c r="M912" s="4" t="n">
        <v>0.2487</v>
      </c>
    </row>
    <row r="913">
      <c r="A913" s="2" t="inlineStr">
        <is>
          <t>SKL-00912</t>
        </is>
      </c>
      <c r="B913" s="2" t="inlineStr">
        <is>
          <t>SIP-0240</t>
        </is>
      </c>
      <c r="C913" s="2" t="inlineStr">
        <is>
          <t>MEKSIZ-007</t>
        </is>
      </c>
      <c r="D913" s="5" t="n">
        <v>9</v>
      </c>
      <c r="E913" s="2" t="inlineStr">
        <is>
          <t>Adet</t>
        </is>
      </c>
      <c r="F913" s="3" t="n">
        <v>487.28</v>
      </c>
      <c r="G913" s="4" t="n">
        <v>0.07049999999999999</v>
      </c>
      <c r="H913" s="3" t="n">
        <v>452.93</v>
      </c>
      <c r="I913" s="3" t="n">
        <v>4076.37</v>
      </c>
      <c r="J913" s="3" t="n">
        <v>301.85</v>
      </c>
      <c r="K913" s="3" t="n">
        <v>2716.65</v>
      </c>
      <c r="L913" s="3" t="n">
        <v>1359.72</v>
      </c>
      <c r="M913" s="4" t="n">
        <v>0.3336</v>
      </c>
    </row>
    <row r="914">
      <c r="A914" s="2" t="inlineStr">
        <is>
          <t>SKL-00913</t>
        </is>
      </c>
      <c r="B914" s="2" t="inlineStr">
        <is>
          <t>SIP-0240</t>
        </is>
      </c>
      <c r="C914" s="2" t="inlineStr">
        <is>
          <t>MEKSIZ-013</t>
        </is>
      </c>
      <c r="D914" s="5" t="n">
        <v>17</v>
      </c>
      <c r="E914" s="2" t="inlineStr">
        <is>
          <t>Adet</t>
        </is>
      </c>
      <c r="F914" s="3" t="n">
        <v>73.73</v>
      </c>
      <c r="G914" s="4" t="n">
        <v>0.0011</v>
      </c>
      <c r="H914" s="3" t="n">
        <v>73.65000000000001</v>
      </c>
      <c r="I914" s="3" t="n">
        <v>1252.05</v>
      </c>
      <c r="J914" s="3" t="n">
        <v>45.62</v>
      </c>
      <c r="K914" s="3" t="n">
        <v>775.54</v>
      </c>
      <c r="L914" s="3" t="n">
        <v>476.51</v>
      </c>
      <c r="M914" s="4" t="n">
        <v>0.3806</v>
      </c>
    </row>
    <row r="915">
      <c r="A915" s="2" t="inlineStr">
        <is>
          <t>SKL-00914</t>
        </is>
      </c>
      <c r="B915" s="2" t="inlineStr">
        <is>
          <t>SIP-0241</t>
        </is>
      </c>
      <c r="C915" s="2" t="inlineStr">
        <is>
          <t>MEKSIZ-004</t>
        </is>
      </c>
      <c r="D915" s="5" t="n">
        <v>10</v>
      </c>
      <c r="E915" s="2" t="inlineStr">
        <is>
          <t>Adet</t>
        </is>
      </c>
      <c r="F915" s="3" t="n">
        <v>268.09</v>
      </c>
      <c r="G915" s="4" t="n">
        <v>0.0755</v>
      </c>
      <c r="H915" s="3" t="n">
        <v>247.85</v>
      </c>
      <c r="I915" s="3" t="n">
        <v>2478.5</v>
      </c>
      <c r="J915" s="3" t="n">
        <v>164.52</v>
      </c>
      <c r="K915" s="3" t="n">
        <v>1645.2</v>
      </c>
      <c r="L915" s="3" t="n">
        <v>833.3</v>
      </c>
      <c r="M915" s="4" t="n">
        <v>0.3362</v>
      </c>
    </row>
    <row r="916">
      <c r="A916" s="2" t="inlineStr">
        <is>
          <t>SKL-00915</t>
        </is>
      </c>
      <c r="B916" s="2" t="inlineStr">
        <is>
          <t>SIP-0241</t>
        </is>
      </c>
      <c r="C916" s="2" t="inlineStr">
        <is>
          <t>ENDVAN-020</t>
        </is>
      </c>
      <c r="D916" s="5" t="n">
        <v>5</v>
      </c>
      <c r="E916" s="2" t="inlineStr">
        <is>
          <t>Adet</t>
        </is>
      </c>
      <c r="F916" s="3" t="n">
        <v>589.25</v>
      </c>
      <c r="G916" s="4" t="n">
        <v>0.0737</v>
      </c>
      <c r="H916" s="3" t="n">
        <v>545.8200000000001</v>
      </c>
      <c r="I916" s="3" t="n">
        <v>2729.1</v>
      </c>
      <c r="J916" s="3" t="n">
        <v>433.62</v>
      </c>
      <c r="K916" s="3" t="n">
        <v>2168.1</v>
      </c>
      <c r="L916" s="3" t="n">
        <v>561</v>
      </c>
      <c r="M916" s="4" t="n">
        <v>0.2056</v>
      </c>
    </row>
    <row r="917">
      <c r="A917" s="2" t="inlineStr">
        <is>
          <t>SKL-00916</t>
        </is>
      </c>
      <c r="B917" s="2" t="inlineStr">
        <is>
          <t>SIP-0242</t>
        </is>
      </c>
      <c r="C917" s="2" t="inlineStr">
        <is>
          <t>KAR/-005</t>
        </is>
      </c>
      <c r="D917" s="5" t="n">
        <v>1</v>
      </c>
      <c r="E917" s="2" t="inlineStr">
        <is>
          <t>Adet</t>
        </is>
      </c>
      <c r="F917" s="3" t="n">
        <v>4712.4</v>
      </c>
      <c r="G917" s="4" t="n">
        <v>0.0608</v>
      </c>
      <c r="H917" s="3" t="n">
        <v>4425.89</v>
      </c>
      <c r="I917" s="3" t="n">
        <v>4425.89</v>
      </c>
      <c r="J917" s="3" t="n">
        <v>3490.84</v>
      </c>
      <c r="K917" s="3" t="n">
        <v>3490.84</v>
      </c>
      <c r="L917" s="3" t="n">
        <v>935.05</v>
      </c>
      <c r="M917" s="4" t="n">
        <v>0.2113</v>
      </c>
    </row>
    <row r="918">
      <c r="A918" s="2" t="inlineStr">
        <is>
          <t>SKL-00917</t>
        </is>
      </c>
      <c r="B918" s="2" t="inlineStr">
        <is>
          <t>SIP-0242</t>
        </is>
      </c>
      <c r="C918" s="2" t="inlineStr">
        <is>
          <t>FLAIZO-011</t>
        </is>
      </c>
      <c r="D918" s="5" t="n">
        <v>49</v>
      </c>
      <c r="E918" s="2" t="inlineStr">
        <is>
          <t>Set</t>
        </is>
      </c>
      <c r="F918" s="3" t="n">
        <v>165.45</v>
      </c>
      <c r="G918" s="4" t="n">
        <v>0.0624</v>
      </c>
      <c r="H918" s="3" t="n">
        <v>155.13</v>
      </c>
      <c r="I918" s="3" t="n">
        <v>7601.37</v>
      </c>
      <c r="J918" s="3" t="n">
        <v>86.27</v>
      </c>
      <c r="K918" s="3" t="n">
        <v>4227.23</v>
      </c>
      <c r="L918" s="3" t="n">
        <v>3374.14</v>
      </c>
      <c r="M918" s="4" t="n">
        <v>0.4439</v>
      </c>
    </row>
    <row r="919">
      <c r="A919" s="2" t="inlineStr">
        <is>
          <t>SKL-00918</t>
        </is>
      </c>
      <c r="B919" s="2" t="inlineStr">
        <is>
          <t>SIP-0242</t>
        </is>
      </c>
      <c r="C919" s="2" t="inlineStr">
        <is>
          <t>ENDVAN-020</t>
        </is>
      </c>
      <c r="D919" s="5" t="n">
        <v>10</v>
      </c>
      <c r="E919" s="2" t="inlineStr">
        <is>
          <t>Adet</t>
        </is>
      </c>
      <c r="F919" s="3" t="n">
        <v>578.39</v>
      </c>
      <c r="G919" s="4" t="n">
        <v>0.07770000000000001</v>
      </c>
      <c r="H919" s="3" t="n">
        <v>533.45</v>
      </c>
      <c r="I919" s="3" t="n">
        <v>5334.5</v>
      </c>
      <c r="J919" s="3" t="n">
        <v>433.62</v>
      </c>
      <c r="K919" s="3" t="n">
        <v>4336.2</v>
      </c>
      <c r="L919" s="3" t="n">
        <v>998.3</v>
      </c>
      <c r="M919" s="4" t="n">
        <v>0.1871</v>
      </c>
    </row>
    <row r="920">
      <c r="A920" s="2" t="inlineStr">
        <is>
          <t>SKL-00919</t>
        </is>
      </c>
      <c r="B920" s="2" t="inlineStr">
        <is>
          <t>SIP-0242</t>
        </is>
      </c>
      <c r="C920" s="2" t="inlineStr">
        <is>
          <t>MEKSIZ-007</t>
        </is>
      </c>
      <c r="D920" s="5" t="n">
        <v>14</v>
      </c>
      <c r="E920" s="2" t="inlineStr">
        <is>
          <t>Adet</t>
        </is>
      </c>
      <c r="F920" s="3" t="n">
        <v>482.35</v>
      </c>
      <c r="G920" s="4" t="n">
        <v>0.0737</v>
      </c>
      <c r="H920" s="3" t="n">
        <v>446.8</v>
      </c>
      <c r="I920" s="3" t="n">
        <v>6255.2</v>
      </c>
      <c r="J920" s="3" t="n">
        <v>301.85</v>
      </c>
      <c r="K920" s="3" t="n">
        <v>4225.9</v>
      </c>
      <c r="L920" s="3" t="n">
        <v>2029.3</v>
      </c>
      <c r="M920" s="4" t="n">
        <v>0.3244</v>
      </c>
    </row>
    <row r="921">
      <c r="A921" s="2" t="inlineStr">
        <is>
          <t>SKL-00920</t>
        </is>
      </c>
      <c r="B921" s="2" t="inlineStr">
        <is>
          <t>SIP-0242</t>
        </is>
      </c>
      <c r="C921" s="2" t="inlineStr">
        <is>
          <t>MEKSIZ-012</t>
        </is>
      </c>
      <c r="D921" s="5" t="n">
        <v>23</v>
      </c>
      <c r="E921" s="2" t="inlineStr">
        <is>
          <t>Adet</t>
        </is>
      </c>
      <c r="F921" s="3" t="n">
        <v>495.9</v>
      </c>
      <c r="G921" s="4" t="n">
        <v>0.0526</v>
      </c>
      <c r="H921" s="3" t="n">
        <v>469.82</v>
      </c>
      <c r="I921" s="3" t="n">
        <v>10805.86</v>
      </c>
      <c r="J921" s="3" t="n">
        <v>282.12</v>
      </c>
      <c r="K921" s="3" t="n">
        <v>6488.76</v>
      </c>
      <c r="L921" s="3" t="n">
        <v>4317.1</v>
      </c>
      <c r="M921" s="4" t="n">
        <v>0.3995</v>
      </c>
    </row>
    <row r="922">
      <c r="A922" s="2" t="inlineStr">
        <is>
          <t>SKL-00921</t>
        </is>
      </c>
      <c r="B922" s="2" t="inlineStr">
        <is>
          <t>SIP-0243</t>
        </is>
      </c>
      <c r="C922" s="2" t="inlineStr">
        <is>
          <t>MEKSIZ-007</t>
        </is>
      </c>
      <c r="D922" s="5" t="n">
        <v>12</v>
      </c>
      <c r="E922" s="2" t="inlineStr">
        <is>
          <t>Adet</t>
        </is>
      </c>
      <c r="F922" s="3" t="n">
        <v>443.4</v>
      </c>
      <c r="G922" s="4" t="n">
        <v>0.0324</v>
      </c>
      <c r="H922" s="3" t="n">
        <v>429.03</v>
      </c>
      <c r="I922" s="3" t="n">
        <v>5148.36</v>
      </c>
      <c r="J922" s="3" t="n">
        <v>301.85</v>
      </c>
      <c r="K922" s="3" t="n">
        <v>3622.2</v>
      </c>
      <c r="L922" s="3" t="n">
        <v>1526.16</v>
      </c>
      <c r="M922" s="4" t="n">
        <v>0.2964</v>
      </c>
    </row>
    <row r="923">
      <c r="A923" s="2" t="inlineStr">
        <is>
          <t>SKL-00922</t>
        </is>
      </c>
      <c r="B923" s="2" t="inlineStr">
        <is>
          <t>SIP-0243</t>
        </is>
      </c>
      <c r="C923" s="2" t="inlineStr">
        <is>
          <t>ENDVAN-014</t>
        </is>
      </c>
      <c r="D923" s="5" t="n">
        <v>21</v>
      </c>
      <c r="E923" s="2" t="inlineStr">
        <is>
          <t>Adet</t>
        </is>
      </c>
      <c r="F923" s="3" t="n">
        <v>1559.91</v>
      </c>
      <c r="G923" s="4" t="n">
        <v>0.0369</v>
      </c>
      <c r="H923" s="3" t="n">
        <v>1502.35</v>
      </c>
      <c r="I923" s="3" t="n">
        <v>31549.35</v>
      </c>
      <c r="J923" s="3" t="n">
        <v>1025.06</v>
      </c>
      <c r="K923" s="3" t="n">
        <v>21526.26</v>
      </c>
      <c r="L923" s="3" t="n">
        <v>10023.09</v>
      </c>
      <c r="M923" s="4" t="n">
        <v>0.3177</v>
      </c>
    </row>
    <row r="924">
      <c r="A924" s="2" t="inlineStr">
        <is>
          <t>SKL-00923</t>
        </is>
      </c>
      <c r="B924" s="2" t="inlineStr">
        <is>
          <t>SIP-0243</t>
        </is>
      </c>
      <c r="C924" s="2" t="inlineStr">
        <is>
          <t>ENDVAN-021</t>
        </is>
      </c>
      <c r="D924" s="5" t="n">
        <v>22</v>
      </c>
      <c r="E924" s="2" t="inlineStr">
        <is>
          <t>Adet</t>
        </is>
      </c>
      <c r="F924" s="3" t="n">
        <v>1064.4</v>
      </c>
      <c r="G924" s="4" t="n">
        <v>0.0024</v>
      </c>
      <c r="H924" s="3" t="n">
        <v>1061.85</v>
      </c>
      <c r="I924" s="3" t="n">
        <v>23360.7</v>
      </c>
      <c r="J924" s="3" t="n">
        <v>736.7</v>
      </c>
      <c r="K924" s="3" t="n">
        <v>16207.4</v>
      </c>
      <c r="L924" s="3" t="n">
        <v>7153.3</v>
      </c>
      <c r="M924" s="4" t="n">
        <v>0.3062</v>
      </c>
    </row>
    <row r="925">
      <c r="A925" s="2" t="inlineStr">
        <is>
          <t>SKL-00924</t>
        </is>
      </c>
      <c r="B925" s="2" t="inlineStr">
        <is>
          <t>SIP-0243</t>
        </is>
      </c>
      <c r="C925" s="2" t="inlineStr">
        <is>
          <t>FLAIZO-004</t>
        </is>
      </c>
      <c r="D925" s="5" t="n">
        <v>57</v>
      </c>
      <c r="E925" s="2" t="inlineStr">
        <is>
          <t>Set</t>
        </is>
      </c>
      <c r="F925" s="3" t="n">
        <v>50.49</v>
      </c>
      <c r="G925" s="4" t="n">
        <v>0.0824</v>
      </c>
      <c r="H925" s="3" t="n">
        <v>46.33</v>
      </c>
      <c r="I925" s="3" t="n">
        <v>2640.81</v>
      </c>
      <c r="J925" s="3" t="n">
        <v>25.08</v>
      </c>
      <c r="K925" s="3" t="n">
        <v>1429.56</v>
      </c>
      <c r="L925" s="3" t="n">
        <v>1211.25</v>
      </c>
      <c r="M925" s="4" t="n">
        <v>0.4587</v>
      </c>
    </row>
    <row r="926">
      <c r="A926" s="2" t="inlineStr">
        <is>
          <t>SKL-00925</t>
        </is>
      </c>
      <c r="B926" s="2" t="inlineStr">
        <is>
          <t>SIP-0243</t>
        </is>
      </c>
      <c r="C926" s="2" t="inlineStr">
        <is>
          <t>MEKSIZ-005</t>
        </is>
      </c>
      <c r="D926" s="5" t="n">
        <v>20</v>
      </c>
      <c r="E926" s="2" t="inlineStr">
        <is>
          <t>Adet</t>
        </is>
      </c>
      <c r="F926" s="3" t="n">
        <v>657.2</v>
      </c>
      <c r="G926" s="4" t="n">
        <v>0.0825</v>
      </c>
      <c r="H926" s="3" t="n">
        <v>602.98</v>
      </c>
      <c r="I926" s="3" t="n">
        <v>12059.6</v>
      </c>
      <c r="J926" s="3" t="n">
        <v>370.26</v>
      </c>
      <c r="K926" s="3" t="n">
        <v>7405.2</v>
      </c>
      <c r="L926" s="3" t="n">
        <v>4654.4</v>
      </c>
      <c r="M926" s="4" t="n">
        <v>0.3859</v>
      </c>
    </row>
    <row r="927">
      <c r="A927" s="2" t="inlineStr">
        <is>
          <t>SKL-00926</t>
        </is>
      </c>
      <c r="B927" s="2" t="inlineStr">
        <is>
          <t>SIP-0243</t>
        </is>
      </c>
      <c r="C927" s="2" t="inlineStr">
        <is>
          <t>ENDVAN-033</t>
        </is>
      </c>
      <c r="D927" s="5" t="n">
        <v>4</v>
      </c>
      <c r="E927" s="2" t="inlineStr">
        <is>
          <t>Adet</t>
        </is>
      </c>
      <c r="F927" s="3" t="n">
        <v>1808.4</v>
      </c>
      <c r="G927" s="4" t="n">
        <v>0.0163</v>
      </c>
      <c r="H927" s="3" t="n">
        <v>1778.92</v>
      </c>
      <c r="I927" s="3" t="n">
        <v>7115.68</v>
      </c>
      <c r="J927" s="3" t="n">
        <v>1125.6</v>
      </c>
      <c r="K927" s="3" t="n">
        <v>4502.4</v>
      </c>
      <c r="L927" s="3" t="n">
        <v>2613.28</v>
      </c>
      <c r="M927" s="4" t="n">
        <v>0.3673</v>
      </c>
    </row>
    <row r="928">
      <c r="A928" s="2" t="inlineStr">
        <is>
          <t>SKL-00927</t>
        </is>
      </c>
      <c r="B928" s="2" t="inlineStr">
        <is>
          <t>SIP-0244</t>
        </is>
      </c>
      <c r="C928" s="2" t="inlineStr">
        <is>
          <t>YAREND-002</t>
        </is>
      </c>
      <c r="D928" s="5" t="n">
        <v>3</v>
      </c>
      <c r="E928" s="2" t="inlineStr">
        <is>
          <t>Adet</t>
        </is>
      </c>
      <c r="F928" s="3" t="n">
        <v>1205.67</v>
      </c>
      <c r="G928" s="4" t="n">
        <v>0.0585</v>
      </c>
      <c r="H928" s="3" t="n">
        <v>1135.14</v>
      </c>
      <c r="I928" s="3" t="n">
        <v>3405.42</v>
      </c>
      <c r="J928" s="3" t="n">
        <v>839.65</v>
      </c>
      <c r="K928" s="3" t="n">
        <v>2518.95</v>
      </c>
      <c r="L928" s="3" t="n">
        <v>886.47</v>
      </c>
      <c r="M928" s="4" t="n">
        <v>0.2603</v>
      </c>
    </row>
    <row r="929">
      <c r="A929" s="2" t="inlineStr">
        <is>
          <t>SKL-00928</t>
        </is>
      </c>
      <c r="B929" s="2" t="inlineStr">
        <is>
          <t>SIP-0244</t>
        </is>
      </c>
      <c r="C929" s="2" t="inlineStr">
        <is>
          <t>ENDVAN-024</t>
        </is>
      </c>
      <c r="D929" s="5" t="n">
        <v>22</v>
      </c>
      <c r="E929" s="2" t="inlineStr">
        <is>
          <t>Adet</t>
        </is>
      </c>
      <c r="F929" s="3" t="n">
        <v>1777.38</v>
      </c>
      <c r="G929" s="4" t="n">
        <v>0.0689</v>
      </c>
      <c r="H929" s="3" t="n">
        <v>1654.92</v>
      </c>
      <c r="I929" s="3" t="n">
        <v>36408.24</v>
      </c>
      <c r="J929" s="3" t="n">
        <v>1156.64</v>
      </c>
      <c r="K929" s="3" t="n">
        <v>25446.08</v>
      </c>
      <c r="L929" s="3" t="n">
        <v>10962.16</v>
      </c>
      <c r="M929" s="4" t="n">
        <v>0.3011</v>
      </c>
    </row>
    <row r="930">
      <c r="A930" s="2" t="inlineStr">
        <is>
          <t>SKL-00929</t>
        </is>
      </c>
      <c r="B930" s="2" t="inlineStr">
        <is>
          <t>SIP-0244</t>
        </is>
      </c>
      <c r="C930" s="2" t="inlineStr">
        <is>
          <t>ENDVAN-028</t>
        </is>
      </c>
      <c r="D930" s="5" t="n">
        <v>15</v>
      </c>
      <c r="E930" s="2" t="inlineStr">
        <is>
          <t>Adet</t>
        </is>
      </c>
      <c r="F930" s="3" t="n">
        <v>1167.77</v>
      </c>
      <c r="G930" s="4" t="n">
        <v>0.09180000000000001</v>
      </c>
      <c r="H930" s="3" t="n">
        <v>1060.57</v>
      </c>
      <c r="I930" s="3" t="n">
        <v>15908.55</v>
      </c>
      <c r="J930" s="3" t="n">
        <v>812.05</v>
      </c>
      <c r="K930" s="3" t="n">
        <v>12180.75</v>
      </c>
      <c r="L930" s="3" t="n">
        <v>3727.8</v>
      </c>
      <c r="M930" s="4" t="n">
        <v>0.2343</v>
      </c>
    </row>
    <row r="931">
      <c r="A931" s="2" t="inlineStr">
        <is>
          <t>SKL-00930</t>
        </is>
      </c>
      <c r="B931" s="2" t="inlineStr">
        <is>
          <t>SIP-0244</t>
        </is>
      </c>
      <c r="C931" s="2" t="inlineStr">
        <is>
          <t>MEKSIZ-003</t>
        </is>
      </c>
      <c r="D931" s="5" t="n">
        <v>9</v>
      </c>
      <c r="E931" s="2" t="inlineStr">
        <is>
          <t>Adet</t>
        </is>
      </c>
      <c r="F931" s="3" t="n">
        <v>476.61</v>
      </c>
      <c r="G931" s="4" t="n">
        <v>0.048</v>
      </c>
      <c r="H931" s="3" t="n">
        <v>453.73</v>
      </c>
      <c r="I931" s="3" t="n">
        <v>4083.57</v>
      </c>
      <c r="J931" s="3" t="n">
        <v>341.68</v>
      </c>
      <c r="K931" s="3" t="n">
        <v>3075.12</v>
      </c>
      <c r="L931" s="3" t="n">
        <v>1008.45</v>
      </c>
      <c r="M931" s="4" t="n">
        <v>0.247</v>
      </c>
    </row>
    <row r="932">
      <c r="A932" s="2" t="inlineStr">
        <is>
          <t>SKL-00931</t>
        </is>
      </c>
      <c r="B932" s="2" t="inlineStr">
        <is>
          <t>SIP-0244</t>
        </is>
      </c>
      <c r="C932" s="2" t="inlineStr">
        <is>
          <t>ENDVAN-014</t>
        </is>
      </c>
      <c r="D932" s="5" t="n">
        <v>15</v>
      </c>
      <c r="E932" s="2" t="inlineStr">
        <is>
          <t>Adet</t>
        </is>
      </c>
      <c r="F932" s="3" t="n">
        <v>1604.69</v>
      </c>
      <c r="G932" s="4" t="n">
        <v>0.0172</v>
      </c>
      <c r="H932" s="3" t="n">
        <v>1577.09</v>
      </c>
      <c r="I932" s="3" t="n">
        <v>23656.35</v>
      </c>
      <c r="J932" s="3" t="n">
        <v>1025.06</v>
      </c>
      <c r="K932" s="3" t="n">
        <v>15375.9</v>
      </c>
      <c r="L932" s="3" t="n">
        <v>8280.450000000001</v>
      </c>
      <c r="M932" s="4" t="n">
        <v>0.35</v>
      </c>
    </row>
    <row r="933">
      <c r="A933" s="2" t="inlineStr">
        <is>
          <t>SKL-00932</t>
        </is>
      </c>
      <c r="B933" s="2" t="inlineStr">
        <is>
          <t>SIP-0245</t>
        </is>
      </c>
      <c r="C933" s="2" t="inlineStr">
        <is>
          <t>ENDVAN-034</t>
        </is>
      </c>
      <c r="D933" s="5" t="n">
        <v>19</v>
      </c>
      <c r="E933" s="2" t="inlineStr">
        <is>
          <t>Adet</t>
        </is>
      </c>
      <c r="F933" s="3" t="n">
        <v>813.1799999999999</v>
      </c>
      <c r="G933" s="4" t="n">
        <v>0.0602</v>
      </c>
      <c r="H933" s="3" t="n">
        <v>764.23</v>
      </c>
      <c r="I933" s="3" t="n">
        <v>14520.37</v>
      </c>
      <c r="J933" s="3" t="n">
        <v>595.41</v>
      </c>
      <c r="K933" s="3" t="n">
        <v>11312.79</v>
      </c>
      <c r="L933" s="3" t="n">
        <v>3207.58</v>
      </c>
      <c r="M933" s="4" t="n">
        <v>0.2209</v>
      </c>
    </row>
    <row r="934">
      <c r="A934" s="2" t="inlineStr">
        <is>
          <t>SKL-00933</t>
        </is>
      </c>
      <c r="B934" s="2" t="inlineStr">
        <is>
          <t>SIP-0245</t>
        </is>
      </c>
      <c r="C934" s="2" t="inlineStr">
        <is>
          <t>ENDVAN-006</t>
        </is>
      </c>
      <c r="D934" s="5" t="n">
        <v>16</v>
      </c>
      <c r="E934" s="2" t="inlineStr">
        <is>
          <t>Adet</t>
        </is>
      </c>
      <c r="F934" s="3" t="n">
        <v>1646.93</v>
      </c>
      <c r="G934" s="4" t="n">
        <v>0.0403</v>
      </c>
      <c r="H934" s="3" t="n">
        <v>1580.56</v>
      </c>
      <c r="I934" s="3" t="n">
        <v>25288.96</v>
      </c>
      <c r="J934" s="3" t="n">
        <v>1160.99</v>
      </c>
      <c r="K934" s="3" t="n">
        <v>18575.84</v>
      </c>
      <c r="L934" s="3" t="n">
        <v>6713.12</v>
      </c>
      <c r="M934" s="4" t="n">
        <v>0.2655</v>
      </c>
    </row>
    <row r="935">
      <c r="A935" s="2" t="inlineStr">
        <is>
          <t>SKL-00934</t>
        </is>
      </c>
      <c r="B935" s="2" t="inlineStr">
        <is>
          <t>SIP-0246</t>
        </is>
      </c>
      <c r="C935" s="2" t="inlineStr">
        <is>
          <t>KAR/-003</t>
        </is>
      </c>
      <c r="D935" s="5" t="n">
        <v>2</v>
      </c>
      <c r="E935" s="2" t="inlineStr">
        <is>
          <t>Adet</t>
        </is>
      </c>
      <c r="F935" s="3" t="n">
        <v>4468.04</v>
      </c>
      <c r="G935" s="4" t="n">
        <v>0.0822</v>
      </c>
      <c r="H935" s="3" t="n">
        <v>4100.77</v>
      </c>
      <c r="I935" s="3" t="n">
        <v>8201.540000000001</v>
      </c>
      <c r="J935" s="3" t="n">
        <v>3349.2</v>
      </c>
      <c r="K935" s="3" t="n">
        <v>6698.4</v>
      </c>
      <c r="L935" s="3" t="n">
        <v>1503.14</v>
      </c>
      <c r="M935" s="4" t="n">
        <v>0.1833</v>
      </c>
    </row>
    <row r="936">
      <c r="A936" s="2" t="inlineStr">
        <is>
          <t>SKL-00935</t>
        </is>
      </c>
      <c r="B936" s="2" t="inlineStr">
        <is>
          <t>SIP-0246</t>
        </is>
      </c>
      <c r="C936" s="2" t="inlineStr">
        <is>
          <t>ENDVAN-013</t>
        </is>
      </c>
      <c r="D936" s="5" t="n">
        <v>11</v>
      </c>
      <c r="E936" s="2" t="inlineStr">
        <is>
          <t>Adet</t>
        </is>
      </c>
      <c r="F936" s="3" t="n">
        <v>1510.31</v>
      </c>
      <c r="G936" s="4" t="n">
        <v>0.0517</v>
      </c>
      <c r="H936" s="3" t="n">
        <v>1432.23</v>
      </c>
      <c r="I936" s="3" t="n">
        <v>15754.53</v>
      </c>
      <c r="J936" s="3" t="n">
        <v>1133.86</v>
      </c>
      <c r="K936" s="3" t="n">
        <v>12472.46</v>
      </c>
      <c r="L936" s="3" t="n">
        <v>3282.07</v>
      </c>
      <c r="M936" s="4" t="n">
        <v>0.2083</v>
      </c>
    </row>
    <row r="937">
      <c r="A937" s="2" t="inlineStr">
        <is>
          <t>SKL-00936</t>
        </is>
      </c>
      <c r="B937" s="2" t="inlineStr">
        <is>
          <t>SIP-0246</t>
        </is>
      </c>
      <c r="C937" s="2" t="inlineStr">
        <is>
          <t>ENDVAN-034</t>
        </is>
      </c>
      <c r="D937" s="5" t="n">
        <v>20</v>
      </c>
      <c r="E937" s="2" t="inlineStr">
        <is>
          <t>Adet</t>
        </is>
      </c>
      <c r="F937" s="3" t="n">
        <v>803.01</v>
      </c>
      <c r="G937" s="4" t="n">
        <v>0.0422</v>
      </c>
      <c r="H937" s="3" t="n">
        <v>769.12</v>
      </c>
      <c r="I937" s="3" t="n">
        <v>15382.4</v>
      </c>
      <c r="J937" s="3" t="n">
        <v>595.41</v>
      </c>
      <c r="K937" s="3" t="n">
        <v>11908.2</v>
      </c>
      <c r="L937" s="3" t="n">
        <v>3474.2</v>
      </c>
      <c r="M937" s="4" t="n">
        <v>0.2259</v>
      </c>
    </row>
    <row r="938">
      <c r="A938" s="2" t="inlineStr">
        <is>
          <t>SKL-00937</t>
        </is>
      </c>
      <c r="B938" s="2" t="inlineStr">
        <is>
          <t>SIP-0246</t>
        </is>
      </c>
      <c r="C938" s="2" t="inlineStr">
        <is>
          <t>PROTAN-010</t>
        </is>
      </c>
      <c r="D938" s="5" t="n">
        <v>1</v>
      </c>
      <c r="E938" s="2" t="inlineStr">
        <is>
          <t>Adet</t>
        </is>
      </c>
      <c r="F938" s="3" t="n">
        <v>10025.81</v>
      </c>
      <c r="G938" s="4" t="n">
        <v>0.044</v>
      </c>
      <c r="H938" s="3" t="n">
        <v>9584.67</v>
      </c>
      <c r="I938" s="3" t="n">
        <v>9584.67</v>
      </c>
      <c r="J938" s="3" t="n">
        <v>8539.790000000001</v>
      </c>
      <c r="K938" s="3" t="n">
        <v>8539.790000000001</v>
      </c>
      <c r="L938" s="3" t="n">
        <v>1044.88</v>
      </c>
      <c r="M938" s="4" t="n">
        <v>0.109</v>
      </c>
    </row>
    <row r="939">
      <c r="A939" s="2" t="inlineStr">
        <is>
          <t>SKL-00938</t>
        </is>
      </c>
      <c r="B939" s="2" t="inlineStr">
        <is>
          <t>SIP-0246</t>
        </is>
      </c>
      <c r="C939" s="2" t="inlineStr">
        <is>
          <t>YAREND-012</t>
        </is>
      </c>
      <c r="D939" s="5" t="n">
        <v>3</v>
      </c>
      <c r="E939" s="2" t="inlineStr">
        <is>
          <t>Adet</t>
        </is>
      </c>
      <c r="F939" s="3" t="n">
        <v>700.75</v>
      </c>
      <c r="G939" s="4" t="n">
        <v>0.0769</v>
      </c>
      <c r="H939" s="3" t="n">
        <v>646.86</v>
      </c>
      <c r="I939" s="3" t="n">
        <v>1940.58</v>
      </c>
      <c r="J939" s="3" t="n">
        <v>528.15</v>
      </c>
      <c r="K939" s="3" t="n">
        <v>1584.45</v>
      </c>
      <c r="L939" s="3" t="n">
        <v>356.13</v>
      </c>
      <c r="M939" s="4" t="n">
        <v>0.1835</v>
      </c>
    </row>
    <row r="940">
      <c r="A940" s="2" t="inlineStr">
        <is>
          <t>SKL-00939</t>
        </is>
      </c>
      <c r="B940" s="2" t="inlineStr">
        <is>
          <t>SIP-0246</t>
        </is>
      </c>
      <c r="C940" s="2" t="inlineStr">
        <is>
          <t>ENDVAN-015</t>
        </is>
      </c>
      <c r="D940" s="5" t="n">
        <v>4</v>
      </c>
      <c r="E940" s="2" t="inlineStr">
        <is>
          <t>Adet</t>
        </is>
      </c>
      <c r="F940" s="3" t="n">
        <v>1574.18</v>
      </c>
      <c r="G940" s="4" t="n">
        <v>0.0864</v>
      </c>
      <c r="H940" s="3" t="n">
        <v>1438.17</v>
      </c>
      <c r="I940" s="3" t="n">
        <v>5752.68</v>
      </c>
      <c r="J940" s="3" t="n">
        <v>1019.05</v>
      </c>
      <c r="K940" s="3" t="n">
        <v>4076.2</v>
      </c>
      <c r="L940" s="3" t="n">
        <v>1676.48</v>
      </c>
      <c r="M940" s="4" t="n">
        <v>0.2914</v>
      </c>
    </row>
    <row r="941">
      <c r="A941" s="2" t="inlineStr">
        <is>
          <t>SKL-00940</t>
        </is>
      </c>
      <c r="B941" s="2" t="inlineStr">
        <is>
          <t>SIP-0246</t>
        </is>
      </c>
      <c r="C941" s="2" t="inlineStr">
        <is>
          <t>ENDVAN-003</t>
        </is>
      </c>
      <c r="D941" s="5" t="n">
        <v>9</v>
      </c>
      <c r="E941" s="2" t="inlineStr">
        <is>
          <t>Adet</t>
        </is>
      </c>
      <c r="F941" s="3" t="n">
        <v>1452.41</v>
      </c>
      <c r="G941" s="4" t="n">
        <v>0.1007</v>
      </c>
      <c r="H941" s="3" t="n">
        <v>1306.15</v>
      </c>
      <c r="I941" s="3" t="n">
        <v>11755.35</v>
      </c>
      <c r="J941" s="3" t="n">
        <v>1050.24</v>
      </c>
      <c r="K941" s="3" t="n">
        <v>9452.16</v>
      </c>
      <c r="L941" s="3" t="n">
        <v>2303.19</v>
      </c>
      <c r="M941" s="4" t="n">
        <v>0.1959</v>
      </c>
    </row>
    <row r="942">
      <c r="A942" s="2" t="inlineStr">
        <is>
          <t>SKL-00941</t>
        </is>
      </c>
      <c r="B942" s="2" t="inlineStr">
        <is>
          <t>SIP-0247</t>
        </is>
      </c>
      <c r="C942" s="2" t="inlineStr">
        <is>
          <t>ENDVAN-012</t>
        </is>
      </c>
      <c r="D942" s="5" t="n">
        <v>6</v>
      </c>
      <c r="E942" s="2" t="inlineStr">
        <is>
          <t>Adet</t>
        </is>
      </c>
      <c r="F942" s="3" t="n">
        <v>374.13</v>
      </c>
      <c r="G942" s="4" t="n">
        <v>0.0018</v>
      </c>
      <c r="H942" s="3" t="n">
        <v>373.46</v>
      </c>
      <c r="I942" s="3" t="n">
        <v>2240.76</v>
      </c>
      <c r="J942" s="3" t="n">
        <v>281.71</v>
      </c>
      <c r="K942" s="3" t="n">
        <v>1690.26</v>
      </c>
      <c r="L942" s="3" t="n">
        <v>550.5</v>
      </c>
      <c r="M942" s="4" t="n">
        <v>0.2457</v>
      </c>
    </row>
    <row r="943">
      <c r="A943" s="2" t="inlineStr">
        <is>
          <t>SKL-00942</t>
        </is>
      </c>
      <c r="B943" s="2" t="inlineStr">
        <is>
          <t>SIP-0247</t>
        </is>
      </c>
      <c r="C943" s="2" t="inlineStr">
        <is>
          <t>FLAIZO-013</t>
        </is>
      </c>
      <c r="D943" s="5" t="n">
        <v>82</v>
      </c>
      <c r="E943" s="2" t="inlineStr">
        <is>
          <t>Set</t>
        </is>
      </c>
      <c r="F943" s="3" t="n">
        <v>34.54</v>
      </c>
      <c r="G943" s="4" t="n">
        <v>0.0888</v>
      </c>
      <c r="H943" s="3" t="n">
        <v>31.47</v>
      </c>
      <c r="I943" s="3" t="n">
        <v>2580.54</v>
      </c>
      <c r="J943" s="3" t="n">
        <v>19.05</v>
      </c>
      <c r="K943" s="3" t="n">
        <v>1562.1</v>
      </c>
      <c r="L943" s="3" t="n">
        <v>1018.44</v>
      </c>
      <c r="M943" s="4" t="n">
        <v>0.3947</v>
      </c>
    </row>
    <row r="944">
      <c r="A944" s="2" t="inlineStr">
        <is>
          <t>SKL-00943</t>
        </is>
      </c>
      <c r="B944" s="2" t="inlineStr">
        <is>
          <t>SIP-0247</t>
        </is>
      </c>
      <c r="C944" s="2" t="inlineStr">
        <is>
          <t>ENDVAN-029</t>
        </is>
      </c>
      <c r="D944" s="5" t="n">
        <v>9</v>
      </c>
      <c r="E944" s="2" t="inlineStr">
        <is>
          <t>Adet</t>
        </is>
      </c>
      <c r="F944" s="3" t="n">
        <v>516.5700000000001</v>
      </c>
      <c r="G944" s="4" t="n">
        <v>0.09089999999999999</v>
      </c>
      <c r="H944" s="3" t="n">
        <v>469.61</v>
      </c>
      <c r="I944" s="3" t="n">
        <v>4226.49</v>
      </c>
      <c r="J944" s="3" t="n">
        <v>318.96</v>
      </c>
      <c r="K944" s="3" t="n">
        <v>2870.64</v>
      </c>
      <c r="L944" s="3" t="n">
        <v>1355.85</v>
      </c>
      <c r="M944" s="4" t="n">
        <v>0.3208</v>
      </c>
    </row>
    <row r="945">
      <c r="A945" s="2" t="inlineStr">
        <is>
          <t>SKL-00944</t>
        </is>
      </c>
      <c r="B945" s="2" t="inlineStr">
        <is>
          <t>SIP-0247</t>
        </is>
      </c>
      <c r="C945" s="2" t="inlineStr">
        <is>
          <t>ENDVAN-014</t>
        </is>
      </c>
      <c r="D945" s="5" t="n">
        <v>18</v>
      </c>
      <c r="E945" s="2" t="inlineStr">
        <is>
          <t>Adet</t>
        </is>
      </c>
      <c r="F945" s="3" t="n">
        <v>1570.09</v>
      </c>
      <c r="G945" s="4" t="n">
        <v>0.1049</v>
      </c>
      <c r="H945" s="3" t="n">
        <v>1405.39</v>
      </c>
      <c r="I945" s="3" t="n">
        <v>25297.02</v>
      </c>
      <c r="J945" s="3" t="n">
        <v>1025.06</v>
      </c>
      <c r="K945" s="3" t="n">
        <v>18451.08</v>
      </c>
      <c r="L945" s="3" t="n">
        <v>6845.94</v>
      </c>
      <c r="M945" s="4" t="n">
        <v>0.2706</v>
      </c>
    </row>
    <row r="946">
      <c r="A946" s="2" t="inlineStr">
        <is>
          <t>SKL-00945</t>
        </is>
      </c>
      <c r="B946" s="2" t="inlineStr">
        <is>
          <t>SIP-0247</t>
        </is>
      </c>
      <c r="C946" s="2" t="inlineStr">
        <is>
          <t>ENDVAN-013</t>
        </is>
      </c>
      <c r="D946" s="5" t="n">
        <v>17</v>
      </c>
      <c r="E946" s="2" t="inlineStr">
        <is>
          <t>Adet</t>
        </is>
      </c>
      <c r="F946" s="3" t="n">
        <v>1651.75</v>
      </c>
      <c r="G946" s="4" t="n">
        <v>0.0921</v>
      </c>
      <c r="H946" s="3" t="n">
        <v>1499.62</v>
      </c>
      <c r="I946" s="3" t="n">
        <v>25493.54</v>
      </c>
      <c r="J946" s="3" t="n">
        <v>1133.86</v>
      </c>
      <c r="K946" s="3" t="n">
        <v>19275.62</v>
      </c>
      <c r="L946" s="3" t="n">
        <v>6217.92</v>
      </c>
      <c r="M946" s="4" t="n">
        <v>0.2439</v>
      </c>
    </row>
    <row r="947">
      <c r="A947" s="2" t="inlineStr">
        <is>
          <t>SKL-00946</t>
        </is>
      </c>
      <c r="B947" s="2" t="inlineStr">
        <is>
          <t>SIP-0248</t>
        </is>
      </c>
      <c r="C947" s="2" t="inlineStr">
        <is>
          <t>YAREND-009</t>
        </is>
      </c>
      <c r="D947" s="5" t="n">
        <v>9</v>
      </c>
      <c r="E947" s="2" t="inlineStr">
        <is>
          <t>Adet</t>
        </is>
      </c>
      <c r="F947" s="3" t="n">
        <v>1241.73</v>
      </c>
      <c r="G947" s="4" t="n">
        <v>0.0728</v>
      </c>
      <c r="H947" s="3" t="n">
        <v>1151.33</v>
      </c>
      <c r="I947" s="3" t="n">
        <v>10361.97</v>
      </c>
      <c r="J947" s="3" t="n">
        <v>873.73</v>
      </c>
      <c r="K947" s="3" t="n">
        <v>7863.57</v>
      </c>
      <c r="L947" s="3" t="n">
        <v>2498.4</v>
      </c>
      <c r="M947" s="4" t="n">
        <v>0.2411</v>
      </c>
    </row>
    <row r="948">
      <c r="A948" s="2" t="inlineStr">
        <is>
          <t>SKL-00947</t>
        </is>
      </c>
      <c r="B948" s="2" t="inlineStr">
        <is>
          <t>SIP-0248</t>
        </is>
      </c>
      <c r="C948" s="2" t="inlineStr">
        <is>
          <t>ENDVAN-010</t>
        </is>
      </c>
      <c r="D948" s="5" t="n">
        <v>8</v>
      </c>
      <c r="E948" s="2" t="inlineStr">
        <is>
          <t>Adet</t>
        </is>
      </c>
      <c r="F948" s="3" t="n">
        <v>1175.75</v>
      </c>
      <c r="G948" s="4" t="n">
        <v>0.1027</v>
      </c>
      <c r="H948" s="3" t="n">
        <v>1055</v>
      </c>
      <c r="I948" s="3" t="n">
        <v>8440</v>
      </c>
      <c r="J948" s="3" t="n">
        <v>891.17</v>
      </c>
      <c r="K948" s="3" t="n">
        <v>7129.36</v>
      </c>
      <c r="L948" s="3" t="n">
        <v>1310.64</v>
      </c>
      <c r="M948" s="4" t="n">
        <v>0.1553</v>
      </c>
    </row>
    <row r="949">
      <c r="A949" s="2" t="inlineStr">
        <is>
          <t>SKL-00948</t>
        </is>
      </c>
      <c r="B949" s="2" t="inlineStr">
        <is>
          <t>SIP-0249</t>
        </is>
      </c>
      <c r="C949" s="2" t="inlineStr">
        <is>
          <t>KAR/-004</t>
        </is>
      </c>
      <c r="D949" s="5" t="n">
        <v>4</v>
      </c>
      <c r="E949" s="2" t="inlineStr">
        <is>
          <t>Adet</t>
        </is>
      </c>
      <c r="F949" s="3" t="n">
        <v>4612.22</v>
      </c>
      <c r="G949" s="4" t="n">
        <v>0.0617</v>
      </c>
      <c r="H949" s="3" t="n">
        <v>4327.65</v>
      </c>
      <c r="I949" s="3" t="n">
        <v>17310.6</v>
      </c>
      <c r="J949" s="3" t="n">
        <v>3492.79</v>
      </c>
      <c r="K949" s="3" t="n">
        <v>13971.16</v>
      </c>
      <c r="L949" s="3" t="n">
        <v>3339.44</v>
      </c>
      <c r="M949" s="4" t="n">
        <v>0.1929</v>
      </c>
    </row>
    <row r="950">
      <c r="A950" s="2" t="inlineStr">
        <is>
          <t>SKL-00949</t>
        </is>
      </c>
      <c r="B950" s="2" t="inlineStr">
        <is>
          <t>SIP-0249</t>
        </is>
      </c>
      <c r="C950" s="2" t="inlineStr">
        <is>
          <t>YAREND-011</t>
        </is>
      </c>
      <c r="D950" s="5" t="n">
        <v>14</v>
      </c>
      <c r="E950" s="2" t="inlineStr">
        <is>
          <t>Adet</t>
        </is>
      </c>
      <c r="F950" s="3" t="n">
        <v>1036.55</v>
      </c>
      <c r="G950" s="4" t="n">
        <v>0.0191</v>
      </c>
      <c r="H950" s="3" t="n">
        <v>1016.75</v>
      </c>
      <c r="I950" s="3" t="n">
        <v>14234.5</v>
      </c>
      <c r="J950" s="3" t="n">
        <v>777.02</v>
      </c>
      <c r="K950" s="3" t="n">
        <v>10878.28</v>
      </c>
      <c r="L950" s="3" t="n">
        <v>3356.22</v>
      </c>
      <c r="M950" s="4" t="n">
        <v>0.2358</v>
      </c>
    </row>
    <row r="951">
      <c r="A951" s="2" t="inlineStr">
        <is>
          <t>SKL-00950</t>
        </is>
      </c>
      <c r="B951" s="2" t="inlineStr">
        <is>
          <t>SIP-0249</t>
        </is>
      </c>
      <c r="C951" s="2" t="inlineStr">
        <is>
          <t>ENDVAN-014</t>
        </is>
      </c>
      <c r="D951" s="5" t="n">
        <v>19</v>
      </c>
      <c r="E951" s="2" t="inlineStr">
        <is>
          <t>Adet</t>
        </is>
      </c>
      <c r="F951" s="3" t="n">
        <v>1642.41</v>
      </c>
      <c r="G951" s="4" t="n">
        <v>0.0441</v>
      </c>
      <c r="H951" s="3" t="n">
        <v>1569.98</v>
      </c>
      <c r="I951" s="3" t="n">
        <v>29829.62</v>
      </c>
      <c r="J951" s="3" t="n">
        <v>1025.06</v>
      </c>
      <c r="K951" s="3" t="n">
        <v>19476.14</v>
      </c>
      <c r="L951" s="3" t="n">
        <v>10353.48</v>
      </c>
      <c r="M951" s="4" t="n">
        <v>0.3471</v>
      </c>
    </row>
    <row r="952">
      <c r="A952" s="2" t="inlineStr">
        <is>
          <t>SKL-00951</t>
        </is>
      </c>
      <c r="B952" s="2" t="inlineStr">
        <is>
          <t>SIP-0249</t>
        </is>
      </c>
      <c r="C952" s="2" t="inlineStr">
        <is>
          <t>ENDVAN-005</t>
        </is>
      </c>
      <c r="D952" s="5" t="n">
        <v>11</v>
      </c>
      <c r="E952" s="2" t="inlineStr">
        <is>
          <t>Adet</t>
        </is>
      </c>
      <c r="F952" s="3" t="n">
        <v>871.38</v>
      </c>
      <c r="G952" s="4" t="n">
        <v>0.0873</v>
      </c>
      <c r="H952" s="3" t="n">
        <v>795.3099999999999</v>
      </c>
      <c r="I952" s="3" t="n">
        <v>8748.41</v>
      </c>
      <c r="J952" s="3" t="n">
        <v>653.55</v>
      </c>
      <c r="K952" s="3" t="n">
        <v>7189.05</v>
      </c>
      <c r="L952" s="3" t="n">
        <v>1559.36</v>
      </c>
      <c r="M952" s="4" t="n">
        <v>0.1782</v>
      </c>
    </row>
    <row r="953">
      <c r="A953" s="2" t="inlineStr">
        <is>
          <t>SKL-00952</t>
        </is>
      </c>
      <c r="B953" s="2" t="inlineStr">
        <is>
          <t>SIP-0250</t>
        </is>
      </c>
      <c r="C953" s="2" t="inlineStr">
        <is>
          <t>PROTAN-008</t>
        </is>
      </c>
      <c r="D953" s="5" t="n">
        <v>1</v>
      </c>
      <c r="E953" s="2" t="inlineStr">
        <is>
          <t>Adet</t>
        </is>
      </c>
      <c r="F953" s="3" t="n">
        <v>21581.57</v>
      </c>
      <c r="G953" s="4" t="n">
        <v>0.0448</v>
      </c>
      <c r="H953" s="3" t="n">
        <v>20614.72</v>
      </c>
      <c r="I953" s="3" t="n">
        <v>20614.72</v>
      </c>
      <c r="J953" s="3" t="n">
        <v>17073.45</v>
      </c>
      <c r="K953" s="3" t="n">
        <v>17073.45</v>
      </c>
      <c r="L953" s="3" t="n">
        <v>3541.27</v>
      </c>
      <c r="M953" s="4" t="n">
        <v>0.1718</v>
      </c>
    </row>
    <row r="954">
      <c r="A954" s="2" t="inlineStr">
        <is>
          <t>SKL-00953</t>
        </is>
      </c>
      <c r="B954" s="2" t="inlineStr">
        <is>
          <t>SIP-0250</t>
        </is>
      </c>
      <c r="C954" s="2" t="inlineStr">
        <is>
          <t>FLAIZO-006</t>
        </is>
      </c>
      <c r="D954" s="5" t="n">
        <v>55</v>
      </c>
      <c r="E954" s="2" t="inlineStr">
        <is>
          <t>Set</t>
        </is>
      </c>
      <c r="F954" s="3" t="n">
        <v>58.97</v>
      </c>
      <c r="G954" s="4" t="n">
        <v>0.0276</v>
      </c>
      <c r="H954" s="3" t="n">
        <v>57.34</v>
      </c>
      <c r="I954" s="3" t="n">
        <v>3153.7</v>
      </c>
      <c r="J954" s="3" t="n">
        <v>41.17</v>
      </c>
      <c r="K954" s="3" t="n">
        <v>2264.35</v>
      </c>
      <c r="L954" s="3" t="n">
        <v>889.35</v>
      </c>
      <c r="M954" s="4" t="n">
        <v>0.282</v>
      </c>
    </row>
    <row r="955">
      <c r="A955" s="2" t="inlineStr">
        <is>
          <t>SKL-00954</t>
        </is>
      </c>
      <c r="B955" s="2" t="inlineStr">
        <is>
          <t>SIP-0250</t>
        </is>
      </c>
      <c r="C955" s="2" t="inlineStr">
        <is>
          <t>FLAIZO-005</t>
        </is>
      </c>
      <c r="D955" s="5" t="n">
        <v>46</v>
      </c>
      <c r="E955" s="2" t="inlineStr">
        <is>
          <t>Set</t>
        </is>
      </c>
      <c r="F955" s="3" t="n">
        <v>215.09</v>
      </c>
      <c r="G955" s="4" t="n">
        <v>0.0538</v>
      </c>
      <c r="H955" s="3" t="n">
        <v>203.52</v>
      </c>
      <c r="I955" s="3" t="n">
        <v>9361.92</v>
      </c>
      <c r="J955" s="3" t="n">
        <v>120.26</v>
      </c>
      <c r="K955" s="3" t="n">
        <v>5531.96</v>
      </c>
      <c r="L955" s="3" t="n">
        <v>3829.96</v>
      </c>
      <c r="M955" s="4" t="n">
        <v>0.4091</v>
      </c>
    </row>
    <row r="956">
      <c r="A956" s="2" t="inlineStr">
        <is>
          <t>SKL-00955</t>
        </is>
      </c>
      <c r="B956" s="2" t="inlineStr">
        <is>
          <t>SIP-0251</t>
        </is>
      </c>
      <c r="C956" s="2" t="inlineStr">
        <is>
          <t>ENDVAN-016</t>
        </is>
      </c>
      <c r="D956" s="5" t="n">
        <v>5</v>
      </c>
      <c r="E956" s="2" t="inlineStr">
        <is>
          <t>Adet</t>
        </is>
      </c>
      <c r="F956" s="3" t="n">
        <v>831.9400000000001</v>
      </c>
      <c r="G956" s="4" t="n">
        <v>0.07049999999999999</v>
      </c>
      <c r="H956" s="3" t="n">
        <v>773.29</v>
      </c>
      <c r="I956" s="3" t="n">
        <v>3866.45</v>
      </c>
      <c r="J956" s="3" t="n">
        <v>674.97</v>
      </c>
      <c r="K956" s="3" t="n">
        <v>3374.85</v>
      </c>
      <c r="L956" s="3" t="n">
        <v>491.6</v>
      </c>
      <c r="M956" s="4" t="n">
        <v>0.1271</v>
      </c>
    </row>
    <row r="957">
      <c r="A957" s="2" t="inlineStr">
        <is>
          <t>SKL-00956</t>
        </is>
      </c>
      <c r="B957" s="2" t="inlineStr">
        <is>
          <t>SIP-0251</t>
        </is>
      </c>
      <c r="C957" s="2" t="inlineStr">
        <is>
          <t>KAR/-011</t>
        </is>
      </c>
      <c r="D957" s="5" t="n">
        <v>3</v>
      </c>
      <c r="E957" s="2" t="inlineStr">
        <is>
          <t>Adet</t>
        </is>
      </c>
      <c r="F957" s="3" t="n">
        <v>8811.26</v>
      </c>
      <c r="G957" s="4" t="n">
        <v>0.0876</v>
      </c>
      <c r="H957" s="3" t="n">
        <v>8039.39</v>
      </c>
      <c r="I957" s="3" t="n">
        <v>24118.17</v>
      </c>
      <c r="J957" s="3" t="n">
        <v>6335.26</v>
      </c>
      <c r="K957" s="3" t="n">
        <v>19005.78</v>
      </c>
      <c r="L957" s="3" t="n">
        <v>5112.39</v>
      </c>
      <c r="M957" s="4" t="n">
        <v>0.212</v>
      </c>
    </row>
    <row r="958">
      <c r="A958" s="2" t="inlineStr">
        <is>
          <t>SKL-00957</t>
        </is>
      </c>
      <c r="B958" s="2" t="inlineStr">
        <is>
          <t>SIP-0251</t>
        </is>
      </c>
      <c r="C958" s="2" t="inlineStr">
        <is>
          <t>ENDVAN-025</t>
        </is>
      </c>
      <c r="D958" s="5" t="n">
        <v>10</v>
      </c>
      <c r="E958" s="2" t="inlineStr">
        <is>
          <t>Adet</t>
        </is>
      </c>
      <c r="F958" s="3" t="n">
        <v>294.92</v>
      </c>
      <c r="G958" s="4" t="n">
        <v>0.074</v>
      </c>
      <c r="H958" s="3" t="n">
        <v>273.1</v>
      </c>
      <c r="I958" s="3" t="n">
        <v>2731</v>
      </c>
      <c r="J958" s="3" t="n">
        <v>205.87</v>
      </c>
      <c r="K958" s="3" t="n">
        <v>2058.7</v>
      </c>
      <c r="L958" s="3" t="n">
        <v>672.3</v>
      </c>
      <c r="M958" s="4" t="n">
        <v>0.2462</v>
      </c>
    </row>
    <row r="959">
      <c r="A959" s="2" t="inlineStr">
        <is>
          <t>SKL-00958</t>
        </is>
      </c>
      <c r="B959" s="2" t="inlineStr">
        <is>
          <t>SIP-0251</t>
        </is>
      </c>
      <c r="C959" s="2" t="inlineStr">
        <is>
          <t>ENDVAN-010</t>
        </is>
      </c>
      <c r="D959" s="5" t="n">
        <v>2</v>
      </c>
      <c r="E959" s="2" t="inlineStr">
        <is>
          <t>Adet</t>
        </is>
      </c>
      <c r="F959" s="3" t="n">
        <v>1233.25</v>
      </c>
      <c r="G959" s="4" t="n">
        <v>0.0867</v>
      </c>
      <c r="H959" s="3" t="n">
        <v>1126.33</v>
      </c>
      <c r="I959" s="3" t="n">
        <v>2252.66</v>
      </c>
      <c r="J959" s="3" t="n">
        <v>891.17</v>
      </c>
      <c r="K959" s="3" t="n">
        <v>1782.34</v>
      </c>
      <c r="L959" s="3" t="n">
        <v>470.32</v>
      </c>
      <c r="M959" s="4" t="n">
        <v>0.2088</v>
      </c>
    </row>
    <row r="960">
      <c r="A960" s="2" t="inlineStr">
        <is>
          <t>SKL-00959</t>
        </is>
      </c>
      <c r="B960" s="2" t="inlineStr">
        <is>
          <t>SIP-0251</t>
        </is>
      </c>
      <c r="C960" s="2" t="inlineStr">
        <is>
          <t>KAR/-012</t>
        </is>
      </c>
      <c r="D960" s="5" t="n">
        <v>1</v>
      </c>
      <c r="E960" s="2" t="inlineStr">
        <is>
          <t>Adet</t>
        </is>
      </c>
      <c r="F960" s="3" t="n">
        <v>7065.66</v>
      </c>
      <c r="G960" s="4" t="n">
        <v>0.1022</v>
      </c>
      <c r="H960" s="3" t="n">
        <v>6343.55</v>
      </c>
      <c r="I960" s="3" t="n">
        <v>6343.55</v>
      </c>
      <c r="J960" s="3" t="n">
        <v>5176.41</v>
      </c>
      <c r="K960" s="3" t="n">
        <v>5176.41</v>
      </c>
      <c r="L960" s="3" t="n">
        <v>1167.14</v>
      </c>
      <c r="M960" s="4" t="n">
        <v>0.184</v>
      </c>
    </row>
    <row r="961">
      <c r="A961" s="2" t="inlineStr">
        <is>
          <t>SKL-00960</t>
        </is>
      </c>
      <c r="B961" s="2" t="inlineStr">
        <is>
          <t>SIP-0251</t>
        </is>
      </c>
      <c r="C961" s="2" t="inlineStr">
        <is>
          <t>ENDVAN-004</t>
        </is>
      </c>
      <c r="D961" s="5" t="n">
        <v>12</v>
      </c>
      <c r="E961" s="2" t="inlineStr">
        <is>
          <t>Adet</t>
        </is>
      </c>
      <c r="F961" s="3" t="n">
        <v>278.67</v>
      </c>
      <c r="G961" s="4" t="n">
        <v>0.0036</v>
      </c>
      <c r="H961" s="3" t="n">
        <v>277.67</v>
      </c>
      <c r="I961" s="3" t="n">
        <v>3332.04</v>
      </c>
      <c r="J961" s="3" t="n">
        <v>212.53</v>
      </c>
      <c r="K961" s="3" t="n">
        <v>2550.36</v>
      </c>
      <c r="L961" s="3" t="n">
        <v>781.6799999999999</v>
      </c>
      <c r="M961" s="4" t="n">
        <v>0.2346</v>
      </c>
    </row>
    <row r="962">
      <c r="A962" s="2" t="inlineStr">
        <is>
          <t>SKL-00961</t>
        </is>
      </c>
      <c r="B962" s="2" t="inlineStr">
        <is>
          <t>SIP-0251</t>
        </is>
      </c>
      <c r="C962" s="2" t="inlineStr">
        <is>
          <t>ENDVAN-019</t>
        </is>
      </c>
      <c r="D962" s="5" t="n">
        <v>19</v>
      </c>
      <c r="E962" s="2" t="inlineStr">
        <is>
          <t>Adet</t>
        </is>
      </c>
      <c r="F962" s="3" t="n">
        <v>765.15</v>
      </c>
      <c r="G962" s="4" t="n">
        <v>0.0549</v>
      </c>
      <c r="H962" s="3" t="n">
        <v>723.14</v>
      </c>
      <c r="I962" s="3" t="n">
        <v>13739.66</v>
      </c>
      <c r="J962" s="3" t="n">
        <v>564.9400000000001</v>
      </c>
      <c r="K962" s="3" t="n">
        <v>10733.86</v>
      </c>
      <c r="L962" s="3" t="n">
        <v>3005.8</v>
      </c>
      <c r="M962" s="4" t="n">
        <v>0.2188</v>
      </c>
    </row>
    <row r="963">
      <c r="A963" s="2" t="inlineStr">
        <is>
          <t>SKL-00962</t>
        </is>
      </c>
      <c r="B963" s="2" t="inlineStr">
        <is>
          <t>SIP-0251</t>
        </is>
      </c>
      <c r="C963" s="2" t="inlineStr">
        <is>
          <t>KAR/-008</t>
        </is>
      </c>
      <c r="D963" s="5" t="n">
        <v>4</v>
      </c>
      <c r="E963" s="2" t="inlineStr">
        <is>
          <t>Adet</t>
        </is>
      </c>
      <c r="F963" s="3" t="n">
        <v>4494.76</v>
      </c>
      <c r="G963" s="4" t="n">
        <v>0.0953</v>
      </c>
      <c r="H963" s="3" t="n">
        <v>4066.41</v>
      </c>
      <c r="I963" s="3" t="n">
        <v>16265.64</v>
      </c>
      <c r="J963" s="3" t="n">
        <v>3361.51</v>
      </c>
      <c r="K963" s="3" t="n">
        <v>13446.04</v>
      </c>
      <c r="L963" s="3" t="n">
        <v>2819.6</v>
      </c>
      <c r="M963" s="4" t="n">
        <v>0.1733</v>
      </c>
    </row>
    <row r="964">
      <c r="A964" s="2" t="inlineStr">
        <is>
          <t>SKL-00963</t>
        </is>
      </c>
      <c r="B964" s="2" t="inlineStr">
        <is>
          <t>SIP-0252</t>
        </is>
      </c>
      <c r="C964" s="2" t="inlineStr">
        <is>
          <t>FLAIZO-002</t>
        </is>
      </c>
      <c r="D964" s="5" t="n">
        <v>20</v>
      </c>
      <c r="E964" s="2" t="inlineStr">
        <is>
          <t>Set</t>
        </is>
      </c>
      <c r="F964" s="3" t="n">
        <v>102.96</v>
      </c>
      <c r="G964" s="4" t="n">
        <v>0.0418</v>
      </c>
      <c r="H964" s="3" t="n">
        <v>98.66</v>
      </c>
      <c r="I964" s="3" t="n">
        <v>1973.2</v>
      </c>
      <c r="J964" s="3" t="n">
        <v>54.73</v>
      </c>
      <c r="K964" s="3" t="n">
        <v>1094.6</v>
      </c>
      <c r="L964" s="3" t="n">
        <v>878.6</v>
      </c>
      <c r="M964" s="4" t="n">
        <v>0.4453</v>
      </c>
    </row>
    <row r="965">
      <c r="A965" s="2" t="inlineStr">
        <is>
          <t>SKL-00964</t>
        </is>
      </c>
      <c r="B965" s="2" t="inlineStr">
        <is>
          <t>SIP-0252</t>
        </is>
      </c>
      <c r="C965" s="2" t="inlineStr">
        <is>
          <t>YAREND-015</t>
        </is>
      </c>
      <c r="D965" s="5" t="n">
        <v>11</v>
      </c>
      <c r="E965" s="2" t="inlineStr">
        <is>
          <t>Adet</t>
        </is>
      </c>
      <c r="F965" s="3" t="n">
        <v>156.02</v>
      </c>
      <c r="G965" s="4" t="n">
        <v>0.0987</v>
      </c>
      <c r="H965" s="3" t="n">
        <v>140.62</v>
      </c>
      <c r="I965" s="3" t="n">
        <v>1546.82</v>
      </c>
      <c r="J965" s="3" t="n">
        <v>114.22</v>
      </c>
      <c r="K965" s="3" t="n">
        <v>1256.42</v>
      </c>
      <c r="L965" s="3" t="n">
        <v>290.4</v>
      </c>
      <c r="M965" s="4" t="n">
        <v>0.1877</v>
      </c>
    </row>
    <row r="966">
      <c r="A966" s="2" t="inlineStr">
        <is>
          <t>SKL-00965</t>
        </is>
      </c>
      <c r="B966" s="2" t="inlineStr">
        <is>
          <t>SIP-0253</t>
        </is>
      </c>
      <c r="C966" s="2" t="inlineStr">
        <is>
          <t>KAR/-012</t>
        </is>
      </c>
      <c r="D966" s="5" t="n">
        <v>3</v>
      </c>
      <c r="E966" s="2" t="inlineStr">
        <is>
          <t>Adet</t>
        </is>
      </c>
      <c r="F966" s="3" t="n">
        <v>7013.6</v>
      </c>
      <c r="G966" s="4" t="n">
        <v>0.0381</v>
      </c>
      <c r="H966" s="3" t="n">
        <v>6746.38</v>
      </c>
      <c r="I966" s="3" t="n">
        <v>20239.14</v>
      </c>
      <c r="J966" s="3" t="n">
        <v>5176.41</v>
      </c>
      <c r="K966" s="3" t="n">
        <v>15529.23</v>
      </c>
      <c r="L966" s="3" t="n">
        <v>4709.91</v>
      </c>
      <c r="M966" s="4" t="n">
        <v>0.2327</v>
      </c>
    </row>
    <row r="967">
      <c r="A967" s="2" t="inlineStr">
        <is>
          <t>SKL-00966</t>
        </is>
      </c>
      <c r="B967" s="2" t="inlineStr">
        <is>
          <t>SIP-0254</t>
        </is>
      </c>
      <c r="C967" s="2" t="inlineStr">
        <is>
          <t>ENDVAN-028</t>
        </is>
      </c>
      <c r="D967" s="5" t="n">
        <v>11</v>
      </c>
      <c r="E967" s="2" t="inlineStr">
        <is>
          <t>Adet</t>
        </is>
      </c>
      <c r="F967" s="3" t="n">
        <v>1160.97</v>
      </c>
      <c r="G967" s="4" t="n">
        <v>0.0581</v>
      </c>
      <c r="H967" s="3" t="n">
        <v>1093.52</v>
      </c>
      <c r="I967" s="3" t="n">
        <v>12028.72</v>
      </c>
      <c r="J967" s="3" t="n">
        <v>812.05</v>
      </c>
      <c r="K967" s="3" t="n">
        <v>8932.549999999999</v>
      </c>
      <c r="L967" s="3" t="n">
        <v>3096.17</v>
      </c>
      <c r="M967" s="4" t="n">
        <v>0.2574</v>
      </c>
    </row>
    <row r="968">
      <c r="A968" s="2" t="inlineStr">
        <is>
          <t>SKL-00967</t>
        </is>
      </c>
      <c r="B968" s="2" t="inlineStr">
        <is>
          <t>SIP-0254</t>
        </is>
      </c>
      <c r="C968" s="2" t="inlineStr">
        <is>
          <t>KAR/-012</t>
        </is>
      </c>
      <c r="D968" s="5" t="n">
        <v>1</v>
      </c>
      <c r="E968" s="2" t="inlineStr">
        <is>
          <t>Adet</t>
        </is>
      </c>
      <c r="F968" s="3" t="n">
        <v>6949.95</v>
      </c>
      <c r="G968" s="4" t="n">
        <v>0.0212</v>
      </c>
      <c r="H968" s="3" t="n">
        <v>6802.61</v>
      </c>
      <c r="I968" s="3" t="n">
        <v>6802.61</v>
      </c>
      <c r="J968" s="3" t="n">
        <v>5176.41</v>
      </c>
      <c r="K968" s="3" t="n">
        <v>5176.41</v>
      </c>
      <c r="L968" s="3" t="n">
        <v>1626.2</v>
      </c>
      <c r="M968" s="4" t="n">
        <v>0.2391</v>
      </c>
    </row>
    <row r="969">
      <c r="A969" s="2" t="inlineStr">
        <is>
          <t>SKL-00968</t>
        </is>
      </c>
      <c r="B969" s="2" t="inlineStr">
        <is>
          <t>SIP-0254</t>
        </is>
      </c>
      <c r="C969" s="2" t="inlineStr">
        <is>
          <t>ENDVAN-010</t>
        </is>
      </c>
      <c r="D969" s="5" t="n">
        <v>5</v>
      </c>
      <c r="E969" s="2" t="inlineStr">
        <is>
          <t>Adet</t>
        </is>
      </c>
      <c r="F969" s="3" t="n">
        <v>1229.66</v>
      </c>
      <c r="G969" s="4" t="n">
        <v>0.0897</v>
      </c>
      <c r="H969" s="3" t="n">
        <v>1119.36</v>
      </c>
      <c r="I969" s="3" t="n">
        <v>5596.8</v>
      </c>
      <c r="J969" s="3" t="n">
        <v>891.17</v>
      </c>
      <c r="K969" s="3" t="n">
        <v>4455.85</v>
      </c>
      <c r="L969" s="3" t="n">
        <v>1140.95</v>
      </c>
      <c r="M969" s="4" t="n">
        <v>0.2039</v>
      </c>
    </row>
    <row r="970">
      <c r="A970" s="2" t="inlineStr">
        <is>
          <t>SKL-00969</t>
        </is>
      </c>
      <c r="B970" s="2" t="inlineStr">
        <is>
          <t>SIP-0254</t>
        </is>
      </c>
      <c r="C970" s="2" t="inlineStr">
        <is>
          <t>FLAIZO-015</t>
        </is>
      </c>
      <c r="D970" s="5" t="n">
        <v>86</v>
      </c>
      <c r="E970" s="2" t="inlineStr">
        <is>
          <t>Set</t>
        </is>
      </c>
      <c r="F970" s="3" t="n">
        <v>182.42</v>
      </c>
      <c r="G970" s="4" t="n">
        <v>0.0876</v>
      </c>
      <c r="H970" s="3" t="n">
        <v>166.44</v>
      </c>
      <c r="I970" s="3" t="n">
        <v>14313.84</v>
      </c>
      <c r="J970" s="3" t="n">
        <v>94.38</v>
      </c>
      <c r="K970" s="3" t="n">
        <v>8116.68</v>
      </c>
      <c r="L970" s="3" t="n">
        <v>6197.16</v>
      </c>
      <c r="M970" s="4" t="n">
        <v>0.4329</v>
      </c>
    </row>
    <row r="971">
      <c r="A971" s="2" t="inlineStr">
        <is>
          <t>SKL-00970</t>
        </is>
      </c>
      <c r="B971" s="2" t="inlineStr">
        <is>
          <t>SIP-0254</t>
        </is>
      </c>
      <c r="C971" s="2" t="inlineStr">
        <is>
          <t>FLAIZO-011</t>
        </is>
      </c>
      <c r="D971" s="5" t="n">
        <v>27</v>
      </c>
      <c r="E971" s="2" t="inlineStr">
        <is>
          <t>Set</t>
        </is>
      </c>
      <c r="F971" s="3" t="n">
        <v>171.95</v>
      </c>
      <c r="G971" s="4" t="n">
        <v>0.0386</v>
      </c>
      <c r="H971" s="3" t="n">
        <v>165.31</v>
      </c>
      <c r="I971" s="3" t="n">
        <v>4463.37</v>
      </c>
      <c r="J971" s="3" t="n">
        <v>86.27</v>
      </c>
      <c r="K971" s="3" t="n">
        <v>2329.29</v>
      </c>
      <c r="L971" s="3" t="n">
        <v>2134.08</v>
      </c>
      <c r="M971" s="4" t="n">
        <v>0.4781</v>
      </c>
    </row>
    <row r="972">
      <c r="A972" s="2" t="inlineStr">
        <is>
          <t>SKL-00971</t>
        </is>
      </c>
      <c r="B972" s="2" t="inlineStr">
        <is>
          <t>SIP-0254</t>
        </is>
      </c>
      <c r="C972" s="2" t="inlineStr">
        <is>
          <t>MEKSIZ-005</t>
        </is>
      </c>
      <c r="D972" s="5" t="n">
        <v>27</v>
      </c>
      <c r="E972" s="2" t="inlineStr">
        <is>
          <t>Adet</t>
        </is>
      </c>
      <c r="F972" s="3" t="n">
        <v>662.74</v>
      </c>
      <c r="G972" s="4" t="n">
        <v>0.0164</v>
      </c>
      <c r="H972" s="3" t="n">
        <v>651.87</v>
      </c>
      <c r="I972" s="3" t="n">
        <v>17600.49</v>
      </c>
      <c r="J972" s="3" t="n">
        <v>370.26</v>
      </c>
      <c r="K972" s="3" t="n">
        <v>9997.02</v>
      </c>
      <c r="L972" s="3" t="n">
        <v>7603.47</v>
      </c>
      <c r="M972" s="4" t="n">
        <v>0.432</v>
      </c>
    </row>
    <row r="973">
      <c r="A973" s="2" t="inlineStr">
        <is>
          <t>SKL-00972</t>
        </is>
      </c>
      <c r="B973" s="2" t="inlineStr">
        <is>
          <t>SIP-0255</t>
        </is>
      </c>
      <c r="C973" s="2" t="inlineStr">
        <is>
          <t>ENDVAN-022</t>
        </is>
      </c>
      <c r="D973" s="5" t="n">
        <v>11</v>
      </c>
      <c r="E973" s="2" t="inlineStr">
        <is>
          <t>Adet</t>
        </is>
      </c>
      <c r="F973" s="3" t="n">
        <v>227.53</v>
      </c>
      <c r="G973" s="4" t="n">
        <v>0.1044</v>
      </c>
      <c r="H973" s="3" t="n">
        <v>203.78</v>
      </c>
      <c r="I973" s="3" t="n">
        <v>2241.58</v>
      </c>
      <c r="J973" s="3" t="n">
        <v>163.9</v>
      </c>
      <c r="K973" s="3" t="n">
        <v>1802.9</v>
      </c>
      <c r="L973" s="3" t="n">
        <v>438.68</v>
      </c>
      <c r="M973" s="4" t="n">
        <v>0.1957</v>
      </c>
    </row>
    <row r="974">
      <c r="A974" s="2" t="inlineStr">
        <is>
          <t>SKL-00973</t>
        </is>
      </c>
      <c r="B974" s="2" t="inlineStr">
        <is>
          <t>SIP-0255</t>
        </is>
      </c>
      <c r="C974" s="2" t="inlineStr">
        <is>
          <t>ENDVAN-004</t>
        </is>
      </c>
      <c r="D974" s="5" t="n">
        <v>15</v>
      </c>
      <c r="E974" s="2" t="inlineStr">
        <is>
          <t>Adet</t>
        </is>
      </c>
      <c r="F974" s="3" t="n">
        <v>277.09</v>
      </c>
      <c r="G974" s="4" t="n">
        <v>0.0252</v>
      </c>
      <c r="H974" s="3" t="n">
        <v>270.11</v>
      </c>
      <c r="I974" s="3" t="n">
        <v>4051.65</v>
      </c>
      <c r="J974" s="3" t="n">
        <v>212.53</v>
      </c>
      <c r="K974" s="3" t="n">
        <v>3187.95</v>
      </c>
      <c r="L974" s="3" t="n">
        <v>863.7</v>
      </c>
      <c r="M974" s="4" t="n">
        <v>0.2132</v>
      </c>
    </row>
    <row r="975">
      <c r="A975" s="2" t="inlineStr">
        <is>
          <t>SKL-00974</t>
        </is>
      </c>
      <c r="B975" s="2" t="inlineStr">
        <is>
          <t>SIP-0255</t>
        </is>
      </c>
      <c r="C975" s="2" t="inlineStr">
        <is>
          <t>ENDVAN-025</t>
        </is>
      </c>
      <c r="D975" s="5" t="n">
        <v>12</v>
      </c>
      <c r="E975" s="2" t="inlineStr">
        <is>
          <t>Adet</t>
        </is>
      </c>
      <c r="F975" s="3" t="n">
        <v>311.55</v>
      </c>
      <c r="G975" s="4" t="n">
        <v>0.092</v>
      </c>
      <c r="H975" s="3" t="n">
        <v>282.89</v>
      </c>
      <c r="I975" s="3" t="n">
        <v>3394.68</v>
      </c>
      <c r="J975" s="3" t="n">
        <v>205.87</v>
      </c>
      <c r="K975" s="3" t="n">
        <v>2470.44</v>
      </c>
      <c r="L975" s="3" t="n">
        <v>924.24</v>
      </c>
      <c r="M975" s="4" t="n">
        <v>0.2723</v>
      </c>
    </row>
    <row r="976">
      <c r="A976" s="2" t="inlineStr">
        <is>
          <t>SKL-00975</t>
        </is>
      </c>
      <c r="B976" s="2" t="inlineStr">
        <is>
          <t>SIP-0255</t>
        </is>
      </c>
      <c r="C976" s="2" t="inlineStr">
        <is>
          <t>ENDVAN-003</t>
        </is>
      </c>
      <c r="D976" s="5" t="n">
        <v>9</v>
      </c>
      <c r="E976" s="2" t="inlineStr">
        <is>
          <t>Adet</t>
        </is>
      </c>
      <c r="F976" s="3" t="n">
        <v>1398.74</v>
      </c>
      <c r="G976" s="4" t="n">
        <v>0.102</v>
      </c>
      <c r="H976" s="3" t="n">
        <v>1256.07</v>
      </c>
      <c r="I976" s="3" t="n">
        <v>11304.63</v>
      </c>
      <c r="J976" s="3" t="n">
        <v>1050.24</v>
      </c>
      <c r="K976" s="3" t="n">
        <v>9452.16</v>
      </c>
      <c r="L976" s="3" t="n">
        <v>1852.47</v>
      </c>
      <c r="M976" s="4" t="n">
        <v>0.1639</v>
      </c>
    </row>
    <row r="977">
      <c r="A977" s="2" t="inlineStr">
        <is>
          <t>SKL-00976</t>
        </is>
      </c>
      <c r="B977" s="2" t="inlineStr">
        <is>
          <t>SIP-0256</t>
        </is>
      </c>
      <c r="C977" s="2" t="inlineStr">
        <is>
          <t>KAR/-001</t>
        </is>
      </c>
      <c r="D977" s="5" t="n">
        <v>2</v>
      </c>
      <c r="E977" s="2" t="inlineStr">
        <is>
          <t>Adet</t>
        </is>
      </c>
      <c r="F977" s="3" t="n">
        <v>9615.65</v>
      </c>
      <c r="G977" s="4" t="n">
        <v>0.09429999999999999</v>
      </c>
      <c r="H977" s="3" t="n">
        <v>8708.889999999999</v>
      </c>
      <c r="I977" s="3" t="n">
        <v>17417.78</v>
      </c>
      <c r="J977" s="3" t="n">
        <v>7519.05</v>
      </c>
      <c r="K977" s="3" t="n">
        <v>15038.1</v>
      </c>
      <c r="L977" s="3" t="n">
        <v>2379.68</v>
      </c>
      <c r="M977" s="4" t="n">
        <v>0.1366</v>
      </c>
    </row>
    <row r="978">
      <c r="A978" s="2" t="inlineStr">
        <is>
          <t>SKL-00977</t>
        </is>
      </c>
      <c r="B978" s="2" t="inlineStr">
        <is>
          <t>SIP-0256</t>
        </is>
      </c>
      <c r="C978" s="2" t="inlineStr">
        <is>
          <t>MEKSIZ-009</t>
        </is>
      </c>
      <c r="D978" s="5" t="n">
        <v>22</v>
      </c>
      <c r="E978" s="2" t="inlineStr">
        <is>
          <t>Adet</t>
        </is>
      </c>
      <c r="F978" s="3" t="n">
        <v>830.2</v>
      </c>
      <c r="G978" s="4" t="n">
        <v>0.09130000000000001</v>
      </c>
      <c r="H978" s="3" t="n">
        <v>754.4</v>
      </c>
      <c r="I978" s="3" t="n">
        <v>16596.8</v>
      </c>
      <c r="J978" s="3" t="n">
        <v>458.31</v>
      </c>
      <c r="K978" s="3" t="n">
        <v>10082.82</v>
      </c>
      <c r="L978" s="3" t="n">
        <v>6513.98</v>
      </c>
      <c r="M978" s="4" t="n">
        <v>0.3925</v>
      </c>
    </row>
    <row r="979">
      <c r="A979" s="2" t="inlineStr">
        <is>
          <t>SKL-00978</t>
        </is>
      </c>
      <c r="B979" s="2" t="inlineStr">
        <is>
          <t>SIP-0256</t>
        </is>
      </c>
      <c r="C979" s="2" t="inlineStr">
        <is>
          <t>ENDVAN-003</t>
        </is>
      </c>
      <c r="D979" s="5" t="n">
        <v>6</v>
      </c>
      <c r="E979" s="2" t="inlineStr">
        <is>
          <t>Adet</t>
        </is>
      </c>
      <c r="F979" s="3" t="n">
        <v>1442.47</v>
      </c>
      <c r="G979" s="4" t="n">
        <v>0.0815</v>
      </c>
      <c r="H979" s="3" t="n">
        <v>1324.91</v>
      </c>
      <c r="I979" s="3" t="n">
        <v>7949.46</v>
      </c>
      <c r="J979" s="3" t="n">
        <v>1050.24</v>
      </c>
      <c r="K979" s="3" t="n">
        <v>6301.44</v>
      </c>
      <c r="L979" s="3" t="n">
        <v>1648.02</v>
      </c>
      <c r="M979" s="4" t="n">
        <v>0.2073</v>
      </c>
    </row>
    <row r="980">
      <c r="A980" s="2" t="inlineStr">
        <is>
          <t>SKL-00979</t>
        </is>
      </c>
      <c r="B980" s="2" t="inlineStr">
        <is>
          <t>SIP-0256</t>
        </is>
      </c>
      <c r="C980" s="2" t="inlineStr">
        <is>
          <t>ENDVAN-032</t>
        </is>
      </c>
      <c r="D980" s="5" t="n">
        <v>17</v>
      </c>
      <c r="E980" s="2" t="inlineStr">
        <is>
          <t>Adet</t>
        </is>
      </c>
      <c r="F980" s="3" t="n">
        <v>974.47</v>
      </c>
      <c r="G980" s="4" t="n">
        <v>0.08550000000000001</v>
      </c>
      <c r="H980" s="3" t="n">
        <v>891.15</v>
      </c>
      <c r="I980" s="3" t="n">
        <v>15149.55</v>
      </c>
      <c r="J980" s="3" t="n">
        <v>641.8099999999999</v>
      </c>
      <c r="K980" s="3" t="n">
        <v>10910.77</v>
      </c>
      <c r="L980" s="3" t="n">
        <v>4238.78</v>
      </c>
      <c r="M980" s="4" t="n">
        <v>0.2798</v>
      </c>
    </row>
    <row r="981">
      <c r="A981" s="2" t="inlineStr">
        <is>
          <t>SKL-00980</t>
        </is>
      </c>
      <c r="B981" s="2" t="inlineStr">
        <is>
          <t>SIP-0256</t>
        </is>
      </c>
      <c r="C981" s="2" t="inlineStr">
        <is>
          <t>ENDVAN-013</t>
        </is>
      </c>
      <c r="D981" s="5" t="n">
        <v>12</v>
      </c>
      <c r="E981" s="2" t="inlineStr">
        <is>
          <t>Adet</t>
        </is>
      </c>
      <c r="F981" s="3" t="n">
        <v>1475.48</v>
      </c>
      <c r="G981" s="4" t="n">
        <v>0.0767</v>
      </c>
      <c r="H981" s="3" t="n">
        <v>1362.31</v>
      </c>
      <c r="I981" s="3" t="n">
        <v>16347.72</v>
      </c>
      <c r="J981" s="3" t="n">
        <v>1133.86</v>
      </c>
      <c r="K981" s="3" t="n">
        <v>13606.32</v>
      </c>
      <c r="L981" s="3" t="n">
        <v>2741.4</v>
      </c>
      <c r="M981" s="4" t="n">
        <v>0.1677</v>
      </c>
    </row>
    <row r="982">
      <c r="A982" s="2" t="inlineStr">
        <is>
          <t>SKL-00981</t>
        </is>
      </c>
      <c r="B982" s="2" t="inlineStr">
        <is>
          <t>SIP-0256</t>
        </is>
      </c>
      <c r="C982" s="2" t="inlineStr">
        <is>
          <t>ENDVAN-022</t>
        </is>
      </c>
      <c r="D982" s="5" t="n">
        <v>12</v>
      </c>
      <c r="E982" s="2" t="inlineStr">
        <is>
          <t>Adet</t>
        </is>
      </c>
      <c r="F982" s="3" t="n">
        <v>205.95</v>
      </c>
      <c r="G982" s="4" t="n">
        <v>0.0053</v>
      </c>
      <c r="H982" s="3" t="n">
        <v>204.86</v>
      </c>
      <c r="I982" s="3" t="n">
        <v>2458.32</v>
      </c>
      <c r="J982" s="3" t="n">
        <v>163.9</v>
      </c>
      <c r="K982" s="3" t="n">
        <v>1966.8</v>
      </c>
      <c r="L982" s="3" t="n">
        <v>491.52</v>
      </c>
      <c r="M982" s="4" t="n">
        <v>0.1999</v>
      </c>
    </row>
    <row r="983">
      <c r="A983" s="2" t="inlineStr">
        <is>
          <t>SKL-00982</t>
        </is>
      </c>
      <c r="B983" s="2" t="inlineStr">
        <is>
          <t>SIP-0256</t>
        </is>
      </c>
      <c r="C983" s="2" t="inlineStr">
        <is>
          <t>YAREND-003</t>
        </is>
      </c>
      <c r="D983" s="5" t="n">
        <v>5</v>
      </c>
      <c r="E983" s="2" t="inlineStr">
        <is>
          <t>Adet</t>
        </is>
      </c>
      <c r="F983" s="3" t="n">
        <v>209.88</v>
      </c>
      <c r="G983" s="4" t="n">
        <v>0.1049</v>
      </c>
      <c r="H983" s="3" t="n">
        <v>187.86</v>
      </c>
      <c r="I983" s="3" t="n">
        <v>939.3</v>
      </c>
      <c r="J983" s="3" t="n">
        <v>159.13</v>
      </c>
      <c r="K983" s="3" t="n">
        <v>795.65</v>
      </c>
      <c r="L983" s="3" t="n">
        <v>143.65</v>
      </c>
      <c r="M983" s="4" t="n">
        <v>0.1529</v>
      </c>
    </row>
    <row r="984">
      <c r="A984" s="2" t="inlineStr">
        <is>
          <t>SKL-00983</t>
        </is>
      </c>
      <c r="B984" s="2" t="inlineStr">
        <is>
          <t>SIP-0257</t>
        </is>
      </c>
      <c r="C984" s="2" t="inlineStr">
        <is>
          <t>YAREND-013</t>
        </is>
      </c>
      <c r="D984" s="5" t="n">
        <v>14</v>
      </c>
      <c r="E984" s="2" t="inlineStr">
        <is>
          <t>Adet</t>
        </is>
      </c>
      <c r="F984" s="3" t="n">
        <v>571.3099999999999</v>
      </c>
      <c r="G984" s="4" t="n">
        <v>0.1003</v>
      </c>
      <c r="H984" s="3" t="n">
        <v>514.01</v>
      </c>
      <c r="I984" s="3" t="n">
        <v>7196.14</v>
      </c>
      <c r="J984" s="3" t="n">
        <v>387.77</v>
      </c>
      <c r="K984" s="3" t="n">
        <v>5428.78</v>
      </c>
      <c r="L984" s="3" t="n">
        <v>1767.36</v>
      </c>
      <c r="M984" s="4" t="n">
        <v>0.2456</v>
      </c>
    </row>
    <row r="985">
      <c r="A985" s="2" t="inlineStr">
        <is>
          <t>SKL-00984</t>
        </is>
      </c>
      <c r="B985" s="2" t="inlineStr">
        <is>
          <t>SIP-0257</t>
        </is>
      </c>
      <c r="C985" s="2" t="inlineStr">
        <is>
          <t>ENDVAN-021</t>
        </is>
      </c>
      <c r="D985" s="5" t="n">
        <v>8</v>
      </c>
      <c r="E985" s="2" t="inlineStr">
        <is>
          <t>Adet</t>
        </is>
      </c>
      <c r="F985" s="3" t="n">
        <v>1012.01</v>
      </c>
      <c r="G985" s="4" t="n">
        <v>0.103</v>
      </c>
      <c r="H985" s="3" t="n">
        <v>907.77</v>
      </c>
      <c r="I985" s="3" t="n">
        <v>7262.16</v>
      </c>
      <c r="J985" s="3" t="n">
        <v>736.7</v>
      </c>
      <c r="K985" s="3" t="n">
        <v>5893.6</v>
      </c>
      <c r="L985" s="3" t="n">
        <v>1368.56</v>
      </c>
      <c r="M985" s="4" t="n">
        <v>0.1885</v>
      </c>
    </row>
    <row r="986">
      <c r="A986" s="2" t="inlineStr">
        <is>
          <t>SKL-00985</t>
        </is>
      </c>
      <c r="B986" s="2" t="inlineStr">
        <is>
          <t>SIP-0257</t>
        </is>
      </c>
      <c r="C986" s="2" t="inlineStr">
        <is>
          <t>ENDVAN-032</t>
        </is>
      </c>
      <c r="D986" s="5" t="n">
        <v>23</v>
      </c>
      <c r="E986" s="2" t="inlineStr">
        <is>
          <t>Adet</t>
        </is>
      </c>
      <c r="F986" s="3" t="n">
        <v>940.14</v>
      </c>
      <c r="G986" s="4" t="n">
        <v>0.0091</v>
      </c>
      <c r="H986" s="3" t="n">
        <v>931.58</v>
      </c>
      <c r="I986" s="3" t="n">
        <v>21426.34</v>
      </c>
      <c r="J986" s="3" t="n">
        <v>641.8099999999999</v>
      </c>
      <c r="K986" s="3" t="n">
        <v>14761.63</v>
      </c>
      <c r="L986" s="3" t="n">
        <v>6664.71</v>
      </c>
      <c r="M986" s="4" t="n">
        <v>0.3111</v>
      </c>
    </row>
    <row r="987">
      <c r="A987" s="2" t="inlineStr">
        <is>
          <t>SKL-00986</t>
        </is>
      </c>
      <c r="B987" s="2" t="inlineStr">
        <is>
          <t>SIP-0257</t>
        </is>
      </c>
      <c r="C987" s="2" t="inlineStr">
        <is>
          <t>ENDVAN-011</t>
        </is>
      </c>
      <c r="D987" s="5" t="n">
        <v>2</v>
      </c>
      <c r="E987" s="2" t="inlineStr">
        <is>
          <t>Adet</t>
        </is>
      </c>
      <c r="F987" s="3" t="n">
        <v>973.03</v>
      </c>
      <c r="G987" s="4" t="n">
        <v>0.083</v>
      </c>
      <c r="H987" s="3" t="n">
        <v>892.27</v>
      </c>
      <c r="I987" s="3" t="n">
        <v>1784.54</v>
      </c>
      <c r="J987" s="3" t="n">
        <v>615.55</v>
      </c>
      <c r="K987" s="3" t="n">
        <v>1231.1</v>
      </c>
      <c r="L987" s="3" t="n">
        <v>553.4400000000001</v>
      </c>
      <c r="M987" s="4" t="n">
        <v>0.3101</v>
      </c>
    </row>
    <row r="988">
      <c r="A988" s="2" t="inlineStr">
        <is>
          <t>SKL-00987</t>
        </is>
      </c>
      <c r="B988" s="2" t="inlineStr">
        <is>
          <t>SIP-0258</t>
        </is>
      </c>
      <c r="C988" s="2" t="inlineStr">
        <is>
          <t>YAREND-010</t>
        </is>
      </c>
      <c r="D988" s="5" t="n">
        <v>15</v>
      </c>
      <c r="E988" s="2" t="inlineStr">
        <is>
          <t>Adet</t>
        </is>
      </c>
      <c r="F988" s="3" t="n">
        <v>923.05</v>
      </c>
      <c r="G988" s="4" t="n">
        <v>0.0712</v>
      </c>
      <c r="H988" s="3" t="n">
        <v>857.33</v>
      </c>
      <c r="I988" s="3" t="n">
        <v>12859.95</v>
      </c>
      <c r="J988" s="3" t="n">
        <v>593.24</v>
      </c>
      <c r="K988" s="3" t="n">
        <v>8898.6</v>
      </c>
      <c r="L988" s="3" t="n">
        <v>3961.35</v>
      </c>
      <c r="M988" s="4" t="n">
        <v>0.308</v>
      </c>
    </row>
    <row r="989">
      <c r="A989" s="2" t="inlineStr">
        <is>
          <t>SKL-00988</t>
        </is>
      </c>
      <c r="B989" s="2" t="inlineStr">
        <is>
          <t>SIP-0258</t>
        </is>
      </c>
      <c r="C989" s="2" t="inlineStr">
        <is>
          <t>ENDVAN-034</t>
        </is>
      </c>
      <c r="D989" s="5" t="n">
        <v>7</v>
      </c>
      <c r="E989" s="2" t="inlineStr">
        <is>
          <t>Adet</t>
        </is>
      </c>
      <c r="F989" s="3" t="n">
        <v>783.64</v>
      </c>
      <c r="G989" s="4" t="n">
        <v>0.0197</v>
      </c>
      <c r="H989" s="3" t="n">
        <v>768.2</v>
      </c>
      <c r="I989" s="3" t="n">
        <v>5377.4</v>
      </c>
      <c r="J989" s="3" t="n">
        <v>595.41</v>
      </c>
      <c r="K989" s="3" t="n">
        <v>4167.87</v>
      </c>
      <c r="L989" s="3" t="n">
        <v>1209.53</v>
      </c>
      <c r="M989" s="4" t="n">
        <v>0.2249</v>
      </c>
    </row>
    <row r="990">
      <c r="A990" s="2" t="inlineStr">
        <is>
          <t>SKL-00989</t>
        </is>
      </c>
      <c r="B990" s="2" t="inlineStr">
        <is>
          <t>SIP-0259</t>
        </is>
      </c>
      <c r="C990" s="2" t="inlineStr">
        <is>
          <t>MEKSIZ-010</t>
        </is>
      </c>
      <c r="D990" s="5" t="n">
        <v>16</v>
      </c>
      <c r="E990" s="2" t="inlineStr">
        <is>
          <t>Adet</t>
        </is>
      </c>
      <c r="F990" s="3" t="n">
        <v>663.42</v>
      </c>
      <c r="G990" s="4" t="n">
        <v>0.003</v>
      </c>
      <c r="H990" s="3" t="n">
        <v>661.4299999999999</v>
      </c>
      <c r="I990" s="3" t="n">
        <v>10582.88</v>
      </c>
      <c r="J990" s="3" t="n">
        <v>421.08</v>
      </c>
      <c r="K990" s="3" t="n">
        <v>6737.28</v>
      </c>
      <c r="L990" s="3" t="n">
        <v>3845.6</v>
      </c>
      <c r="M990" s="4" t="n">
        <v>0.3634</v>
      </c>
    </row>
    <row r="991">
      <c r="A991" s="2" t="inlineStr">
        <is>
          <t>SKL-00990</t>
        </is>
      </c>
      <c r="B991" s="2" t="inlineStr">
        <is>
          <t>SIP-0259</t>
        </is>
      </c>
      <c r="C991" s="2" t="inlineStr">
        <is>
          <t>FLAIZO-007</t>
        </is>
      </c>
      <c r="D991" s="5" t="n">
        <v>26</v>
      </c>
      <c r="E991" s="2" t="inlineStr">
        <is>
          <t>Set</t>
        </is>
      </c>
      <c r="F991" s="3" t="n">
        <v>121.58</v>
      </c>
      <c r="G991" s="4" t="n">
        <v>0.0619</v>
      </c>
      <c r="H991" s="3" t="n">
        <v>114.05</v>
      </c>
      <c r="I991" s="3" t="n">
        <v>2965.3</v>
      </c>
      <c r="J991" s="3" t="n">
        <v>70.09</v>
      </c>
      <c r="K991" s="3" t="n">
        <v>1822.34</v>
      </c>
      <c r="L991" s="3" t="n">
        <v>1142.96</v>
      </c>
      <c r="M991" s="4" t="n">
        <v>0.3854</v>
      </c>
    </row>
    <row r="992">
      <c r="A992" s="2" t="inlineStr">
        <is>
          <t>SKL-00991</t>
        </is>
      </c>
      <c r="B992" s="2" t="inlineStr">
        <is>
          <t>SIP-0260</t>
        </is>
      </c>
      <c r="C992" s="2" t="inlineStr">
        <is>
          <t>KAR/-003</t>
        </is>
      </c>
      <c r="D992" s="5" t="n">
        <v>2</v>
      </c>
      <c r="E992" s="2" t="inlineStr">
        <is>
          <t>Adet</t>
        </is>
      </c>
      <c r="F992" s="3" t="n">
        <v>4764.82</v>
      </c>
      <c r="G992" s="4" t="n">
        <v>0.0591</v>
      </c>
      <c r="H992" s="3" t="n">
        <v>4483.22</v>
      </c>
      <c r="I992" s="3" t="n">
        <v>8966.440000000001</v>
      </c>
      <c r="J992" s="3" t="n">
        <v>3349.2</v>
      </c>
      <c r="K992" s="3" t="n">
        <v>6698.4</v>
      </c>
      <c r="L992" s="3" t="n">
        <v>2268.04</v>
      </c>
      <c r="M992" s="4" t="n">
        <v>0.2529</v>
      </c>
    </row>
    <row r="993">
      <c r="A993" s="2" t="inlineStr">
        <is>
          <t>SKL-00992</t>
        </is>
      </c>
      <c r="B993" s="2" t="inlineStr">
        <is>
          <t>SIP-0260</t>
        </is>
      </c>
      <c r="C993" s="2" t="inlineStr">
        <is>
          <t>ENDVAN-033</t>
        </is>
      </c>
      <c r="D993" s="5" t="n">
        <v>8</v>
      </c>
      <c r="E993" s="2" t="inlineStr">
        <is>
          <t>Adet</t>
        </is>
      </c>
      <c r="F993" s="3" t="n">
        <v>1752.17</v>
      </c>
      <c r="G993" s="4" t="n">
        <v>0.0394</v>
      </c>
      <c r="H993" s="3" t="n">
        <v>1683.13</v>
      </c>
      <c r="I993" s="3" t="n">
        <v>13465.04</v>
      </c>
      <c r="J993" s="3" t="n">
        <v>1125.6</v>
      </c>
      <c r="K993" s="3" t="n">
        <v>9004.799999999999</v>
      </c>
      <c r="L993" s="3" t="n">
        <v>4460.24</v>
      </c>
      <c r="M993" s="4" t="n">
        <v>0.3312</v>
      </c>
    </row>
    <row r="994">
      <c r="A994" s="2" t="inlineStr">
        <is>
          <t>SKL-00993</t>
        </is>
      </c>
      <c r="B994" s="2" t="inlineStr">
        <is>
          <t>SIP-0260</t>
        </is>
      </c>
      <c r="C994" s="2" t="inlineStr">
        <is>
          <t>ENDVAN-025</t>
        </is>
      </c>
      <c r="D994" s="5" t="n">
        <v>3</v>
      </c>
      <c r="E994" s="2" t="inlineStr">
        <is>
          <t>Adet</t>
        </is>
      </c>
      <c r="F994" s="3" t="n">
        <v>288.77</v>
      </c>
      <c r="G994" s="4" t="n">
        <v>0.0478</v>
      </c>
      <c r="H994" s="3" t="n">
        <v>274.97</v>
      </c>
      <c r="I994" s="3" t="n">
        <v>824.91</v>
      </c>
      <c r="J994" s="3" t="n">
        <v>205.87</v>
      </c>
      <c r="K994" s="3" t="n">
        <v>617.61</v>
      </c>
      <c r="L994" s="3" t="n">
        <v>207.3</v>
      </c>
      <c r="M994" s="4" t="n">
        <v>0.2513</v>
      </c>
    </row>
    <row r="995">
      <c r="A995" s="2" t="inlineStr">
        <is>
          <t>SKL-00994</t>
        </is>
      </c>
      <c r="B995" s="2" t="inlineStr">
        <is>
          <t>SIP-0260</t>
        </is>
      </c>
      <c r="C995" s="2" t="inlineStr">
        <is>
          <t>YAREND-009</t>
        </is>
      </c>
      <c r="D995" s="5" t="n">
        <v>16</v>
      </c>
      <c r="E995" s="2" t="inlineStr">
        <is>
          <t>Adet</t>
        </is>
      </c>
      <c r="F995" s="3" t="n">
        <v>1187.22</v>
      </c>
      <c r="G995" s="4" t="n">
        <v>0.0546</v>
      </c>
      <c r="H995" s="3" t="n">
        <v>1122.4</v>
      </c>
      <c r="I995" s="3" t="n">
        <v>17958.4</v>
      </c>
      <c r="J995" s="3" t="n">
        <v>873.73</v>
      </c>
      <c r="K995" s="3" t="n">
        <v>13979.68</v>
      </c>
      <c r="L995" s="3" t="n">
        <v>3978.72</v>
      </c>
      <c r="M995" s="4" t="n">
        <v>0.2216</v>
      </c>
    </row>
    <row r="996">
      <c r="A996" s="2" t="inlineStr">
        <is>
          <t>SKL-00995</t>
        </is>
      </c>
      <c r="B996" s="2" t="inlineStr">
        <is>
          <t>SIP-0260</t>
        </is>
      </c>
      <c r="C996" s="2" t="inlineStr">
        <is>
          <t>ENDVAN-027</t>
        </is>
      </c>
      <c r="D996" s="5" t="n">
        <v>4</v>
      </c>
      <c r="E996" s="2" t="inlineStr">
        <is>
          <t>Adet</t>
        </is>
      </c>
      <c r="F996" s="3" t="n">
        <v>1648.35</v>
      </c>
      <c r="G996" s="4" t="n">
        <v>0.08210000000000001</v>
      </c>
      <c r="H996" s="3" t="n">
        <v>1513.02</v>
      </c>
      <c r="I996" s="3" t="n">
        <v>6052.08</v>
      </c>
      <c r="J996" s="3" t="n">
        <v>1041.65</v>
      </c>
      <c r="K996" s="3" t="n">
        <v>4166.6</v>
      </c>
      <c r="L996" s="3" t="n">
        <v>1885.48</v>
      </c>
      <c r="M996" s="4" t="n">
        <v>0.3115</v>
      </c>
    </row>
    <row r="997">
      <c r="A997" s="2" t="inlineStr">
        <is>
          <t>SKL-00996</t>
        </is>
      </c>
      <c r="B997" s="2" t="inlineStr">
        <is>
          <t>SIP-0261</t>
        </is>
      </c>
      <c r="C997" s="2" t="inlineStr">
        <is>
          <t>MEKSIZ-009</t>
        </is>
      </c>
      <c r="D997" s="5" t="n">
        <v>13</v>
      </c>
      <c r="E997" s="2" t="inlineStr">
        <is>
          <t>Adet</t>
        </is>
      </c>
      <c r="F997" s="3" t="n">
        <v>814.45</v>
      </c>
      <c r="G997" s="4" t="n">
        <v>0.0319</v>
      </c>
      <c r="H997" s="3" t="n">
        <v>788.47</v>
      </c>
      <c r="I997" s="3" t="n">
        <v>10250.11</v>
      </c>
      <c r="J997" s="3" t="n">
        <v>458.31</v>
      </c>
      <c r="K997" s="3" t="n">
        <v>5958.03</v>
      </c>
      <c r="L997" s="3" t="n">
        <v>4292.08</v>
      </c>
      <c r="M997" s="4" t="n">
        <v>0.4187</v>
      </c>
    </row>
    <row r="998">
      <c r="A998" s="2" t="inlineStr">
        <is>
          <t>SKL-00997</t>
        </is>
      </c>
      <c r="B998" s="2" t="inlineStr">
        <is>
          <t>SIP-0261</t>
        </is>
      </c>
      <c r="C998" s="2" t="inlineStr">
        <is>
          <t>ENDVAN-016</t>
        </is>
      </c>
      <c r="D998" s="5" t="n">
        <v>13</v>
      </c>
      <c r="E998" s="2" t="inlineStr">
        <is>
          <t>Adet</t>
        </is>
      </c>
      <c r="F998" s="3" t="n">
        <v>887.72</v>
      </c>
      <c r="G998" s="4" t="n">
        <v>0.055</v>
      </c>
      <c r="H998" s="3" t="n">
        <v>838.9</v>
      </c>
      <c r="I998" s="3" t="n">
        <v>10905.7</v>
      </c>
      <c r="J998" s="3" t="n">
        <v>674.97</v>
      </c>
      <c r="K998" s="3" t="n">
        <v>8774.610000000001</v>
      </c>
      <c r="L998" s="3" t="n">
        <v>2131.09</v>
      </c>
      <c r="M998" s="4" t="n">
        <v>0.1954</v>
      </c>
    </row>
    <row r="999">
      <c r="A999" s="2" t="inlineStr">
        <is>
          <t>SKL-00998</t>
        </is>
      </c>
      <c r="B999" s="2" t="inlineStr">
        <is>
          <t>SIP-0261</t>
        </is>
      </c>
      <c r="C999" s="2" t="inlineStr">
        <is>
          <t>ENDVAN-032</t>
        </is>
      </c>
      <c r="D999" s="5" t="n">
        <v>5</v>
      </c>
      <c r="E999" s="2" t="inlineStr">
        <is>
          <t>Adet</t>
        </is>
      </c>
      <c r="F999" s="3" t="n">
        <v>1060.32</v>
      </c>
      <c r="G999" s="4" t="n">
        <v>0.0376</v>
      </c>
      <c r="H999" s="3" t="n">
        <v>1020.45</v>
      </c>
      <c r="I999" s="3" t="n">
        <v>5102.25</v>
      </c>
      <c r="J999" s="3" t="n">
        <v>641.8099999999999</v>
      </c>
      <c r="K999" s="3" t="n">
        <v>3209.05</v>
      </c>
      <c r="L999" s="3" t="n">
        <v>1893.2</v>
      </c>
      <c r="M999" s="4" t="n">
        <v>0.3711</v>
      </c>
    </row>
    <row r="1000">
      <c r="A1000" s="2" t="inlineStr">
        <is>
          <t>SKL-00999</t>
        </is>
      </c>
      <c r="B1000" s="2" t="inlineStr">
        <is>
          <t>SIP-0261</t>
        </is>
      </c>
      <c r="C1000" s="2" t="inlineStr">
        <is>
          <t>ENDVAN-018</t>
        </is>
      </c>
      <c r="D1000" s="5" t="n">
        <v>13</v>
      </c>
      <c r="E1000" s="2" t="inlineStr">
        <is>
          <t>Adet</t>
        </is>
      </c>
      <c r="F1000" s="3" t="n">
        <v>1109.27</v>
      </c>
      <c r="G1000" s="4" t="n">
        <v>0.0055</v>
      </c>
      <c r="H1000" s="3" t="n">
        <v>1103.17</v>
      </c>
      <c r="I1000" s="3" t="n">
        <v>14341.21</v>
      </c>
      <c r="J1000" s="3" t="n">
        <v>781.12</v>
      </c>
      <c r="K1000" s="3" t="n">
        <v>10154.56</v>
      </c>
      <c r="L1000" s="3" t="n">
        <v>4186.65</v>
      </c>
      <c r="M1000" s="4" t="n">
        <v>0.2919</v>
      </c>
    </row>
    <row r="1001">
      <c r="A1001" s="2" t="inlineStr">
        <is>
          <t>SKL-01000</t>
        </is>
      </c>
      <c r="B1001" s="2" t="inlineStr">
        <is>
          <t>SIP-0262</t>
        </is>
      </c>
      <c r="C1001" s="2" t="inlineStr">
        <is>
          <t>MEKSIZ-012</t>
        </is>
      </c>
      <c r="D1001" s="5" t="n">
        <v>14</v>
      </c>
      <c r="E1001" s="2" t="inlineStr">
        <is>
          <t>Adet</t>
        </is>
      </c>
      <c r="F1001" s="3" t="n">
        <v>477.54</v>
      </c>
      <c r="G1001" s="4" t="n">
        <v>0.0598</v>
      </c>
      <c r="H1001" s="3" t="n">
        <v>448.98</v>
      </c>
      <c r="I1001" s="3" t="n">
        <v>6285.72</v>
      </c>
      <c r="J1001" s="3" t="n">
        <v>282.12</v>
      </c>
      <c r="K1001" s="3" t="n">
        <v>3949.68</v>
      </c>
      <c r="L1001" s="3" t="n">
        <v>2336.04</v>
      </c>
      <c r="M1001" s="4" t="n">
        <v>0.3716</v>
      </c>
    </row>
    <row r="1002">
      <c r="A1002" s="2" t="inlineStr">
        <is>
          <t>SKL-01001</t>
        </is>
      </c>
      <c r="B1002" s="2" t="inlineStr">
        <is>
          <t>SIP-0262</t>
        </is>
      </c>
      <c r="C1002" s="2" t="inlineStr">
        <is>
          <t>MEKSIZ-014</t>
        </is>
      </c>
      <c r="D1002" s="5" t="n">
        <v>17</v>
      </c>
      <c r="E1002" s="2" t="inlineStr">
        <is>
          <t>Adet</t>
        </is>
      </c>
      <c r="F1002" s="3" t="n">
        <v>392.75</v>
      </c>
      <c r="G1002" s="4" t="n">
        <v>0.0555</v>
      </c>
      <c r="H1002" s="3" t="n">
        <v>370.95</v>
      </c>
      <c r="I1002" s="3" t="n">
        <v>6306.15</v>
      </c>
      <c r="J1002" s="3" t="n">
        <v>242.32</v>
      </c>
      <c r="K1002" s="3" t="n">
        <v>4119.44</v>
      </c>
      <c r="L1002" s="3" t="n">
        <v>2186.71</v>
      </c>
      <c r="M1002" s="4" t="n">
        <v>0.3468</v>
      </c>
    </row>
    <row r="1003">
      <c r="A1003" s="2" t="inlineStr">
        <is>
          <t>SKL-01002</t>
        </is>
      </c>
      <c r="B1003" s="2" t="inlineStr">
        <is>
          <t>SIP-0262</t>
        </is>
      </c>
      <c r="C1003" s="2" t="inlineStr">
        <is>
          <t>FLAIZO-008</t>
        </is>
      </c>
      <c r="D1003" s="5" t="n">
        <v>56</v>
      </c>
      <c r="E1003" s="2" t="inlineStr">
        <is>
          <t>Set</t>
        </is>
      </c>
      <c r="F1003" s="3" t="n">
        <v>128.37</v>
      </c>
      <c r="G1003" s="4" t="n">
        <v>0.0596</v>
      </c>
      <c r="H1003" s="3" t="n">
        <v>120.72</v>
      </c>
      <c r="I1003" s="3" t="n">
        <v>6760.32</v>
      </c>
      <c r="J1003" s="3" t="n">
        <v>78.08</v>
      </c>
      <c r="K1003" s="3" t="n">
        <v>4372.48</v>
      </c>
      <c r="L1003" s="3" t="n">
        <v>2387.84</v>
      </c>
      <c r="M1003" s="4" t="n">
        <v>0.3532</v>
      </c>
    </row>
    <row r="1004">
      <c r="A1004" s="2" t="inlineStr">
        <is>
          <t>SKL-01003</t>
        </is>
      </c>
      <c r="B1004" s="2" t="inlineStr">
        <is>
          <t>SIP-0263</t>
        </is>
      </c>
      <c r="C1004" s="2" t="inlineStr">
        <is>
          <t>ENDVAN-008</t>
        </is>
      </c>
      <c r="D1004" s="5" t="n">
        <v>11</v>
      </c>
      <c r="E1004" s="2" t="inlineStr">
        <is>
          <t>Adet</t>
        </is>
      </c>
      <c r="F1004" s="3" t="n">
        <v>585.21</v>
      </c>
      <c r="G1004" s="4" t="n">
        <v>0.07439999999999999</v>
      </c>
      <c r="H1004" s="3" t="n">
        <v>541.67</v>
      </c>
      <c r="I1004" s="3" t="n">
        <v>5958.37</v>
      </c>
      <c r="J1004" s="3" t="n">
        <v>429.42</v>
      </c>
      <c r="K1004" s="3" t="n">
        <v>4723.62</v>
      </c>
      <c r="L1004" s="3" t="n">
        <v>1234.75</v>
      </c>
      <c r="M1004" s="4" t="n">
        <v>0.2072</v>
      </c>
    </row>
    <row r="1005">
      <c r="A1005" s="2" t="inlineStr">
        <is>
          <t>SKL-01004</t>
        </is>
      </c>
      <c r="B1005" s="2" t="inlineStr">
        <is>
          <t>SIP-0263</t>
        </is>
      </c>
      <c r="C1005" s="2" t="inlineStr">
        <is>
          <t>ENDVAN-021</t>
        </is>
      </c>
      <c r="D1005" s="5" t="n">
        <v>20</v>
      </c>
      <c r="E1005" s="2" t="inlineStr">
        <is>
          <t>Adet</t>
        </is>
      </c>
      <c r="F1005" s="3" t="n">
        <v>1077.74</v>
      </c>
      <c r="G1005" s="4" t="n">
        <v>0.0156</v>
      </c>
      <c r="H1005" s="3" t="n">
        <v>1060.93</v>
      </c>
      <c r="I1005" s="3" t="n">
        <v>21218.6</v>
      </c>
      <c r="J1005" s="3" t="n">
        <v>736.7</v>
      </c>
      <c r="K1005" s="3" t="n">
        <v>14734</v>
      </c>
      <c r="L1005" s="3" t="n">
        <v>6484.6</v>
      </c>
      <c r="M1005" s="4" t="n">
        <v>0.3056</v>
      </c>
    </row>
    <row r="1006">
      <c r="A1006" s="2" t="inlineStr">
        <is>
          <t>SKL-01005</t>
        </is>
      </c>
      <c r="B1006" s="2" t="inlineStr">
        <is>
          <t>SIP-0263</t>
        </is>
      </c>
      <c r="C1006" s="2" t="inlineStr">
        <is>
          <t>YAREND-011</t>
        </is>
      </c>
      <c r="D1006" s="5" t="n">
        <v>9</v>
      </c>
      <c r="E1006" s="2" t="inlineStr">
        <is>
          <t>Adet</t>
        </is>
      </c>
      <c r="F1006" s="3" t="n">
        <v>1027.02</v>
      </c>
      <c r="G1006" s="4" t="n">
        <v>0.07870000000000001</v>
      </c>
      <c r="H1006" s="3" t="n">
        <v>946.1900000000001</v>
      </c>
      <c r="I1006" s="3" t="n">
        <v>8515.709999999999</v>
      </c>
      <c r="J1006" s="3" t="n">
        <v>777.02</v>
      </c>
      <c r="K1006" s="3" t="n">
        <v>6993.18</v>
      </c>
      <c r="L1006" s="3" t="n">
        <v>1522.53</v>
      </c>
      <c r="M1006" s="4" t="n">
        <v>0.1788</v>
      </c>
    </row>
    <row r="1007">
      <c r="A1007" s="2" t="inlineStr">
        <is>
          <t>SKL-01006</t>
        </is>
      </c>
      <c r="B1007" s="2" t="inlineStr">
        <is>
          <t>SIP-0263</t>
        </is>
      </c>
      <c r="C1007" s="2" t="inlineStr">
        <is>
          <t>FLAIZO-014</t>
        </is>
      </c>
      <c r="D1007" s="5" t="n">
        <v>73</v>
      </c>
      <c r="E1007" s="2" t="inlineStr">
        <is>
          <t>Set</t>
        </is>
      </c>
      <c r="F1007" s="3" t="n">
        <v>62.81</v>
      </c>
      <c r="G1007" s="4" t="n">
        <v>0.0113</v>
      </c>
      <c r="H1007" s="3" t="n">
        <v>62.1</v>
      </c>
      <c r="I1007" s="3" t="n">
        <v>4533.3</v>
      </c>
      <c r="J1007" s="3" t="n">
        <v>32.61</v>
      </c>
      <c r="K1007" s="3" t="n">
        <v>2380.53</v>
      </c>
      <c r="L1007" s="3" t="n">
        <v>2152.77</v>
      </c>
      <c r="M1007" s="4" t="n">
        <v>0.4749</v>
      </c>
    </row>
    <row r="1008">
      <c r="A1008" s="2" t="inlineStr">
        <is>
          <t>SKL-01007</t>
        </is>
      </c>
      <c r="B1008" s="2" t="inlineStr">
        <is>
          <t>SIP-0263</t>
        </is>
      </c>
      <c r="C1008" s="2" t="inlineStr">
        <is>
          <t>YAREND-007</t>
        </is>
      </c>
      <c r="D1008" s="5" t="n">
        <v>20</v>
      </c>
      <c r="E1008" s="2" t="inlineStr">
        <is>
          <t>Adet</t>
        </is>
      </c>
      <c r="F1008" s="3" t="n">
        <v>648.37</v>
      </c>
      <c r="G1008" s="4" t="n">
        <v>0.012</v>
      </c>
      <c r="H1008" s="3" t="n">
        <v>640.59</v>
      </c>
      <c r="I1008" s="3" t="n">
        <v>12811.8</v>
      </c>
      <c r="J1008" s="3" t="n">
        <v>459.17</v>
      </c>
      <c r="K1008" s="3" t="n">
        <v>9183.4</v>
      </c>
      <c r="L1008" s="3" t="n">
        <v>3628.4</v>
      </c>
      <c r="M1008" s="4" t="n">
        <v>0.2832</v>
      </c>
    </row>
    <row r="1009">
      <c r="A1009" s="2" t="inlineStr">
        <is>
          <t>SKL-01008</t>
        </is>
      </c>
      <c r="B1009" s="2" t="inlineStr">
        <is>
          <t>SIP-0263</t>
        </is>
      </c>
      <c r="C1009" s="2" t="inlineStr">
        <is>
          <t>YAREND-004</t>
        </is>
      </c>
      <c r="D1009" s="5" t="n">
        <v>10</v>
      </c>
      <c r="E1009" s="2" t="inlineStr">
        <is>
          <t>Adet</t>
        </is>
      </c>
      <c r="F1009" s="3" t="n">
        <v>1143.15</v>
      </c>
      <c r="G1009" s="4" t="n">
        <v>0.1059</v>
      </c>
      <c r="H1009" s="3" t="n">
        <v>1022.09</v>
      </c>
      <c r="I1009" s="3" t="n">
        <v>10220.9</v>
      </c>
      <c r="J1009" s="3" t="n">
        <v>774.26</v>
      </c>
      <c r="K1009" s="3" t="n">
        <v>7742.6</v>
      </c>
      <c r="L1009" s="3" t="n">
        <v>2478.3</v>
      </c>
      <c r="M1009" s="4" t="n">
        <v>0.2425</v>
      </c>
    </row>
    <row r="1010">
      <c r="A1010" s="2" t="inlineStr">
        <is>
          <t>SKL-01009</t>
        </is>
      </c>
      <c r="B1010" s="2" t="inlineStr">
        <is>
          <t>SIP-0263</t>
        </is>
      </c>
      <c r="C1010" s="2" t="inlineStr">
        <is>
          <t>ENDVAN-014</t>
        </is>
      </c>
      <c r="D1010" s="5" t="n">
        <v>6</v>
      </c>
      <c r="E1010" s="2" t="inlineStr">
        <is>
          <t>Adet</t>
        </is>
      </c>
      <c r="F1010" s="3" t="n">
        <v>1637.28</v>
      </c>
      <c r="G1010" s="4" t="n">
        <v>0.0161</v>
      </c>
      <c r="H1010" s="3" t="n">
        <v>1610.92</v>
      </c>
      <c r="I1010" s="3" t="n">
        <v>9665.52</v>
      </c>
      <c r="J1010" s="3" t="n">
        <v>1025.06</v>
      </c>
      <c r="K1010" s="3" t="n">
        <v>6150.36</v>
      </c>
      <c r="L1010" s="3" t="n">
        <v>3515.16</v>
      </c>
      <c r="M1010" s="4" t="n">
        <v>0.3637</v>
      </c>
    </row>
    <row r="1011">
      <c r="A1011" s="2" t="inlineStr">
        <is>
          <t>SKL-01010</t>
        </is>
      </c>
      <c r="B1011" s="2" t="inlineStr">
        <is>
          <t>SIP-0264</t>
        </is>
      </c>
      <c r="C1011" s="2" t="inlineStr">
        <is>
          <t>ENDVAN-021</t>
        </is>
      </c>
      <c r="D1011" s="5" t="n">
        <v>21</v>
      </c>
      <c r="E1011" s="2" t="inlineStr">
        <is>
          <t>Adet</t>
        </is>
      </c>
      <c r="F1011" s="3" t="n">
        <v>986.11</v>
      </c>
      <c r="G1011" s="4" t="n">
        <v>0.0123</v>
      </c>
      <c r="H1011" s="3" t="n">
        <v>973.98</v>
      </c>
      <c r="I1011" s="3" t="n">
        <v>20453.58</v>
      </c>
      <c r="J1011" s="3" t="n">
        <v>736.7</v>
      </c>
      <c r="K1011" s="3" t="n">
        <v>15470.7</v>
      </c>
      <c r="L1011" s="3" t="n">
        <v>4982.88</v>
      </c>
      <c r="M1011" s="4" t="n">
        <v>0.2436</v>
      </c>
    </row>
    <row r="1012">
      <c r="A1012" s="2" t="inlineStr">
        <is>
          <t>SKL-01011</t>
        </is>
      </c>
      <c r="B1012" s="2" t="inlineStr">
        <is>
          <t>SIP-0264</t>
        </is>
      </c>
      <c r="C1012" s="2" t="inlineStr">
        <is>
          <t>ENDVAN-027</t>
        </is>
      </c>
      <c r="D1012" s="5" t="n">
        <v>2</v>
      </c>
      <c r="E1012" s="2" t="inlineStr">
        <is>
          <t>Adet</t>
        </is>
      </c>
      <c r="F1012" s="3" t="n">
        <v>1631.74</v>
      </c>
      <c r="G1012" s="4" t="n">
        <v>0.0781</v>
      </c>
      <c r="H1012" s="3" t="n">
        <v>1504.3</v>
      </c>
      <c r="I1012" s="3" t="n">
        <v>3008.6</v>
      </c>
      <c r="J1012" s="3" t="n">
        <v>1041.65</v>
      </c>
      <c r="K1012" s="3" t="n">
        <v>2083.3</v>
      </c>
      <c r="L1012" s="3" t="n">
        <v>925.3</v>
      </c>
      <c r="M1012" s="4" t="n">
        <v>0.3076</v>
      </c>
    </row>
    <row r="1013">
      <c r="A1013" s="2" t="inlineStr">
        <is>
          <t>SKL-01012</t>
        </is>
      </c>
      <c r="B1013" s="2" t="inlineStr">
        <is>
          <t>SIP-0264</t>
        </is>
      </c>
      <c r="C1013" s="2" t="inlineStr">
        <is>
          <t>YAREND-005</t>
        </is>
      </c>
      <c r="D1013" s="5" t="n">
        <v>9</v>
      </c>
      <c r="E1013" s="2" t="inlineStr">
        <is>
          <t>Adet</t>
        </is>
      </c>
      <c r="F1013" s="3" t="n">
        <v>909.12</v>
      </c>
      <c r="G1013" s="4" t="n">
        <v>0.026</v>
      </c>
      <c r="H1013" s="3" t="n">
        <v>885.48</v>
      </c>
      <c r="I1013" s="3" t="n">
        <v>7969.32</v>
      </c>
      <c r="J1013" s="3" t="n">
        <v>729.01</v>
      </c>
      <c r="K1013" s="3" t="n">
        <v>6561.09</v>
      </c>
      <c r="L1013" s="3" t="n">
        <v>1408.23</v>
      </c>
      <c r="M1013" s="4" t="n">
        <v>0.1767</v>
      </c>
    </row>
    <row r="1014">
      <c r="A1014" s="2" t="inlineStr">
        <is>
          <t>SKL-01013</t>
        </is>
      </c>
      <c r="B1014" s="2" t="inlineStr">
        <is>
          <t>SIP-0265</t>
        </is>
      </c>
      <c r="C1014" s="2" t="inlineStr">
        <is>
          <t>YAREND-004</t>
        </is>
      </c>
      <c r="D1014" s="5" t="n">
        <v>10</v>
      </c>
      <c r="E1014" s="2" t="inlineStr">
        <is>
          <t>Adet</t>
        </is>
      </c>
      <c r="F1014" s="3" t="n">
        <v>1100.01</v>
      </c>
      <c r="G1014" s="4" t="n">
        <v>0.0596</v>
      </c>
      <c r="H1014" s="3" t="n">
        <v>1034.45</v>
      </c>
      <c r="I1014" s="3" t="n">
        <v>10344.5</v>
      </c>
      <c r="J1014" s="3" t="n">
        <v>774.26</v>
      </c>
      <c r="K1014" s="3" t="n">
        <v>7742.6</v>
      </c>
      <c r="L1014" s="3" t="n">
        <v>2601.9</v>
      </c>
      <c r="M1014" s="4" t="n">
        <v>0.2515</v>
      </c>
    </row>
    <row r="1015">
      <c r="A1015" s="2" t="inlineStr">
        <is>
          <t>SKL-01014</t>
        </is>
      </c>
      <c r="B1015" s="2" t="inlineStr">
        <is>
          <t>SIP-0265</t>
        </is>
      </c>
      <c r="C1015" s="2" t="inlineStr">
        <is>
          <t>ENDVAN-005</t>
        </is>
      </c>
      <c r="D1015" s="5" t="n">
        <v>4</v>
      </c>
      <c r="E1015" s="2" t="inlineStr">
        <is>
          <t>Adet</t>
        </is>
      </c>
      <c r="F1015" s="3" t="n">
        <v>859.05</v>
      </c>
      <c r="G1015" s="4" t="n">
        <v>0.1089</v>
      </c>
      <c r="H1015" s="3" t="n">
        <v>765.5</v>
      </c>
      <c r="I1015" s="3" t="n">
        <v>3062</v>
      </c>
      <c r="J1015" s="3" t="n">
        <v>653.55</v>
      </c>
      <c r="K1015" s="3" t="n">
        <v>2614.2</v>
      </c>
      <c r="L1015" s="3" t="n">
        <v>447.8</v>
      </c>
      <c r="M1015" s="4" t="n">
        <v>0.1462</v>
      </c>
    </row>
    <row r="1016">
      <c r="A1016" s="2" t="inlineStr">
        <is>
          <t>SKL-01015</t>
        </is>
      </c>
      <c r="B1016" s="2" t="inlineStr">
        <is>
          <t>SIP-0265</t>
        </is>
      </c>
      <c r="C1016" s="2" t="inlineStr">
        <is>
          <t>FLAIZO-004</t>
        </is>
      </c>
      <c r="D1016" s="5" t="n">
        <v>71</v>
      </c>
      <c r="E1016" s="2" t="inlineStr">
        <is>
          <t>Set</t>
        </is>
      </c>
      <c r="F1016" s="3" t="n">
        <v>47.34</v>
      </c>
      <c r="G1016" s="4" t="n">
        <v>0.1065</v>
      </c>
      <c r="H1016" s="3" t="n">
        <v>42.3</v>
      </c>
      <c r="I1016" s="3" t="n">
        <v>3003.3</v>
      </c>
      <c r="J1016" s="3" t="n">
        <v>25.08</v>
      </c>
      <c r="K1016" s="3" t="n">
        <v>1780.68</v>
      </c>
      <c r="L1016" s="3" t="n">
        <v>1222.62</v>
      </c>
      <c r="M1016" s="4" t="n">
        <v>0.4071</v>
      </c>
    </row>
    <row r="1017">
      <c r="A1017" s="2" t="inlineStr">
        <is>
          <t>SKL-01016</t>
        </is>
      </c>
      <c r="B1017" s="2" t="inlineStr">
        <is>
          <t>SIP-0265</t>
        </is>
      </c>
      <c r="C1017" s="2" t="inlineStr">
        <is>
          <t>KAR/-006</t>
        </is>
      </c>
      <c r="D1017" s="5" t="n">
        <v>2</v>
      </c>
      <c r="E1017" s="2" t="inlineStr">
        <is>
          <t>Adet</t>
        </is>
      </c>
      <c r="F1017" s="3" t="n">
        <v>5077.92</v>
      </c>
      <c r="G1017" s="4" t="n">
        <v>0.07240000000000001</v>
      </c>
      <c r="H1017" s="3" t="n">
        <v>4710.28</v>
      </c>
      <c r="I1017" s="3" t="n">
        <v>9420.559999999999</v>
      </c>
      <c r="J1017" s="3" t="n">
        <v>3681.11</v>
      </c>
      <c r="K1017" s="3" t="n">
        <v>7362.22</v>
      </c>
      <c r="L1017" s="3" t="n">
        <v>2058.34</v>
      </c>
      <c r="M1017" s="4" t="n">
        <v>0.2185</v>
      </c>
    </row>
    <row r="1018">
      <c r="A1018" s="2" t="inlineStr">
        <is>
          <t>SKL-01017</t>
        </is>
      </c>
      <c r="B1018" s="2" t="inlineStr">
        <is>
          <t>SIP-0265</t>
        </is>
      </c>
      <c r="C1018" s="2" t="inlineStr">
        <is>
          <t>ENDVAN-003</t>
        </is>
      </c>
      <c r="D1018" s="5" t="n">
        <v>5</v>
      </c>
      <c r="E1018" s="2" t="inlineStr">
        <is>
          <t>Adet</t>
        </is>
      </c>
      <c r="F1018" s="3" t="n">
        <v>1387.82</v>
      </c>
      <c r="G1018" s="4" t="n">
        <v>0.1087</v>
      </c>
      <c r="H1018" s="3" t="n">
        <v>1236.96</v>
      </c>
      <c r="I1018" s="3" t="n">
        <v>6184.8</v>
      </c>
      <c r="J1018" s="3" t="n">
        <v>1050.24</v>
      </c>
      <c r="K1018" s="3" t="n">
        <v>5251.2</v>
      </c>
      <c r="L1018" s="3" t="n">
        <v>933.6</v>
      </c>
      <c r="M1018" s="4" t="n">
        <v>0.151</v>
      </c>
    </row>
    <row r="1019">
      <c r="A1019" s="2" t="inlineStr">
        <is>
          <t>SKL-01018</t>
        </is>
      </c>
      <c r="B1019" s="2" t="inlineStr">
        <is>
          <t>SIP-0266</t>
        </is>
      </c>
      <c r="C1019" s="2" t="inlineStr">
        <is>
          <t>ENDVAN-030</t>
        </is>
      </c>
      <c r="D1019" s="5" t="n">
        <v>6</v>
      </c>
      <c r="E1019" s="2" t="inlineStr">
        <is>
          <t>Adet</t>
        </is>
      </c>
      <c r="F1019" s="3" t="n">
        <v>449.65</v>
      </c>
      <c r="G1019" s="4" t="n">
        <v>0.0197</v>
      </c>
      <c r="H1019" s="3" t="n">
        <v>440.79</v>
      </c>
      <c r="I1019" s="3" t="n">
        <v>2644.74</v>
      </c>
      <c r="J1019" s="3" t="n">
        <v>303.77</v>
      </c>
      <c r="K1019" s="3" t="n">
        <v>1822.62</v>
      </c>
      <c r="L1019" s="3" t="n">
        <v>822.12</v>
      </c>
      <c r="M1019" s="4" t="n">
        <v>0.3109</v>
      </c>
    </row>
    <row r="1020">
      <c r="A1020" s="2" t="inlineStr">
        <is>
          <t>SKL-01019</t>
        </is>
      </c>
      <c r="B1020" s="2" t="inlineStr">
        <is>
          <t>SIP-0266</t>
        </is>
      </c>
      <c r="C1020" s="2" t="inlineStr">
        <is>
          <t>FLAIZO-013</t>
        </is>
      </c>
      <c r="D1020" s="5" t="n">
        <v>22</v>
      </c>
      <c r="E1020" s="2" t="inlineStr">
        <is>
          <t>Set</t>
        </is>
      </c>
      <c r="F1020" s="3" t="n">
        <v>38.19</v>
      </c>
      <c r="G1020" s="4" t="n">
        <v>0.0484</v>
      </c>
      <c r="H1020" s="3" t="n">
        <v>36.34</v>
      </c>
      <c r="I1020" s="3" t="n">
        <v>799.48</v>
      </c>
      <c r="J1020" s="3" t="n">
        <v>19.05</v>
      </c>
      <c r="K1020" s="3" t="n">
        <v>419.1</v>
      </c>
      <c r="L1020" s="3" t="n">
        <v>380.38</v>
      </c>
      <c r="M1020" s="4" t="n">
        <v>0.4758</v>
      </c>
    </row>
    <row r="1021">
      <c r="A1021" s="2" t="inlineStr">
        <is>
          <t>SKL-01020</t>
        </is>
      </c>
      <c r="B1021" s="2" t="inlineStr">
        <is>
          <t>SIP-0266</t>
        </is>
      </c>
      <c r="C1021" s="2" t="inlineStr">
        <is>
          <t>ENDVAN-002</t>
        </is>
      </c>
      <c r="D1021" s="5" t="n">
        <v>21</v>
      </c>
      <c r="E1021" s="2" t="inlineStr">
        <is>
          <t>Adet</t>
        </is>
      </c>
      <c r="F1021" s="3" t="n">
        <v>247.07</v>
      </c>
      <c r="G1021" s="4" t="n">
        <v>0.044</v>
      </c>
      <c r="H1021" s="3" t="n">
        <v>236.2</v>
      </c>
      <c r="I1021" s="3" t="n">
        <v>4960.2</v>
      </c>
      <c r="J1021" s="3" t="n">
        <v>186.74</v>
      </c>
      <c r="K1021" s="3" t="n">
        <v>3921.54</v>
      </c>
      <c r="L1021" s="3" t="n">
        <v>1038.66</v>
      </c>
      <c r="M1021" s="4" t="n">
        <v>0.2094</v>
      </c>
    </row>
    <row r="1022">
      <c r="A1022" s="2" t="inlineStr">
        <is>
          <t>SKL-01021</t>
        </is>
      </c>
      <c r="B1022" s="2" t="inlineStr">
        <is>
          <t>SIP-0266</t>
        </is>
      </c>
      <c r="C1022" s="2" t="inlineStr">
        <is>
          <t>FLAIZO-001</t>
        </is>
      </c>
      <c r="D1022" s="5" t="n">
        <v>35</v>
      </c>
      <c r="E1022" s="2" t="inlineStr">
        <is>
          <t>Set</t>
        </is>
      </c>
      <c r="F1022" s="3" t="n">
        <v>109.85</v>
      </c>
      <c r="G1022" s="4" t="n">
        <v>0.0294</v>
      </c>
      <c r="H1022" s="3" t="n">
        <v>106.62</v>
      </c>
      <c r="I1022" s="3" t="n">
        <v>3731.7</v>
      </c>
      <c r="J1022" s="3" t="n">
        <v>72.90000000000001</v>
      </c>
      <c r="K1022" s="3" t="n">
        <v>2551.5</v>
      </c>
      <c r="L1022" s="3" t="n">
        <v>1180.2</v>
      </c>
      <c r="M1022" s="4" t="n">
        <v>0.3163</v>
      </c>
    </row>
    <row r="1023">
      <c r="A1023" s="2" t="inlineStr">
        <is>
          <t>SKL-01022</t>
        </is>
      </c>
      <c r="B1023" s="2" t="inlineStr">
        <is>
          <t>SIP-0267</t>
        </is>
      </c>
      <c r="C1023" s="2" t="inlineStr">
        <is>
          <t>ENDVAN-033</t>
        </is>
      </c>
      <c r="D1023" s="5" t="n">
        <v>10</v>
      </c>
      <c r="E1023" s="2" t="inlineStr">
        <is>
          <t>Adet</t>
        </is>
      </c>
      <c r="F1023" s="3" t="n">
        <v>1679.36</v>
      </c>
      <c r="G1023" s="4" t="n">
        <v>0.06610000000000001</v>
      </c>
      <c r="H1023" s="3" t="n">
        <v>1568.35</v>
      </c>
      <c r="I1023" s="3" t="n">
        <v>15683.5</v>
      </c>
      <c r="J1023" s="3" t="n">
        <v>1125.6</v>
      </c>
      <c r="K1023" s="3" t="n">
        <v>11256</v>
      </c>
      <c r="L1023" s="3" t="n">
        <v>4427.5</v>
      </c>
      <c r="M1023" s="4" t="n">
        <v>0.2823</v>
      </c>
    </row>
    <row r="1024">
      <c r="A1024" s="2" t="inlineStr">
        <is>
          <t>SKL-01023</t>
        </is>
      </c>
      <c r="B1024" s="2" t="inlineStr">
        <is>
          <t>SIP-0267</t>
        </is>
      </c>
      <c r="C1024" s="2" t="inlineStr">
        <is>
          <t>ENDVAN-019</t>
        </is>
      </c>
      <c r="D1024" s="5" t="n">
        <v>24</v>
      </c>
      <c r="E1024" s="2" t="inlineStr">
        <is>
          <t>Adet</t>
        </is>
      </c>
      <c r="F1024" s="3" t="n">
        <v>747.03</v>
      </c>
      <c r="G1024" s="4" t="n">
        <v>0.074</v>
      </c>
      <c r="H1024" s="3" t="n">
        <v>691.75</v>
      </c>
      <c r="I1024" s="3" t="n">
        <v>16602</v>
      </c>
      <c r="J1024" s="3" t="n">
        <v>564.9400000000001</v>
      </c>
      <c r="K1024" s="3" t="n">
        <v>13558.56</v>
      </c>
      <c r="L1024" s="3" t="n">
        <v>3043.44</v>
      </c>
      <c r="M1024" s="4" t="n">
        <v>0.1833</v>
      </c>
    </row>
    <row r="1025">
      <c r="A1025" s="2" t="inlineStr">
        <is>
          <t>SKL-01024</t>
        </is>
      </c>
      <c r="B1025" s="2" t="inlineStr">
        <is>
          <t>SIP-0267</t>
        </is>
      </c>
      <c r="C1025" s="2" t="inlineStr">
        <is>
          <t>MEKSIZ-007</t>
        </is>
      </c>
      <c r="D1025" s="5" t="n">
        <v>10</v>
      </c>
      <c r="E1025" s="2" t="inlineStr">
        <is>
          <t>Adet</t>
        </is>
      </c>
      <c r="F1025" s="3" t="n">
        <v>475.71</v>
      </c>
      <c r="G1025" s="4" t="n">
        <v>0.037</v>
      </c>
      <c r="H1025" s="3" t="n">
        <v>458.11</v>
      </c>
      <c r="I1025" s="3" t="n">
        <v>4581.1</v>
      </c>
      <c r="J1025" s="3" t="n">
        <v>301.85</v>
      </c>
      <c r="K1025" s="3" t="n">
        <v>3018.5</v>
      </c>
      <c r="L1025" s="3" t="n">
        <v>1562.6</v>
      </c>
      <c r="M1025" s="4" t="n">
        <v>0.3411</v>
      </c>
    </row>
    <row r="1026">
      <c r="A1026" s="2" t="inlineStr">
        <is>
          <t>SKL-01025</t>
        </is>
      </c>
      <c r="B1026" s="2" t="inlineStr">
        <is>
          <t>SIP-0268</t>
        </is>
      </c>
      <c r="C1026" s="2" t="inlineStr">
        <is>
          <t>YAREND-014</t>
        </is>
      </c>
      <c r="D1026" s="5" t="n">
        <v>10</v>
      </c>
      <c r="E1026" s="2" t="inlineStr">
        <is>
          <t>Adet</t>
        </is>
      </c>
      <c r="F1026" s="3" t="n">
        <v>1329.01</v>
      </c>
      <c r="G1026" s="4" t="n">
        <v>0.0597</v>
      </c>
      <c r="H1026" s="3" t="n">
        <v>1249.67</v>
      </c>
      <c r="I1026" s="3" t="n">
        <v>12496.7</v>
      </c>
      <c r="J1026" s="3" t="n">
        <v>823.65</v>
      </c>
      <c r="K1026" s="3" t="n">
        <v>8236.5</v>
      </c>
      <c r="L1026" s="3" t="n">
        <v>4260.2</v>
      </c>
      <c r="M1026" s="4" t="n">
        <v>0.3409</v>
      </c>
    </row>
    <row r="1027">
      <c r="A1027" s="2" t="inlineStr">
        <is>
          <t>SKL-01026</t>
        </is>
      </c>
      <c r="B1027" s="2" t="inlineStr">
        <is>
          <t>SIP-0268</t>
        </is>
      </c>
      <c r="C1027" s="2" t="inlineStr">
        <is>
          <t>YAREND-007</t>
        </is>
      </c>
      <c r="D1027" s="5" t="n">
        <v>4</v>
      </c>
      <c r="E1027" s="2" t="inlineStr">
        <is>
          <t>Adet</t>
        </is>
      </c>
      <c r="F1027" s="3" t="n">
        <v>679.0700000000001</v>
      </c>
      <c r="G1027" s="4" t="n">
        <v>0.06859999999999999</v>
      </c>
      <c r="H1027" s="3" t="n">
        <v>632.49</v>
      </c>
      <c r="I1027" s="3" t="n">
        <v>2529.96</v>
      </c>
      <c r="J1027" s="3" t="n">
        <v>459.17</v>
      </c>
      <c r="K1027" s="3" t="n">
        <v>1836.68</v>
      </c>
      <c r="L1027" s="3" t="n">
        <v>693.28</v>
      </c>
      <c r="M1027" s="4" t="n">
        <v>0.274</v>
      </c>
    </row>
    <row r="1028">
      <c r="A1028" s="2" t="inlineStr">
        <is>
          <t>SKL-01027</t>
        </is>
      </c>
      <c r="B1028" s="2" t="inlineStr">
        <is>
          <t>SIP-0268</t>
        </is>
      </c>
      <c r="C1028" s="2" t="inlineStr">
        <is>
          <t>PROTAN-009</t>
        </is>
      </c>
      <c r="D1028" s="5" t="n">
        <v>1</v>
      </c>
      <c r="E1028" s="2" t="inlineStr">
        <is>
          <t>Adet</t>
        </is>
      </c>
      <c r="F1028" s="3" t="n">
        <v>15747.14</v>
      </c>
      <c r="G1028" s="4" t="n">
        <v>0.081</v>
      </c>
      <c r="H1028" s="3" t="n">
        <v>14471.62</v>
      </c>
      <c r="I1028" s="3" t="n">
        <v>14471.62</v>
      </c>
      <c r="J1028" s="3" t="n">
        <v>12443.59</v>
      </c>
      <c r="K1028" s="3" t="n">
        <v>12443.59</v>
      </c>
      <c r="L1028" s="3" t="n">
        <v>2028.03</v>
      </c>
      <c r="M1028" s="4" t="n">
        <v>0.1401</v>
      </c>
    </row>
    <row r="1029">
      <c r="A1029" s="2" t="inlineStr">
        <is>
          <t>SKL-01028</t>
        </is>
      </c>
      <c r="B1029" s="2" t="inlineStr">
        <is>
          <t>SIP-0269</t>
        </is>
      </c>
      <c r="C1029" s="2" t="inlineStr">
        <is>
          <t>ENDVAN-013</t>
        </is>
      </c>
      <c r="D1029" s="5" t="n">
        <v>16</v>
      </c>
      <c r="E1029" s="2" t="inlineStr">
        <is>
          <t>Adet</t>
        </is>
      </c>
      <c r="F1029" s="3" t="n">
        <v>1504.04</v>
      </c>
      <c r="G1029" s="4" t="n">
        <v>0.0486</v>
      </c>
      <c r="H1029" s="3" t="n">
        <v>1430.94</v>
      </c>
      <c r="I1029" s="3" t="n">
        <v>22895.04</v>
      </c>
      <c r="J1029" s="3" t="n">
        <v>1133.86</v>
      </c>
      <c r="K1029" s="3" t="n">
        <v>18141.76</v>
      </c>
      <c r="L1029" s="3" t="n">
        <v>4753.28</v>
      </c>
      <c r="M1029" s="4" t="n">
        <v>0.2076</v>
      </c>
    </row>
    <row r="1030">
      <c r="A1030" s="2" t="inlineStr">
        <is>
          <t>SKL-01029</t>
        </is>
      </c>
      <c r="B1030" s="2" t="inlineStr">
        <is>
          <t>SIP-0269</t>
        </is>
      </c>
      <c r="C1030" s="2" t="inlineStr">
        <is>
          <t>YAREND-014</t>
        </is>
      </c>
      <c r="D1030" s="5" t="n">
        <v>5</v>
      </c>
      <c r="E1030" s="2" t="inlineStr">
        <is>
          <t>Adet</t>
        </is>
      </c>
      <c r="F1030" s="3" t="n">
        <v>1275.78</v>
      </c>
      <c r="G1030" s="4" t="n">
        <v>0.0344</v>
      </c>
      <c r="H1030" s="3" t="n">
        <v>1231.89</v>
      </c>
      <c r="I1030" s="3" t="n">
        <v>6159.45</v>
      </c>
      <c r="J1030" s="3" t="n">
        <v>823.65</v>
      </c>
      <c r="K1030" s="3" t="n">
        <v>4118.25</v>
      </c>
      <c r="L1030" s="3" t="n">
        <v>2041.2</v>
      </c>
      <c r="M1030" s="4" t="n">
        <v>0.3314</v>
      </c>
    </row>
    <row r="1031">
      <c r="A1031" s="2" t="inlineStr">
        <is>
          <t>SKL-01030</t>
        </is>
      </c>
      <c r="B1031" s="2" t="inlineStr">
        <is>
          <t>SIP-0269</t>
        </is>
      </c>
      <c r="C1031" s="2" t="inlineStr">
        <is>
          <t>KAR/-010</t>
        </is>
      </c>
      <c r="D1031" s="5" t="n">
        <v>4</v>
      </c>
      <c r="E1031" s="2" t="inlineStr">
        <is>
          <t>Adet</t>
        </is>
      </c>
      <c r="F1031" s="3" t="n">
        <v>8738.08</v>
      </c>
      <c r="G1031" s="4" t="n">
        <v>0.0775</v>
      </c>
      <c r="H1031" s="3" t="n">
        <v>8060.88</v>
      </c>
      <c r="I1031" s="3" t="n">
        <v>32243.52</v>
      </c>
      <c r="J1031" s="3" t="n">
        <v>6787.7</v>
      </c>
      <c r="K1031" s="3" t="n">
        <v>27150.8</v>
      </c>
      <c r="L1031" s="3" t="n">
        <v>5092.72</v>
      </c>
      <c r="M1031" s="4" t="n">
        <v>0.1579</v>
      </c>
    </row>
    <row r="1032">
      <c r="A1032" s="2" t="inlineStr">
        <is>
          <t>SKL-01031</t>
        </is>
      </c>
      <c r="B1032" s="2" t="inlineStr">
        <is>
          <t>SIP-0269</t>
        </is>
      </c>
      <c r="C1032" s="2" t="inlineStr">
        <is>
          <t>MEKSIZ-012</t>
        </is>
      </c>
      <c r="D1032" s="5" t="n">
        <v>14</v>
      </c>
      <c r="E1032" s="2" t="inlineStr">
        <is>
          <t>Adet</t>
        </is>
      </c>
      <c r="F1032" s="3" t="n">
        <v>470.49</v>
      </c>
      <c r="G1032" s="4" t="n">
        <v>0.0507</v>
      </c>
      <c r="H1032" s="3" t="n">
        <v>446.64</v>
      </c>
      <c r="I1032" s="3" t="n">
        <v>6252.96</v>
      </c>
      <c r="J1032" s="3" t="n">
        <v>282.12</v>
      </c>
      <c r="K1032" s="3" t="n">
        <v>3949.68</v>
      </c>
      <c r="L1032" s="3" t="n">
        <v>2303.28</v>
      </c>
      <c r="M1032" s="4" t="n">
        <v>0.3684</v>
      </c>
    </row>
    <row r="1033">
      <c r="A1033" s="2" t="inlineStr">
        <is>
          <t>SKL-01032</t>
        </is>
      </c>
      <c r="B1033" s="2" t="inlineStr">
        <is>
          <t>SIP-0270</t>
        </is>
      </c>
      <c r="C1033" s="2" t="inlineStr">
        <is>
          <t>ENDVAN-033</t>
        </is>
      </c>
      <c r="D1033" s="5" t="n">
        <v>5</v>
      </c>
      <c r="E1033" s="2" t="inlineStr">
        <is>
          <t>Adet</t>
        </is>
      </c>
      <c r="F1033" s="3" t="n">
        <v>1774.21</v>
      </c>
      <c r="G1033" s="4" t="n">
        <v>0.0068</v>
      </c>
      <c r="H1033" s="3" t="n">
        <v>1762.15</v>
      </c>
      <c r="I1033" s="3" t="n">
        <v>8810.75</v>
      </c>
      <c r="J1033" s="3" t="n">
        <v>1125.6</v>
      </c>
      <c r="K1033" s="3" t="n">
        <v>5628</v>
      </c>
      <c r="L1033" s="3" t="n">
        <v>3182.75</v>
      </c>
      <c r="M1033" s="4" t="n">
        <v>0.3612</v>
      </c>
    </row>
    <row r="1034">
      <c r="A1034" s="2" t="inlineStr">
        <is>
          <t>SKL-01033</t>
        </is>
      </c>
      <c r="B1034" s="2" t="inlineStr">
        <is>
          <t>SIP-0270</t>
        </is>
      </c>
      <c r="C1034" s="2" t="inlineStr">
        <is>
          <t>ENDVAN-024</t>
        </is>
      </c>
      <c r="D1034" s="5" t="n">
        <v>13</v>
      </c>
      <c r="E1034" s="2" t="inlineStr">
        <is>
          <t>Adet</t>
        </is>
      </c>
      <c r="F1034" s="3" t="n">
        <v>1715.09</v>
      </c>
      <c r="G1034" s="4" t="n">
        <v>0.0398</v>
      </c>
      <c r="H1034" s="3" t="n">
        <v>1646.83</v>
      </c>
      <c r="I1034" s="3" t="n">
        <v>21408.79</v>
      </c>
      <c r="J1034" s="3" t="n">
        <v>1156.64</v>
      </c>
      <c r="K1034" s="3" t="n">
        <v>15036.32</v>
      </c>
      <c r="L1034" s="3" t="n">
        <v>6372.47</v>
      </c>
      <c r="M1034" s="4" t="n">
        <v>0.2977</v>
      </c>
    </row>
    <row r="1035">
      <c r="A1035" s="2" t="inlineStr">
        <is>
          <t>SKL-01034</t>
        </is>
      </c>
      <c r="B1035" s="2" t="inlineStr">
        <is>
          <t>SIP-0270</t>
        </is>
      </c>
      <c r="C1035" s="2" t="inlineStr">
        <is>
          <t>YAREND-007</t>
        </is>
      </c>
      <c r="D1035" s="5" t="n">
        <v>10</v>
      </c>
      <c r="E1035" s="2" t="inlineStr">
        <is>
          <t>Adet</t>
        </is>
      </c>
      <c r="F1035" s="3" t="n">
        <v>630.4</v>
      </c>
      <c r="G1035" s="4" t="n">
        <v>0.0843</v>
      </c>
      <c r="H1035" s="3" t="n">
        <v>577.26</v>
      </c>
      <c r="I1035" s="3" t="n">
        <v>5772.6</v>
      </c>
      <c r="J1035" s="3" t="n">
        <v>459.17</v>
      </c>
      <c r="K1035" s="3" t="n">
        <v>4591.7</v>
      </c>
      <c r="L1035" s="3" t="n">
        <v>1180.9</v>
      </c>
      <c r="M1035" s="4" t="n">
        <v>0.2046</v>
      </c>
    </row>
    <row r="1036">
      <c r="A1036" s="2" t="inlineStr">
        <is>
          <t>SKL-01035</t>
        </is>
      </c>
      <c r="B1036" s="2" t="inlineStr">
        <is>
          <t>SIP-0271</t>
        </is>
      </c>
      <c r="C1036" s="2" t="inlineStr">
        <is>
          <t>ENDVAN-017</t>
        </is>
      </c>
      <c r="D1036" s="5" t="n">
        <v>9</v>
      </c>
      <c r="E1036" s="2" t="inlineStr">
        <is>
          <t>Adet</t>
        </is>
      </c>
      <c r="F1036" s="3" t="n">
        <v>772.62</v>
      </c>
      <c r="G1036" s="4" t="n">
        <v>0.0516</v>
      </c>
      <c r="H1036" s="3" t="n">
        <v>732.75</v>
      </c>
      <c r="I1036" s="3" t="n">
        <v>6594.75</v>
      </c>
      <c r="J1036" s="3" t="n">
        <v>518.3099999999999</v>
      </c>
      <c r="K1036" s="3" t="n">
        <v>4664.79</v>
      </c>
      <c r="L1036" s="3" t="n">
        <v>1929.96</v>
      </c>
      <c r="M1036" s="4" t="n">
        <v>0.2927</v>
      </c>
    </row>
    <row r="1037">
      <c r="A1037" s="2" t="inlineStr">
        <is>
          <t>SKL-01036</t>
        </is>
      </c>
      <c r="B1037" s="2" t="inlineStr">
        <is>
          <t>SIP-0271</t>
        </is>
      </c>
      <c r="C1037" s="2" t="inlineStr">
        <is>
          <t>KAR/-011</t>
        </is>
      </c>
      <c r="D1037" s="5" t="n">
        <v>2</v>
      </c>
      <c r="E1037" s="2" t="inlineStr">
        <is>
          <t>Adet</t>
        </is>
      </c>
      <c r="F1037" s="3" t="n">
        <v>8821.57</v>
      </c>
      <c r="G1037" s="4" t="n">
        <v>0.0458</v>
      </c>
      <c r="H1037" s="3" t="n">
        <v>8417.540000000001</v>
      </c>
      <c r="I1037" s="3" t="n">
        <v>16835.08</v>
      </c>
      <c r="J1037" s="3" t="n">
        <v>6335.26</v>
      </c>
      <c r="K1037" s="3" t="n">
        <v>12670.52</v>
      </c>
      <c r="L1037" s="3" t="n">
        <v>4164.56</v>
      </c>
      <c r="M1037" s="4" t="n">
        <v>0.2474</v>
      </c>
    </row>
    <row r="1038">
      <c r="A1038" s="2" t="inlineStr">
        <is>
          <t>SKL-01037</t>
        </is>
      </c>
      <c r="B1038" s="2" t="inlineStr">
        <is>
          <t>SIP-0271</t>
        </is>
      </c>
      <c r="C1038" s="2" t="inlineStr">
        <is>
          <t>ENDVAN-015</t>
        </is>
      </c>
      <c r="D1038" s="5" t="n">
        <v>6</v>
      </c>
      <c r="E1038" s="2" t="inlineStr">
        <is>
          <t>Adet</t>
        </is>
      </c>
      <c r="F1038" s="3" t="n">
        <v>1626.31</v>
      </c>
      <c r="G1038" s="4" t="n">
        <v>0.0808</v>
      </c>
      <c r="H1038" s="3" t="n">
        <v>1494.9</v>
      </c>
      <c r="I1038" s="3" t="n">
        <v>8969.4</v>
      </c>
      <c r="J1038" s="3" t="n">
        <v>1019.05</v>
      </c>
      <c r="K1038" s="3" t="n">
        <v>6114.3</v>
      </c>
      <c r="L1038" s="3" t="n">
        <v>2855.1</v>
      </c>
      <c r="M1038" s="4" t="n">
        <v>0.3183</v>
      </c>
    </row>
    <row r="1039">
      <c r="A1039" s="2" t="inlineStr">
        <is>
          <t>SKL-01038</t>
        </is>
      </c>
      <c r="B1039" s="2" t="inlineStr">
        <is>
          <t>SIP-0271</t>
        </is>
      </c>
      <c r="C1039" s="2" t="inlineStr">
        <is>
          <t>PROTAN-009</t>
        </is>
      </c>
      <c r="D1039" s="5" t="n">
        <v>2</v>
      </c>
      <c r="E1039" s="2" t="inlineStr">
        <is>
          <t>Adet</t>
        </is>
      </c>
      <c r="F1039" s="3" t="n">
        <v>14418.61</v>
      </c>
      <c r="G1039" s="4" t="n">
        <v>0.06809999999999999</v>
      </c>
      <c r="H1039" s="3" t="n">
        <v>13436.7</v>
      </c>
      <c r="I1039" s="3" t="n">
        <v>26873.4</v>
      </c>
      <c r="J1039" s="3" t="n">
        <v>12443.59</v>
      </c>
      <c r="K1039" s="3" t="n">
        <v>24887.18</v>
      </c>
      <c r="L1039" s="3" t="n">
        <v>1986.22</v>
      </c>
      <c r="M1039" s="4" t="n">
        <v>0.07389999999999999</v>
      </c>
    </row>
    <row r="1040">
      <c r="A1040" s="2" t="inlineStr">
        <is>
          <t>SKL-01039</t>
        </is>
      </c>
      <c r="B1040" s="2" t="inlineStr">
        <is>
          <t>SIP-0271</t>
        </is>
      </c>
      <c r="C1040" s="2" t="inlineStr">
        <is>
          <t>FLAIZO-010</t>
        </is>
      </c>
      <c r="D1040" s="5" t="n">
        <v>15</v>
      </c>
      <c r="E1040" s="2" t="inlineStr">
        <is>
          <t>Set</t>
        </is>
      </c>
      <c r="F1040" s="3" t="n">
        <v>154.08</v>
      </c>
      <c r="G1040" s="4" t="n">
        <v>0.0672</v>
      </c>
      <c r="H1040" s="3" t="n">
        <v>143.73</v>
      </c>
      <c r="I1040" s="3" t="n">
        <v>2155.95</v>
      </c>
      <c r="J1040" s="3" t="n">
        <v>82.88</v>
      </c>
      <c r="K1040" s="3" t="n">
        <v>1243.2</v>
      </c>
      <c r="L1040" s="3" t="n">
        <v>912.75</v>
      </c>
      <c r="M1040" s="4" t="n">
        <v>0.4234</v>
      </c>
    </row>
    <row r="1041">
      <c r="A1041" s="2" t="inlineStr">
        <is>
          <t>SKL-01040</t>
        </is>
      </c>
      <c r="B1041" s="2" t="inlineStr">
        <is>
          <t>SIP-0271</t>
        </is>
      </c>
      <c r="C1041" s="2" t="inlineStr">
        <is>
          <t>MEKSIZ-004</t>
        </is>
      </c>
      <c r="D1041" s="5" t="n">
        <v>9</v>
      </c>
      <c r="E1041" s="2" t="inlineStr">
        <is>
          <t>Adet</t>
        </is>
      </c>
      <c r="F1041" s="3" t="n">
        <v>259.69</v>
      </c>
      <c r="G1041" s="4" t="n">
        <v>0.0851</v>
      </c>
      <c r="H1041" s="3" t="n">
        <v>237.59</v>
      </c>
      <c r="I1041" s="3" t="n">
        <v>2138.31</v>
      </c>
      <c r="J1041" s="3" t="n">
        <v>164.52</v>
      </c>
      <c r="K1041" s="3" t="n">
        <v>1480.68</v>
      </c>
      <c r="L1041" s="3" t="n">
        <v>657.63</v>
      </c>
      <c r="M1041" s="4" t="n">
        <v>0.3075</v>
      </c>
    </row>
    <row r="1042">
      <c r="A1042" s="2" t="inlineStr">
        <is>
          <t>SKL-01041</t>
        </is>
      </c>
      <c r="B1042" s="2" t="inlineStr">
        <is>
          <t>SIP-0272</t>
        </is>
      </c>
      <c r="C1042" s="2" t="inlineStr">
        <is>
          <t>ENDVAN-032</t>
        </is>
      </c>
      <c r="D1042" s="5" t="n">
        <v>5</v>
      </c>
      <c r="E1042" s="2" t="inlineStr">
        <is>
          <t>Adet</t>
        </is>
      </c>
      <c r="F1042" s="3" t="n">
        <v>985.6</v>
      </c>
      <c r="G1042" s="4" t="n">
        <v>0.0421</v>
      </c>
      <c r="H1042" s="3" t="n">
        <v>944.11</v>
      </c>
      <c r="I1042" s="3" t="n">
        <v>4720.55</v>
      </c>
      <c r="J1042" s="3" t="n">
        <v>641.8099999999999</v>
      </c>
      <c r="K1042" s="3" t="n">
        <v>3209.05</v>
      </c>
      <c r="L1042" s="3" t="n">
        <v>1511.5</v>
      </c>
      <c r="M1042" s="4" t="n">
        <v>0.3202</v>
      </c>
    </row>
    <row r="1043">
      <c r="A1043" s="2" t="inlineStr">
        <is>
          <t>SKL-01042</t>
        </is>
      </c>
      <c r="B1043" s="2" t="inlineStr">
        <is>
          <t>SIP-0272</t>
        </is>
      </c>
      <c r="C1043" s="2" t="inlineStr">
        <is>
          <t>ENDVAN-021</t>
        </is>
      </c>
      <c r="D1043" s="5" t="n">
        <v>14</v>
      </c>
      <c r="E1043" s="2" t="inlineStr">
        <is>
          <t>Adet</t>
        </is>
      </c>
      <c r="F1043" s="3" t="n">
        <v>1006.75</v>
      </c>
      <c r="G1043" s="4" t="n">
        <v>0.0596</v>
      </c>
      <c r="H1043" s="3" t="n">
        <v>946.75</v>
      </c>
      <c r="I1043" s="3" t="n">
        <v>13254.5</v>
      </c>
      <c r="J1043" s="3" t="n">
        <v>736.7</v>
      </c>
      <c r="K1043" s="3" t="n">
        <v>10313.8</v>
      </c>
      <c r="L1043" s="3" t="n">
        <v>2940.7</v>
      </c>
      <c r="M1043" s="4" t="n">
        <v>0.2219</v>
      </c>
    </row>
    <row r="1044">
      <c r="A1044" s="2" t="inlineStr">
        <is>
          <t>SKL-01043</t>
        </is>
      </c>
      <c r="B1044" s="2" t="inlineStr">
        <is>
          <t>SIP-0272</t>
        </is>
      </c>
      <c r="C1044" s="2" t="inlineStr">
        <is>
          <t>ENDVAN-031</t>
        </is>
      </c>
      <c r="D1044" s="5" t="n">
        <v>3</v>
      </c>
      <c r="E1044" s="2" t="inlineStr">
        <is>
          <t>Adet</t>
        </is>
      </c>
      <c r="F1044" s="3" t="n">
        <v>320.49</v>
      </c>
      <c r="G1044" s="4" t="n">
        <v>0.0152</v>
      </c>
      <c r="H1044" s="3" t="n">
        <v>315.62</v>
      </c>
      <c r="I1044" s="3" t="n">
        <v>946.86</v>
      </c>
      <c r="J1044" s="3" t="n">
        <v>247.14</v>
      </c>
      <c r="K1044" s="3" t="n">
        <v>741.42</v>
      </c>
      <c r="L1044" s="3" t="n">
        <v>205.44</v>
      </c>
      <c r="M1044" s="4" t="n">
        <v>0.217</v>
      </c>
    </row>
    <row r="1045">
      <c r="A1045" s="2" t="inlineStr">
        <is>
          <t>SKL-01044</t>
        </is>
      </c>
      <c r="B1045" s="2" t="inlineStr">
        <is>
          <t>SIP-0272</t>
        </is>
      </c>
      <c r="C1045" s="2" t="inlineStr">
        <is>
          <t>YAREND-015</t>
        </is>
      </c>
      <c r="D1045" s="5" t="n">
        <v>3</v>
      </c>
      <c r="E1045" s="2" t="inlineStr">
        <is>
          <t>Adet</t>
        </is>
      </c>
      <c r="F1045" s="3" t="n">
        <v>145.37</v>
      </c>
      <c r="G1045" s="4" t="n">
        <v>0.0791</v>
      </c>
      <c r="H1045" s="3" t="n">
        <v>133.87</v>
      </c>
      <c r="I1045" s="3" t="n">
        <v>401.61</v>
      </c>
      <c r="J1045" s="3" t="n">
        <v>114.22</v>
      </c>
      <c r="K1045" s="3" t="n">
        <v>342.66</v>
      </c>
      <c r="L1045" s="3" t="n">
        <v>58.95</v>
      </c>
      <c r="M1045" s="4" t="n">
        <v>0.1468</v>
      </c>
    </row>
    <row r="1046">
      <c r="A1046" s="2" t="inlineStr">
        <is>
          <t>SKL-01045</t>
        </is>
      </c>
      <c r="B1046" s="2" t="inlineStr">
        <is>
          <t>SIP-0273</t>
        </is>
      </c>
      <c r="C1046" s="2" t="inlineStr">
        <is>
          <t>ENDVAN-017</t>
        </is>
      </c>
      <c r="D1046" s="5" t="n">
        <v>7</v>
      </c>
      <c r="E1046" s="2" t="inlineStr">
        <is>
          <t>Adet</t>
        </is>
      </c>
      <c r="F1046" s="3" t="n">
        <v>733.1</v>
      </c>
      <c r="G1046" s="4" t="n">
        <v>0.06560000000000001</v>
      </c>
      <c r="H1046" s="3" t="n">
        <v>685.01</v>
      </c>
      <c r="I1046" s="3" t="n">
        <v>4795.07</v>
      </c>
      <c r="J1046" s="3" t="n">
        <v>518.3099999999999</v>
      </c>
      <c r="K1046" s="3" t="n">
        <v>3628.17</v>
      </c>
      <c r="L1046" s="3" t="n">
        <v>1166.9</v>
      </c>
      <c r="M1046" s="4" t="n">
        <v>0.2434</v>
      </c>
    </row>
    <row r="1047">
      <c r="A1047" s="2" t="inlineStr">
        <is>
          <t>SKL-01046</t>
        </is>
      </c>
      <c r="B1047" s="2" t="inlineStr">
        <is>
          <t>SIP-0274</t>
        </is>
      </c>
      <c r="C1047" s="2" t="inlineStr">
        <is>
          <t>ENDVAN-008</t>
        </is>
      </c>
      <c r="D1047" s="5" t="n">
        <v>15</v>
      </c>
      <c r="E1047" s="2" t="inlineStr">
        <is>
          <t>Adet</t>
        </is>
      </c>
      <c r="F1047" s="3" t="n">
        <v>554.65</v>
      </c>
      <c r="G1047" s="4" t="n">
        <v>0.0203</v>
      </c>
      <c r="H1047" s="3" t="n">
        <v>543.39</v>
      </c>
      <c r="I1047" s="3" t="n">
        <v>8150.85</v>
      </c>
      <c r="J1047" s="3" t="n">
        <v>429.42</v>
      </c>
      <c r="K1047" s="3" t="n">
        <v>6441.3</v>
      </c>
      <c r="L1047" s="3" t="n">
        <v>1709.55</v>
      </c>
      <c r="M1047" s="4" t="n">
        <v>0.2097</v>
      </c>
    </row>
    <row r="1048">
      <c r="A1048" s="2" t="inlineStr">
        <is>
          <t>SKL-01047</t>
        </is>
      </c>
      <c r="B1048" s="2" t="inlineStr">
        <is>
          <t>SIP-0274</t>
        </is>
      </c>
      <c r="C1048" s="2" t="inlineStr">
        <is>
          <t>ENDVAN-023</t>
        </is>
      </c>
      <c r="D1048" s="5" t="n">
        <v>9</v>
      </c>
      <c r="E1048" s="2" t="inlineStr">
        <is>
          <t>Adet</t>
        </is>
      </c>
      <c r="F1048" s="3" t="n">
        <v>1156.46</v>
      </c>
      <c r="G1048" s="4" t="n">
        <v>0.1064</v>
      </c>
      <c r="H1048" s="3" t="n">
        <v>1033.41</v>
      </c>
      <c r="I1048" s="3" t="n">
        <v>9300.690000000001</v>
      </c>
      <c r="J1048" s="3" t="n">
        <v>763.0599999999999</v>
      </c>
      <c r="K1048" s="3" t="n">
        <v>6867.54</v>
      </c>
      <c r="L1048" s="3" t="n">
        <v>2433.15</v>
      </c>
      <c r="M1048" s="4" t="n">
        <v>0.2616</v>
      </c>
    </row>
    <row r="1049">
      <c r="A1049" s="2" t="inlineStr">
        <is>
          <t>SKL-01048</t>
        </is>
      </c>
      <c r="B1049" s="2" t="inlineStr">
        <is>
          <t>SIP-0274</t>
        </is>
      </c>
      <c r="C1049" s="2" t="inlineStr">
        <is>
          <t>ENDVAN-031</t>
        </is>
      </c>
      <c r="D1049" s="5" t="n">
        <v>4</v>
      </c>
      <c r="E1049" s="2" t="inlineStr">
        <is>
          <t>Adet</t>
        </is>
      </c>
      <c r="F1049" s="3" t="n">
        <v>317.11</v>
      </c>
      <c r="G1049" s="4" t="n">
        <v>0.0431</v>
      </c>
      <c r="H1049" s="3" t="n">
        <v>303.44</v>
      </c>
      <c r="I1049" s="3" t="n">
        <v>1213.76</v>
      </c>
      <c r="J1049" s="3" t="n">
        <v>247.14</v>
      </c>
      <c r="K1049" s="3" t="n">
        <v>988.5599999999999</v>
      </c>
      <c r="L1049" s="3" t="n">
        <v>225.2</v>
      </c>
      <c r="M1049" s="4" t="n">
        <v>0.1855</v>
      </c>
    </row>
    <row r="1050">
      <c r="A1050" s="2" t="inlineStr">
        <is>
          <t>SKL-01049</t>
        </is>
      </c>
      <c r="B1050" s="2" t="inlineStr">
        <is>
          <t>SIP-0274</t>
        </is>
      </c>
      <c r="C1050" s="2" t="inlineStr">
        <is>
          <t>FLAIZO-003</t>
        </is>
      </c>
      <c r="D1050" s="5" t="n">
        <v>81</v>
      </c>
      <c r="E1050" s="2" t="inlineStr">
        <is>
          <t>Set</t>
        </is>
      </c>
      <c r="F1050" s="3" t="n">
        <v>156.6</v>
      </c>
      <c r="G1050" s="4" t="n">
        <v>0.0289</v>
      </c>
      <c r="H1050" s="3" t="n">
        <v>152.07</v>
      </c>
      <c r="I1050" s="3" t="n">
        <v>12317.67</v>
      </c>
      <c r="J1050" s="3" t="n">
        <v>90.26000000000001</v>
      </c>
      <c r="K1050" s="3" t="n">
        <v>7311.06</v>
      </c>
      <c r="L1050" s="3" t="n">
        <v>5006.61</v>
      </c>
      <c r="M1050" s="4" t="n">
        <v>0.4065</v>
      </c>
    </row>
    <row r="1051">
      <c r="A1051" s="2" t="inlineStr">
        <is>
          <t>SKL-01050</t>
        </is>
      </c>
      <c r="B1051" s="2" t="inlineStr">
        <is>
          <t>SIP-0274</t>
        </is>
      </c>
      <c r="C1051" s="2" t="inlineStr">
        <is>
          <t>ENDVAN-004</t>
        </is>
      </c>
      <c r="D1051" s="5" t="n">
        <v>5</v>
      </c>
      <c r="E1051" s="2" t="inlineStr">
        <is>
          <t>Adet</t>
        </is>
      </c>
      <c r="F1051" s="3" t="n">
        <v>305.57</v>
      </c>
      <c r="G1051" s="4" t="n">
        <v>0.06510000000000001</v>
      </c>
      <c r="H1051" s="3" t="n">
        <v>285.68</v>
      </c>
      <c r="I1051" s="3" t="n">
        <v>1428.4</v>
      </c>
      <c r="J1051" s="3" t="n">
        <v>212.53</v>
      </c>
      <c r="K1051" s="3" t="n">
        <v>1062.65</v>
      </c>
      <c r="L1051" s="3" t="n">
        <v>365.75</v>
      </c>
      <c r="M1051" s="4" t="n">
        <v>0.2561</v>
      </c>
    </row>
    <row r="1052">
      <c r="A1052" s="2" t="inlineStr">
        <is>
          <t>SKL-01051</t>
        </is>
      </c>
      <c r="B1052" s="2" t="inlineStr">
        <is>
          <t>SIP-0274</t>
        </is>
      </c>
      <c r="C1052" s="2" t="inlineStr">
        <is>
          <t>ENDVAN-003</t>
        </is>
      </c>
      <c r="D1052" s="5" t="n">
        <v>7</v>
      </c>
      <c r="E1052" s="2" t="inlineStr">
        <is>
          <t>Adet</t>
        </is>
      </c>
      <c r="F1052" s="3" t="n">
        <v>1360.5</v>
      </c>
      <c r="G1052" s="4" t="n">
        <v>0.029</v>
      </c>
      <c r="H1052" s="3" t="n">
        <v>1321.05</v>
      </c>
      <c r="I1052" s="3" t="n">
        <v>9247.35</v>
      </c>
      <c r="J1052" s="3" t="n">
        <v>1050.24</v>
      </c>
      <c r="K1052" s="3" t="n">
        <v>7351.68</v>
      </c>
      <c r="L1052" s="3" t="n">
        <v>1895.67</v>
      </c>
      <c r="M1052" s="4" t="n">
        <v>0.205</v>
      </c>
    </row>
    <row r="1053">
      <c r="A1053" s="2" t="inlineStr">
        <is>
          <t>SKL-01052</t>
        </is>
      </c>
      <c r="B1053" s="2" t="inlineStr">
        <is>
          <t>SIP-0275</t>
        </is>
      </c>
      <c r="C1053" s="2" t="inlineStr">
        <is>
          <t>YAREND-011</t>
        </is>
      </c>
      <c r="D1053" s="5" t="n">
        <v>14</v>
      </c>
      <c r="E1053" s="2" t="inlineStr">
        <is>
          <t>Adet</t>
        </is>
      </c>
      <c r="F1053" s="3" t="n">
        <v>1150.11</v>
      </c>
      <c r="G1053" s="4" t="n">
        <v>0.0987</v>
      </c>
      <c r="H1053" s="3" t="n">
        <v>1036.59</v>
      </c>
      <c r="I1053" s="3" t="n">
        <v>14512.26</v>
      </c>
      <c r="J1053" s="3" t="n">
        <v>777.02</v>
      </c>
      <c r="K1053" s="3" t="n">
        <v>10878.28</v>
      </c>
      <c r="L1053" s="3" t="n">
        <v>3633.98</v>
      </c>
      <c r="M1053" s="4" t="n">
        <v>0.2504</v>
      </c>
    </row>
    <row r="1054">
      <c r="A1054" s="2" t="inlineStr">
        <is>
          <t>SKL-01053</t>
        </is>
      </c>
      <c r="B1054" s="2" t="inlineStr">
        <is>
          <t>SIP-0275</t>
        </is>
      </c>
      <c r="C1054" s="2" t="inlineStr">
        <is>
          <t>YAREND-015</t>
        </is>
      </c>
      <c r="D1054" s="5" t="n">
        <v>9</v>
      </c>
      <c r="E1054" s="2" t="inlineStr">
        <is>
          <t>Adet</t>
        </is>
      </c>
      <c r="F1054" s="3" t="n">
        <v>153.22</v>
      </c>
      <c r="G1054" s="4" t="n">
        <v>0.08260000000000001</v>
      </c>
      <c r="H1054" s="3" t="n">
        <v>140.56</v>
      </c>
      <c r="I1054" s="3" t="n">
        <v>1265.04</v>
      </c>
      <c r="J1054" s="3" t="n">
        <v>114.22</v>
      </c>
      <c r="K1054" s="3" t="n">
        <v>1027.98</v>
      </c>
      <c r="L1054" s="3" t="n">
        <v>237.06</v>
      </c>
      <c r="M1054" s="4" t="n">
        <v>0.1874</v>
      </c>
    </row>
    <row r="1055">
      <c r="A1055" s="2" t="inlineStr">
        <is>
          <t>SKL-01054</t>
        </is>
      </c>
      <c r="B1055" s="2" t="inlineStr">
        <is>
          <t>SIP-0276</t>
        </is>
      </c>
      <c r="C1055" s="2" t="inlineStr">
        <is>
          <t>FLAIZO-001</t>
        </is>
      </c>
      <c r="D1055" s="5" t="n">
        <v>71</v>
      </c>
      <c r="E1055" s="2" t="inlineStr">
        <is>
          <t>Set</t>
        </is>
      </c>
      <c r="F1055" s="3" t="n">
        <v>112.9</v>
      </c>
      <c r="G1055" s="4" t="n">
        <v>0.039</v>
      </c>
      <c r="H1055" s="3" t="n">
        <v>108.5</v>
      </c>
      <c r="I1055" s="3" t="n">
        <v>7703.5</v>
      </c>
      <c r="J1055" s="3" t="n">
        <v>72.90000000000001</v>
      </c>
      <c r="K1055" s="3" t="n">
        <v>5175.9</v>
      </c>
      <c r="L1055" s="3" t="n">
        <v>2527.6</v>
      </c>
      <c r="M1055" s="4" t="n">
        <v>0.3281</v>
      </c>
    </row>
    <row r="1056">
      <c r="A1056" s="2" t="inlineStr">
        <is>
          <t>SKL-01055</t>
        </is>
      </c>
      <c r="B1056" s="2" t="inlineStr">
        <is>
          <t>SIP-0276</t>
        </is>
      </c>
      <c r="C1056" s="2" t="inlineStr">
        <is>
          <t>FLAIZO-012</t>
        </is>
      </c>
      <c r="D1056" s="5" t="n">
        <v>16</v>
      </c>
      <c r="E1056" s="2" t="inlineStr">
        <is>
          <t>Set</t>
        </is>
      </c>
      <c r="F1056" s="3" t="n">
        <v>44.81</v>
      </c>
      <c r="G1056" s="4" t="n">
        <v>0.0179</v>
      </c>
      <c r="H1056" s="3" t="n">
        <v>44.01</v>
      </c>
      <c r="I1056" s="3" t="n">
        <v>704.16</v>
      </c>
      <c r="J1056" s="3" t="n">
        <v>30.33</v>
      </c>
      <c r="K1056" s="3" t="n">
        <v>485.28</v>
      </c>
      <c r="L1056" s="3" t="n">
        <v>218.88</v>
      </c>
      <c r="M1056" s="4" t="n">
        <v>0.3108</v>
      </c>
    </row>
    <row r="1057">
      <c r="A1057" s="2" t="inlineStr">
        <is>
          <t>SKL-01056</t>
        </is>
      </c>
      <c r="B1057" s="2" t="inlineStr">
        <is>
          <t>SIP-0276</t>
        </is>
      </c>
      <c r="C1057" s="2" t="inlineStr">
        <is>
          <t>ENDVAN-012</t>
        </is>
      </c>
      <c r="D1057" s="5" t="n">
        <v>3</v>
      </c>
      <c r="E1057" s="2" t="inlineStr">
        <is>
          <t>Adet</t>
        </is>
      </c>
      <c r="F1057" s="3" t="n">
        <v>358.77</v>
      </c>
      <c r="G1057" s="4" t="n">
        <v>0.0803</v>
      </c>
      <c r="H1057" s="3" t="n">
        <v>329.96</v>
      </c>
      <c r="I1057" s="3" t="n">
        <v>989.88</v>
      </c>
      <c r="J1057" s="3" t="n">
        <v>281.71</v>
      </c>
      <c r="K1057" s="3" t="n">
        <v>845.13</v>
      </c>
      <c r="L1057" s="3" t="n">
        <v>144.75</v>
      </c>
      <c r="M1057" s="4" t="n">
        <v>0.1462</v>
      </c>
    </row>
    <row r="1058">
      <c r="A1058" s="2" t="inlineStr">
        <is>
          <t>SKL-01057</t>
        </is>
      </c>
      <c r="B1058" s="2" t="inlineStr">
        <is>
          <t>SIP-0277</t>
        </is>
      </c>
      <c r="C1058" s="2" t="inlineStr">
        <is>
          <t>ENDVAN-018</t>
        </is>
      </c>
      <c r="D1058" s="5" t="n">
        <v>10</v>
      </c>
      <c r="E1058" s="2" t="inlineStr">
        <is>
          <t>Adet</t>
        </is>
      </c>
      <c r="F1058" s="3" t="n">
        <v>1078.87</v>
      </c>
      <c r="G1058" s="4" t="n">
        <v>0.0514</v>
      </c>
      <c r="H1058" s="3" t="n">
        <v>1023.42</v>
      </c>
      <c r="I1058" s="3" t="n">
        <v>10234.2</v>
      </c>
      <c r="J1058" s="3" t="n">
        <v>781.12</v>
      </c>
      <c r="K1058" s="3" t="n">
        <v>7811.2</v>
      </c>
      <c r="L1058" s="3" t="n">
        <v>2423</v>
      </c>
      <c r="M1058" s="4" t="n">
        <v>0.2368</v>
      </c>
    </row>
    <row r="1059">
      <c r="A1059" s="2" t="inlineStr">
        <is>
          <t>SKL-01058</t>
        </is>
      </c>
      <c r="B1059" s="2" t="inlineStr">
        <is>
          <t>SIP-0277</t>
        </is>
      </c>
      <c r="C1059" s="2" t="inlineStr">
        <is>
          <t>YAREND-006</t>
        </is>
      </c>
      <c r="D1059" s="5" t="n">
        <v>6</v>
      </c>
      <c r="E1059" s="2" t="inlineStr">
        <is>
          <t>Adet</t>
        </is>
      </c>
      <c r="F1059" s="3" t="n">
        <v>512.23</v>
      </c>
      <c r="G1059" s="4" t="n">
        <v>0.1032</v>
      </c>
      <c r="H1059" s="3" t="n">
        <v>459.37</v>
      </c>
      <c r="I1059" s="3" t="n">
        <v>2756.22</v>
      </c>
      <c r="J1059" s="3" t="n">
        <v>363.57</v>
      </c>
      <c r="K1059" s="3" t="n">
        <v>2181.42</v>
      </c>
      <c r="L1059" s="3" t="n">
        <v>574.8</v>
      </c>
      <c r="M1059" s="4" t="n">
        <v>0.2085</v>
      </c>
    </row>
    <row r="1060">
      <c r="A1060" s="2" t="inlineStr">
        <is>
          <t>SKL-01059</t>
        </is>
      </c>
      <c r="B1060" s="2" t="inlineStr">
        <is>
          <t>SIP-0277</t>
        </is>
      </c>
      <c r="C1060" s="2" t="inlineStr">
        <is>
          <t>YAREND-006</t>
        </is>
      </c>
      <c r="D1060" s="5" t="n">
        <v>3</v>
      </c>
      <c r="E1060" s="2" t="inlineStr">
        <is>
          <t>Adet</t>
        </is>
      </c>
      <c r="F1060" s="3" t="n">
        <v>546.64</v>
      </c>
      <c r="G1060" s="4" t="n">
        <v>0.0239</v>
      </c>
      <c r="H1060" s="3" t="n">
        <v>533.58</v>
      </c>
      <c r="I1060" s="3" t="n">
        <v>1600.74</v>
      </c>
      <c r="J1060" s="3" t="n">
        <v>363.57</v>
      </c>
      <c r="K1060" s="3" t="n">
        <v>1090.71</v>
      </c>
      <c r="L1060" s="3" t="n">
        <v>510.03</v>
      </c>
      <c r="M1060" s="4" t="n">
        <v>0.3186</v>
      </c>
    </row>
    <row r="1061">
      <c r="A1061" s="2" t="inlineStr">
        <is>
          <t>SKL-01060</t>
        </is>
      </c>
      <c r="B1061" s="2" t="inlineStr">
        <is>
          <t>SIP-0277</t>
        </is>
      </c>
      <c r="C1061" s="2" t="inlineStr">
        <is>
          <t>MEKSIZ-005</t>
        </is>
      </c>
      <c r="D1061" s="5" t="n">
        <v>25</v>
      </c>
      <c r="E1061" s="2" t="inlineStr">
        <is>
          <t>Adet</t>
        </is>
      </c>
      <c r="F1061" s="3" t="n">
        <v>690.6799999999999</v>
      </c>
      <c r="G1061" s="4" t="n">
        <v>0.0755</v>
      </c>
      <c r="H1061" s="3" t="n">
        <v>638.53</v>
      </c>
      <c r="I1061" s="3" t="n">
        <v>15963.25</v>
      </c>
      <c r="J1061" s="3" t="n">
        <v>370.26</v>
      </c>
      <c r="K1061" s="3" t="n">
        <v>9256.5</v>
      </c>
      <c r="L1061" s="3" t="n">
        <v>6706.75</v>
      </c>
      <c r="M1061" s="4" t="n">
        <v>0.4201</v>
      </c>
    </row>
    <row r="1062">
      <c r="A1062" s="2" t="inlineStr">
        <is>
          <t>SKL-01061</t>
        </is>
      </c>
      <c r="B1062" s="2" t="inlineStr">
        <is>
          <t>SIP-0278</t>
        </is>
      </c>
      <c r="C1062" s="2" t="inlineStr">
        <is>
          <t>ENDVAN-009</t>
        </is>
      </c>
      <c r="D1062" s="5" t="n">
        <v>5</v>
      </c>
      <c r="E1062" s="2" t="inlineStr">
        <is>
          <t>Adet</t>
        </is>
      </c>
      <c r="F1062" s="3" t="n">
        <v>576.36</v>
      </c>
      <c r="G1062" s="4" t="n">
        <v>0.08019999999999999</v>
      </c>
      <c r="H1062" s="3" t="n">
        <v>530.14</v>
      </c>
      <c r="I1062" s="3" t="n">
        <v>2650.7</v>
      </c>
      <c r="J1062" s="3" t="n">
        <v>411.64</v>
      </c>
      <c r="K1062" s="3" t="n">
        <v>2058.2</v>
      </c>
      <c r="L1062" s="3" t="n">
        <v>592.5</v>
      </c>
      <c r="M1062" s="4" t="n">
        <v>0.2235</v>
      </c>
    </row>
    <row r="1063">
      <c r="A1063" s="2" t="inlineStr">
        <is>
          <t>SKL-01062</t>
        </is>
      </c>
      <c r="B1063" s="2" t="inlineStr">
        <is>
          <t>SIP-0278</t>
        </is>
      </c>
      <c r="C1063" s="2" t="inlineStr">
        <is>
          <t>ENDVAN-012</t>
        </is>
      </c>
      <c r="D1063" s="5" t="n">
        <v>4</v>
      </c>
      <c r="E1063" s="2" t="inlineStr">
        <is>
          <t>Adet</t>
        </is>
      </c>
      <c r="F1063" s="3" t="n">
        <v>345.11</v>
      </c>
      <c r="G1063" s="4" t="n">
        <v>0.0021</v>
      </c>
      <c r="H1063" s="3" t="n">
        <v>344.39</v>
      </c>
      <c r="I1063" s="3" t="n">
        <v>1377.56</v>
      </c>
      <c r="J1063" s="3" t="n">
        <v>281.71</v>
      </c>
      <c r="K1063" s="3" t="n">
        <v>1126.84</v>
      </c>
      <c r="L1063" s="3" t="n">
        <v>250.72</v>
      </c>
      <c r="M1063" s="4" t="n">
        <v>0.182</v>
      </c>
    </row>
    <row r="1064">
      <c r="A1064" s="2" t="inlineStr">
        <is>
          <t>SKL-01063</t>
        </is>
      </c>
      <c r="B1064" s="2" t="inlineStr">
        <is>
          <t>SIP-0278</t>
        </is>
      </c>
      <c r="C1064" s="2" t="inlineStr">
        <is>
          <t>FLAIZO-015</t>
        </is>
      </c>
      <c r="D1064" s="5" t="n">
        <v>44</v>
      </c>
      <c r="E1064" s="2" t="inlineStr">
        <is>
          <t>Set</t>
        </is>
      </c>
      <c r="F1064" s="3" t="n">
        <v>183.61</v>
      </c>
      <c r="G1064" s="4" t="n">
        <v>0.0263</v>
      </c>
      <c r="H1064" s="3" t="n">
        <v>178.78</v>
      </c>
      <c r="I1064" s="3" t="n">
        <v>7866.32</v>
      </c>
      <c r="J1064" s="3" t="n">
        <v>94.38</v>
      </c>
      <c r="K1064" s="3" t="n">
        <v>4152.72</v>
      </c>
      <c r="L1064" s="3" t="n">
        <v>3713.6</v>
      </c>
      <c r="M1064" s="4" t="n">
        <v>0.4721</v>
      </c>
    </row>
    <row r="1065">
      <c r="A1065" s="2" t="inlineStr">
        <is>
          <t>SKL-01064</t>
        </is>
      </c>
      <c r="B1065" s="2" t="inlineStr">
        <is>
          <t>SIP-0278</t>
        </is>
      </c>
      <c r="C1065" s="2" t="inlineStr">
        <is>
          <t>FLAIZO-011</t>
        </is>
      </c>
      <c r="D1065" s="5" t="n">
        <v>78</v>
      </c>
      <c r="E1065" s="2" t="inlineStr">
        <is>
          <t>Set</t>
        </is>
      </c>
      <c r="F1065" s="3" t="n">
        <v>166.9</v>
      </c>
      <c r="G1065" s="4" t="n">
        <v>0.0829</v>
      </c>
      <c r="H1065" s="3" t="n">
        <v>153.06</v>
      </c>
      <c r="I1065" s="3" t="n">
        <v>11938.68</v>
      </c>
      <c r="J1065" s="3" t="n">
        <v>86.27</v>
      </c>
      <c r="K1065" s="3" t="n">
        <v>6729.06</v>
      </c>
      <c r="L1065" s="3" t="n">
        <v>5209.62</v>
      </c>
      <c r="M1065" s="4" t="n">
        <v>0.4364</v>
      </c>
    </row>
    <row r="1066">
      <c r="A1066" s="2" t="inlineStr">
        <is>
          <t>SKL-01065</t>
        </is>
      </c>
      <c r="B1066" s="2" t="inlineStr">
        <is>
          <t>SIP-0278</t>
        </is>
      </c>
      <c r="C1066" s="2" t="inlineStr">
        <is>
          <t>ENDVAN-027</t>
        </is>
      </c>
      <c r="D1066" s="5" t="n">
        <v>4</v>
      </c>
      <c r="E1066" s="2" t="inlineStr">
        <is>
          <t>Adet</t>
        </is>
      </c>
      <c r="F1066" s="3" t="n">
        <v>1647.03</v>
      </c>
      <c r="G1066" s="4" t="n">
        <v>0.095</v>
      </c>
      <c r="H1066" s="3" t="n">
        <v>1490.56</v>
      </c>
      <c r="I1066" s="3" t="n">
        <v>5962.24</v>
      </c>
      <c r="J1066" s="3" t="n">
        <v>1041.65</v>
      </c>
      <c r="K1066" s="3" t="n">
        <v>4166.6</v>
      </c>
      <c r="L1066" s="3" t="n">
        <v>1795.64</v>
      </c>
      <c r="M1066" s="4" t="n">
        <v>0.3012</v>
      </c>
    </row>
    <row r="1067">
      <c r="A1067" s="2" t="inlineStr">
        <is>
          <t>SKL-01066</t>
        </is>
      </c>
      <c r="B1067" s="2" t="inlineStr">
        <is>
          <t>SIP-0278</t>
        </is>
      </c>
      <c r="C1067" s="2" t="inlineStr">
        <is>
          <t>ENDVAN-022</t>
        </is>
      </c>
      <c r="D1067" s="5" t="n">
        <v>9</v>
      </c>
      <c r="E1067" s="2" t="inlineStr">
        <is>
          <t>Adet</t>
        </is>
      </c>
      <c r="F1067" s="3" t="n">
        <v>219.21</v>
      </c>
      <c r="G1067" s="4" t="n">
        <v>0.08400000000000001</v>
      </c>
      <c r="H1067" s="3" t="n">
        <v>200.8</v>
      </c>
      <c r="I1067" s="3" t="n">
        <v>1807.2</v>
      </c>
      <c r="J1067" s="3" t="n">
        <v>163.9</v>
      </c>
      <c r="K1067" s="3" t="n">
        <v>1475.1</v>
      </c>
      <c r="L1067" s="3" t="n">
        <v>332.1</v>
      </c>
      <c r="M1067" s="4" t="n">
        <v>0.1838</v>
      </c>
    </row>
    <row r="1068">
      <c r="A1068" s="2" t="inlineStr">
        <is>
          <t>SKL-01067</t>
        </is>
      </c>
      <c r="B1068" s="2" t="inlineStr">
        <is>
          <t>SIP-0279</t>
        </is>
      </c>
      <c r="C1068" s="2" t="inlineStr">
        <is>
          <t>ENDVAN-024</t>
        </is>
      </c>
      <c r="D1068" s="5" t="n">
        <v>6</v>
      </c>
      <c r="E1068" s="2" t="inlineStr">
        <is>
          <t>Adet</t>
        </is>
      </c>
      <c r="F1068" s="3" t="n">
        <v>1757.26</v>
      </c>
      <c r="G1068" s="4" t="n">
        <v>0.0411</v>
      </c>
      <c r="H1068" s="3" t="n">
        <v>1685.04</v>
      </c>
      <c r="I1068" s="3" t="n">
        <v>10110.24</v>
      </c>
      <c r="J1068" s="3" t="n">
        <v>1156.64</v>
      </c>
      <c r="K1068" s="3" t="n">
        <v>6939.84</v>
      </c>
      <c r="L1068" s="3" t="n">
        <v>3170.4</v>
      </c>
      <c r="M1068" s="4" t="n">
        <v>0.3136</v>
      </c>
    </row>
    <row r="1069">
      <c r="A1069" s="2" t="inlineStr">
        <is>
          <t>SKL-01068</t>
        </is>
      </c>
      <c r="B1069" s="2" t="inlineStr">
        <is>
          <t>SIP-0279</t>
        </is>
      </c>
      <c r="C1069" s="2" t="inlineStr">
        <is>
          <t>FLAIZO-002</t>
        </is>
      </c>
      <c r="D1069" s="5" t="n">
        <v>80</v>
      </c>
      <c r="E1069" s="2" t="inlineStr">
        <is>
          <t>Set</t>
        </is>
      </c>
      <c r="F1069" s="3" t="n">
        <v>105.99</v>
      </c>
      <c r="G1069" s="4" t="n">
        <v>0.027</v>
      </c>
      <c r="H1069" s="3" t="n">
        <v>103.13</v>
      </c>
      <c r="I1069" s="3" t="n">
        <v>8250.4</v>
      </c>
      <c r="J1069" s="3" t="n">
        <v>54.73</v>
      </c>
      <c r="K1069" s="3" t="n">
        <v>4378.4</v>
      </c>
      <c r="L1069" s="3" t="n">
        <v>3872</v>
      </c>
      <c r="M1069" s="4" t="n">
        <v>0.4693</v>
      </c>
    </row>
    <row r="1070">
      <c r="A1070" s="2" t="inlineStr">
        <is>
          <t>SKL-01069</t>
        </is>
      </c>
      <c r="B1070" s="2" t="inlineStr">
        <is>
          <t>SIP-0280</t>
        </is>
      </c>
      <c r="C1070" s="2" t="inlineStr">
        <is>
          <t>ENDVAN-029</t>
        </is>
      </c>
      <c r="D1070" s="5" t="n">
        <v>23</v>
      </c>
      <c r="E1070" s="2" t="inlineStr">
        <is>
          <t>Adet</t>
        </is>
      </c>
      <c r="F1070" s="3" t="n">
        <v>475.88</v>
      </c>
      <c r="G1070" s="4" t="n">
        <v>0.06469999999999999</v>
      </c>
      <c r="H1070" s="3" t="n">
        <v>445.09</v>
      </c>
      <c r="I1070" s="3" t="n">
        <v>10237.07</v>
      </c>
      <c r="J1070" s="3" t="n">
        <v>318.96</v>
      </c>
      <c r="K1070" s="3" t="n">
        <v>7336.08</v>
      </c>
      <c r="L1070" s="3" t="n">
        <v>2900.99</v>
      </c>
      <c r="M1070" s="4" t="n">
        <v>0.2834</v>
      </c>
    </row>
    <row r="1071">
      <c r="A1071" s="2" t="inlineStr">
        <is>
          <t>SKL-01070</t>
        </is>
      </c>
      <c r="B1071" s="2" t="inlineStr">
        <is>
          <t>SIP-0280</t>
        </is>
      </c>
      <c r="C1071" s="2" t="inlineStr">
        <is>
          <t>ENDVAN-008</t>
        </is>
      </c>
      <c r="D1071" s="5" t="n">
        <v>11</v>
      </c>
      <c r="E1071" s="2" t="inlineStr">
        <is>
          <t>Adet</t>
        </is>
      </c>
      <c r="F1071" s="3" t="n">
        <v>561.34</v>
      </c>
      <c r="G1071" s="4" t="n">
        <v>0.06950000000000001</v>
      </c>
      <c r="H1071" s="3" t="n">
        <v>522.33</v>
      </c>
      <c r="I1071" s="3" t="n">
        <v>5745.63</v>
      </c>
      <c r="J1071" s="3" t="n">
        <v>429.42</v>
      </c>
      <c r="K1071" s="3" t="n">
        <v>4723.62</v>
      </c>
      <c r="L1071" s="3" t="n">
        <v>1022.01</v>
      </c>
      <c r="M1071" s="4" t="n">
        <v>0.1779</v>
      </c>
    </row>
    <row r="1072">
      <c r="A1072" s="2" t="inlineStr">
        <is>
          <t>SKL-01071</t>
        </is>
      </c>
      <c r="B1072" s="2" t="inlineStr">
        <is>
          <t>SIP-0280</t>
        </is>
      </c>
      <c r="C1072" s="2" t="inlineStr">
        <is>
          <t>KAR/-002</t>
        </is>
      </c>
      <c r="D1072" s="5" t="n">
        <v>1</v>
      </c>
      <c r="E1072" s="2" t="inlineStr">
        <is>
          <t>Adet</t>
        </is>
      </c>
      <c r="F1072" s="3" t="n">
        <v>12658.7</v>
      </c>
      <c r="G1072" s="4" t="n">
        <v>0.06950000000000001</v>
      </c>
      <c r="H1072" s="3" t="n">
        <v>11778.92</v>
      </c>
      <c r="I1072" s="3" t="n">
        <v>11778.92</v>
      </c>
      <c r="J1072" s="3" t="n">
        <v>9102.83</v>
      </c>
      <c r="K1072" s="3" t="n">
        <v>9102.83</v>
      </c>
      <c r="L1072" s="3" t="n">
        <v>2676.09</v>
      </c>
      <c r="M1072" s="4" t="n">
        <v>0.2272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17" customWidth="1" min="5" max="5"/>
    <col width="13" customWidth="1" min="6" max="6"/>
    <col width="16" customWidth="1" min="7" max="7"/>
    <col width="16" customWidth="1" min="8" max="8"/>
    <col width="17" customWidth="1" min="9" max="9"/>
    <col width="21" customWidth="1" min="10" max="10"/>
    <col width="22" customWidth="1" min="11" max="11"/>
    <col width="21" customWidth="1" min="12" max="12"/>
    <col width="26" customWidth="1" min="13" max="13"/>
    <col width="19" customWidth="1" min="14" max="14"/>
    <col width="17" customWidth="1" min="15" max="15"/>
  </cols>
  <sheetData>
    <row r="1">
      <c r="A1" s="1" t="inlineStr">
        <is>
          <t>Sevkiyat_No</t>
        </is>
      </c>
      <c r="B1" s="1" t="inlineStr">
        <is>
          <t>Siparis_No</t>
        </is>
      </c>
      <c r="C1" s="1" t="inlineStr">
        <is>
          <t>Musteri_Kodu</t>
        </is>
      </c>
      <c r="D1" s="1" t="inlineStr">
        <is>
          <t>Ulke</t>
        </is>
      </c>
      <c r="E1" s="1" t="inlineStr">
        <is>
          <t>Sevkiyat_Tarihi</t>
        </is>
      </c>
      <c r="F1" s="1" t="inlineStr">
        <is>
          <t>Tasima_Turu</t>
        </is>
      </c>
      <c r="G1" s="1" t="inlineStr">
        <is>
          <t>Konteyner_Tipi</t>
        </is>
      </c>
      <c r="H1" s="1" t="inlineStr">
        <is>
          <t>Net_Agirlik_Kg</t>
        </is>
      </c>
      <c r="I1" s="1" t="inlineStr">
        <is>
          <t>Brut_Agirlik_Kg</t>
        </is>
      </c>
      <c r="J1" s="1" t="inlineStr">
        <is>
          <t>Navlun_Maliyeti_USD</t>
        </is>
      </c>
      <c r="K1" s="1" t="inlineStr">
        <is>
          <t>Sigorta_Maliyeti_USD</t>
        </is>
      </c>
      <c r="L1" s="1" t="inlineStr">
        <is>
          <t>Gumruk_Maliyeti_USD</t>
        </is>
      </c>
      <c r="M1" s="1" t="inlineStr">
        <is>
          <t>Toplam_Lojistik_Maliyeti_USD</t>
        </is>
      </c>
      <c r="N1" s="1" t="inlineStr">
        <is>
          <t>Teslim_Suresi_Gun</t>
        </is>
      </c>
      <c r="O1" s="1" t="inlineStr">
        <is>
          <t>Sevkiyat_Durumu</t>
        </is>
      </c>
    </row>
    <row r="2">
      <c r="A2" s="2" t="inlineStr">
        <is>
          <t>SVK-0001</t>
        </is>
      </c>
      <c r="B2" s="2" t="inlineStr">
        <is>
          <t>SIP-0001</t>
        </is>
      </c>
      <c r="C2" s="2" t="inlineStr">
        <is>
          <t>MUS-062</t>
        </is>
      </c>
      <c r="D2" s="2" t="inlineStr">
        <is>
          <t>Azerbaycan</t>
        </is>
      </c>
      <c r="E2" s="6" t="n">
        <v>45464</v>
      </c>
      <c r="F2" s="2" t="inlineStr">
        <is>
          <t>Karayolu</t>
        </is>
      </c>
      <c r="G2" s="2" t="inlineStr">
        <is>
          <t>40FT</t>
        </is>
      </c>
      <c r="H2" s="5" t="n">
        <v>872.16</v>
      </c>
      <c r="I2" s="5" t="n">
        <v>898.51</v>
      </c>
      <c r="J2" s="3" t="n">
        <v>1160.15</v>
      </c>
      <c r="K2" s="3" t="n">
        <v>68.03</v>
      </c>
      <c r="L2" s="3" t="n">
        <v>193.38</v>
      </c>
      <c r="M2" s="3" t="n">
        <v>1421.56</v>
      </c>
      <c r="N2" s="5" t="n">
        <v>8</v>
      </c>
      <c r="O2" s="2" t="inlineStr">
        <is>
          <t>Teslim Edildi</t>
        </is>
      </c>
    </row>
    <row r="3">
      <c r="A3" s="2" t="inlineStr">
        <is>
          <t>SVK-0002</t>
        </is>
      </c>
      <c r="B3" s="2" t="inlineStr">
        <is>
          <t>SIP-0001</t>
        </is>
      </c>
      <c r="C3" s="2" t="inlineStr">
        <is>
          <t>MUS-062</t>
        </is>
      </c>
      <c r="D3" s="2" t="inlineStr">
        <is>
          <t>Azerbaycan</t>
        </is>
      </c>
      <c r="E3" s="6" t="n">
        <v>45465</v>
      </c>
      <c r="F3" s="2" t="inlineStr">
        <is>
          <t>Karayolu</t>
        </is>
      </c>
      <c r="G3" s="2" t="inlineStr">
        <is>
          <t>40FT</t>
        </is>
      </c>
      <c r="H3" s="5" t="n">
        <v>872.16</v>
      </c>
      <c r="I3" s="5" t="n">
        <v>930.98</v>
      </c>
      <c r="J3" s="3" t="n">
        <v>1245.71</v>
      </c>
      <c r="K3" s="3" t="n">
        <v>60.43</v>
      </c>
      <c r="L3" s="3" t="n">
        <v>227.5</v>
      </c>
      <c r="M3" s="3" t="n">
        <v>1533.64</v>
      </c>
      <c r="N3" s="5" t="n">
        <v>10</v>
      </c>
      <c r="O3" s="2" t="inlineStr">
        <is>
          <t>Teslim Edildi</t>
        </is>
      </c>
    </row>
    <row r="4">
      <c r="A4" s="2" t="inlineStr">
        <is>
          <t>SVK-0003</t>
        </is>
      </c>
      <c r="B4" s="2" t="inlineStr">
        <is>
          <t>SIP-0002</t>
        </is>
      </c>
      <c r="C4" s="2" t="inlineStr">
        <is>
          <t>MUS-006</t>
        </is>
      </c>
      <c r="D4" s="2" t="inlineStr">
        <is>
          <t>Azerbaycan</t>
        </is>
      </c>
      <c r="E4" s="6" t="n">
        <v>45495</v>
      </c>
      <c r="F4" s="2" t="inlineStr">
        <is>
          <t>Karayolu</t>
        </is>
      </c>
      <c r="G4" s="2" t="inlineStr">
        <is>
          <t>Open Top 40FT</t>
        </is>
      </c>
      <c r="H4" s="5" t="n">
        <v>3196.5</v>
      </c>
      <c r="I4" s="5" t="n">
        <v>3439.88</v>
      </c>
      <c r="J4" s="3" t="n">
        <v>2404.1</v>
      </c>
      <c r="K4" s="3" t="n">
        <v>127.58</v>
      </c>
      <c r="L4" s="3" t="n">
        <v>368.29</v>
      </c>
      <c r="M4" s="3" t="n">
        <v>2899.97</v>
      </c>
      <c r="N4" s="5" t="n">
        <v>8</v>
      </c>
      <c r="O4" s="2" t="inlineStr">
        <is>
          <t>Teslim Edildi</t>
        </is>
      </c>
    </row>
    <row r="5">
      <c r="A5" s="2" t="inlineStr">
        <is>
          <t>SVK-0004</t>
        </is>
      </c>
      <c r="B5" s="2" t="inlineStr">
        <is>
          <t>SIP-0003</t>
        </is>
      </c>
      <c r="C5" s="2" t="inlineStr">
        <is>
          <t>MUS-065</t>
        </is>
      </c>
      <c r="D5" s="2" t="inlineStr">
        <is>
          <t>Cezayir</t>
        </is>
      </c>
      <c r="E5" s="6" t="n">
        <v>45502</v>
      </c>
      <c r="F5" s="2" t="inlineStr">
        <is>
          <t>Denizyolu</t>
        </is>
      </c>
      <c r="G5" s="2" t="inlineStr">
        <is>
          <t>Open Top 40FT</t>
        </is>
      </c>
      <c r="H5" s="5" t="n">
        <v>6770.99</v>
      </c>
      <c r="I5" s="5" t="n">
        <v>7211.71</v>
      </c>
      <c r="J5" s="3" t="n">
        <v>3840.06</v>
      </c>
      <c r="K5" s="3" t="n">
        <v>129.65</v>
      </c>
      <c r="L5" s="3" t="n">
        <v>671.61</v>
      </c>
      <c r="M5" s="3" t="n">
        <v>4641.32</v>
      </c>
      <c r="N5" s="5" t="n">
        <v>16</v>
      </c>
      <c r="O5" s="2" t="inlineStr">
        <is>
          <t>Teslim Edildi</t>
        </is>
      </c>
    </row>
    <row r="6">
      <c r="A6" s="2" t="inlineStr">
        <is>
          <t>SVK-0005</t>
        </is>
      </c>
      <c r="B6" s="2" t="inlineStr">
        <is>
          <t>SIP-0004</t>
        </is>
      </c>
      <c r="C6" s="2" t="inlineStr">
        <is>
          <t>MUS-036</t>
        </is>
      </c>
      <c r="D6" s="2" t="inlineStr">
        <is>
          <t>Cezayir</t>
        </is>
      </c>
      <c r="E6" s="6" t="n">
        <v>45481</v>
      </c>
      <c r="F6" s="2" t="inlineStr">
        <is>
          <t>Denizyolu</t>
        </is>
      </c>
      <c r="G6" s="2" t="inlineStr">
        <is>
          <t>Open Top 40FT</t>
        </is>
      </c>
      <c r="H6" s="5" t="n">
        <v>2367.57</v>
      </c>
      <c r="I6" s="5" t="n">
        <v>2546.81</v>
      </c>
      <c r="J6" s="3" t="n">
        <v>3376.55</v>
      </c>
      <c r="K6" s="3" t="n">
        <v>125.16</v>
      </c>
      <c r="L6" s="3" t="n">
        <v>502.1</v>
      </c>
      <c r="M6" s="3" t="n">
        <v>4003.81</v>
      </c>
      <c r="N6" s="5" t="n">
        <v>17</v>
      </c>
      <c r="O6" s="2" t="inlineStr">
        <is>
          <t>Teslim Edildi</t>
        </is>
      </c>
    </row>
    <row r="7">
      <c r="A7" s="2" t="inlineStr">
        <is>
          <t>SVK-0006</t>
        </is>
      </c>
      <c r="B7" s="2" t="inlineStr">
        <is>
          <t>SIP-0005</t>
        </is>
      </c>
      <c r="C7" s="2" t="inlineStr">
        <is>
          <t>MUS-056</t>
        </is>
      </c>
      <c r="D7" s="2" t="inlineStr">
        <is>
          <t>Italya</t>
        </is>
      </c>
      <c r="E7" s="6" t="n">
        <v>45479</v>
      </c>
      <c r="F7" s="2" t="inlineStr">
        <is>
          <t>Karayolu</t>
        </is>
      </c>
      <c r="G7" s="2" t="inlineStr">
        <is>
          <t>40FT</t>
        </is>
      </c>
      <c r="H7" s="5" t="n">
        <v>787.01</v>
      </c>
      <c r="I7" s="5" t="n">
        <v>847.02</v>
      </c>
      <c r="J7" s="3" t="n">
        <v>2856.92</v>
      </c>
      <c r="K7" s="3" t="n">
        <v>160.94</v>
      </c>
      <c r="L7" s="3" t="n">
        <v>294.56</v>
      </c>
      <c r="M7" s="3" t="n">
        <v>3312.42</v>
      </c>
      <c r="N7" s="5" t="n">
        <v>10</v>
      </c>
      <c r="O7" s="2" t="inlineStr">
        <is>
          <t>Teslim Edildi</t>
        </is>
      </c>
    </row>
    <row r="8">
      <c r="A8" s="2" t="inlineStr">
        <is>
          <t>SVK-0007</t>
        </is>
      </c>
      <c r="B8" s="2" t="inlineStr">
        <is>
          <t>SIP-0006</t>
        </is>
      </c>
      <c r="C8" s="2" t="inlineStr">
        <is>
          <t>MUS-048</t>
        </is>
      </c>
      <c r="D8" s="2" t="inlineStr">
        <is>
          <t>Hollanda</t>
        </is>
      </c>
      <c r="E8" s="6" t="n">
        <v>45475</v>
      </c>
      <c r="F8" s="2" t="inlineStr">
        <is>
          <t>Havayolu</t>
        </is>
      </c>
      <c r="G8" s="2" t="inlineStr">
        <is>
          <t>Open Top 40FT</t>
        </is>
      </c>
      <c r="H8" s="5" t="n">
        <v>3910.41</v>
      </c>
      <c r="I8" s="5" t="n">
        <v>4041.55</v>
      </c>
      <c r="J8" s="3" t="n">
        <v>2471.63</v>
      </c>
      <c r="K8" s="3" t="n">
        <v>120.79</v>
      </c>
      <c r="L8" s="3" t="n">
        <v>232.54</v>
      </c>
      <c r="M8" s="3" t="n">
        <v>2824.96</v>
      </c>
      <c r="N8" s="5" t="n">
        <v>13</v>
      </c>
      <c r="O8" s="2" t="inlineStr">
        <is>
          <t>Teslim Edildi</t>
        </is>
      </c>
    </row>
    <row r="9">
      <c r="A9" s="2" t="inlineStr">
        <is>
          <t>SVK-0008</t>
        </is>
      </c>
      <c r="B9" s="2" t="inlineStr">
        <is>
          <t>SIP-0007</t>
        </is>
      </c>
      <c r="C9" s="2" t="inlineStr">
        <is>
          <t>MUS-015</t>
        </is>
      </c>
      <c r="D9" s="2" t="inlineStr">
        <is>
          <t>Polonya</t>
        </is>
      </c>
      <c r="E9" s="6" t="n">
        <v>45479</v>
      </c>
      <c r="F9" s="2" t="inlineStr">
        <is>
          <t>Karayolu</t>
        </is>
      </c>
      <c r="G9" s="2" t="inlineStr">
        <is>
          <t>40FT</t>
        </is>
      </c>
      <c r="H9" s="5" t="n">
        <v>1026.04</v>
      </c>
      <c r="I9" s="5" t="n">
        <v>1088.89</v>
      </c>
      <c r="J9" s="3" t="n">
        <v>2363.55</v>
      </c>
      <c r="K9" s="3" t="n">
        <v>119.39</v>
      </c>
      <c r="L9" s="3" t="n">
        <v>330.91</v>
      </c>
      <c r="M9" s="3" t="n">
        <v>2813.85</v>
      </c>
      <c r="N9" s="5" t="n">
        <v>7</v>
      </c>
      <c r="O9" s="2" t="inlineStr">
        <is>
          <t>Gumrukte</t>
        </is>
      </c>
    </row>
    <row r="10">
      <c r="A10" s="2" t="inlineStr">
        <is>
          <t>SVK-0009</t>
        </is>
      </c>
      <c r="B10" s="2" t="inlineStr">
        <is>
          <t>SIP-0008</t>
        </is>
      </c>
      <c r="C10" s="2" t="inlineStr">
        <is>
          <t>MUS-044</t>
        </is>
      </c>
      <c r="D10" s="2" t="inlineStr">
        <is>
          <t>Hollanda</t>
        </is>
      </c>
      <c r="E10" s="6" t="n">
        <v>45459</v>
      </c>
      <c r="F10" s="2" t="inlineStr">
        <is>
          <t>Denizyolu</t>
        </is>
      </c>
      <c r="G10" s="2" t="inlineStr">
        <is>
          <t>Open Top 40FT</t>
        </is>
      </c>
      <c r="H10" s="5" t="n">
        <v>2537.85</v>
      </c>
      <c r="I10" s="5" t="n">
        <v>2685.24</v>
      </c>
      <c r="J10" s="3" t="n">
        <v>2801.21</v>
      </c>
      <c r="K10" s="3" t="n">
        <v>117.8</v>
      </c>
      <c r="L10" s="3" t="n">
        <v>208.84</v>
      </c>
      <c r="M10" s="3" t="n">
        <v>3127.85</v>
      </c>
      <c r="N10" s="5" t="n">
        <v>9</v>
      </c>
      <c r="O10" s="2" t="inlineStr">
        <is>
          <t>Yolda</t>
        </is>
      </c>
    </row>
    <row r="11">
      <c r="A11" s="2" t="inlineStr">
        <is>
          <t>SVK-0010</t>
        </is>
      </c>
      <c r="B11" s="2" t="inlineStr">
        <is>
          <t>SIP-0009</t>
        </is>
      </c>
      <c r="C11" s="2" t="inlineStr">
        <is>
          <t>MUS-072</t>
        </is>
      </c>
      <c r="D11" s="2" t="inlineStr">
        <is>
          <t>Polonya</t>
        </is>
      </c>
      <c r="E11" s="6" t="n">
        <v>45456</v>
      </c>
      <c r="F11" s="2" t="inlineStr">
        <is>
          <t>Karayolu</t>
        </is>
      </c>
      <c r="G11" s="2" t="inlineStr">
        <is>
          <t>Open Top 40FT</t>
        </is>
      </c>
      <c r="H11" s="5" t="n">
        <v>3869.18</v>
      </c>
      <c r="I11" s="5" t="n">
        <v>4022.84</v>
      </c>
      <c r="J11" s="3" t="n">
        <v>2500.82</v>
      </c>
      <c r="K11" s="3" t="n">
        <v>107.05</v>
      </c>
      <c r="L11" s="3" t="n">
        <v>234.04</v>
      </c>
      <c r="M11" s="3" t="n">
        <v>2841.91</v>
      </c>
      <c r="N11" s="5" t="n">
        <v>7</v>
      </c>
      <c r="O11" s="2" t="inlineStr">
        <is>
          <t>Teslim Edildi</t>
        </is>
      </c>
    </row>
    <row r="12">
      <c r="A12" s="2" t="inlineStr">
        <is>
          <t>SVK-0011</t>
        </is>
      </c>
      <c r="B12" s="2" t="inlineStr">
        <is>
          <t>SIP-0010</t>
        </is>
      </c>
      <c r="C12" s="2" t="inlineStr">
        <is>
          <t>MUS-066</t>
        </is>
      </c>
      <c r="D12" s="2" t="inlineStr">
        <is>
          <t>Kazakistan</t>
        </is>
      </c>
      <c r="E12" s="6" t="n">
        <v>45474</v>
      </c>
      <c r="F12" s="2" t="inlineStr">
        <is>
          <t>Karayolu</t>
        </is>
      </c>
      <c r="G12" s="2" t="inlineStr">
        <is>
          <t>40FT</t>
        </is>
      </c>
      <c r="H12" s="5" t="n">
        <v>1533.09</v>
      </c>
      <c r="I12" s="5" t="n">
        <v>1597.6</v>
      </c>
      <c r="J12" s="3" t="n">
        <v>3725.92</v>
      </c>
      <c r="K12" s="3" t="n">
        <v>126.61</v>
      </c>
      <c r="L12" s="3" t="n">
        <v>469.13</v>
      </c>
      <c r="M12" s="3" t="n">
        <v>4321.66</v>
      </c>
      <c r="N12" s="5" t="n">
        <v>16</v>
      </c>
      <c r="O12" s="2" t="inlineStr">
        <is>
          <t>Teslim Edildi</t>
        </is>
      </c>
    </row>
    <row r="13">
      <c r="A13" s="2" t="inlineStr">
        <is>
          <t>SVK-0012</t>
        </is>
      </c>
      <c r="B13" s="2" t="inlineStr">
        <is>
          <t>SIP-0011</t>
        </is>
      </c>
      <c r="C13" s="2" t="inlineStr">
        <is>
          <t>MUS-038</t>
        </is>
      </c>
      <c r="D13" s="2" t="inlineStr">
        <is>
          <t>Suudi Arabistan</t>
        </is>
      </c>
      <c r="E13" s="6" t="n">
        <v>45465</v>
      </c>
      <c r="F13" s="2" t="inlineStr">
        <is>
          <t>Denizyolu</t>
        </is>
      </c>
      <c r="G13" s="2" t="inlineStr">
        <is>
          <t>Open Top 40FT</t>
        </is>
      </c>
      <c r="H13" s="5" t="n">
        <v>4683.35</v>
      </c>
      <c r="I13" s="5" t="n">
        <v>4966.36</v>
      </c>
      <c r="J13" s="3" t="n">
        <v>3671.12</v>
      </c>
      <c r="K13" s="3" t="n">
        <v>219.77</v>
      </c>
      <c r="L13" s="3" t="n">
        <v>407.86</v>
      </c>
      <c r="M13" s="3" t="n">
        <v>4298.75</v>
      </c>
      <c r="N13" s="5" t="n">
        <v>21</v>
      </c>
      <c r="O13" s="2" t="inlineStr">
        <is>
          <t>Teslim Edildi</t>
        </is>
      </c>
    </row>
    <row r="14">
      <c r="A14" s="2" t="inlineStr">
        <is>
          <t>SVK-0013</t>
        </is>
      </c>
      <c r="B14" s="2" t="inlineStr">
        <is>
          <t>SIP-0012</t>
        </is>
      </c>
      <c r="C14" s="2" t="inlineStr">
        <is>
          <t>MUS-064</t>
        </is>
      </c>
      <c r="D14" s="2" t="inlineStr">
        <is>
          <t>Romanya</t>
        </is>
      </c>
      <c r="E14" s="6" t="n">
        <v>45449</v>
      </c>
      <c r="F14" s="2" t="inlineStr">
        <is>
          <t>Karayolu</t>
        </is>
      </c>
      <c r="G14" s="2" t="inlineStr">
        <is>
          <t>40FT</t>
        </is>
      </c>
      <c r="H14" s="5" t="n">
        <v>1196.53</v>
      </c>
      <c r="I14" s="5" t="n">
        <v>1234.21</v>
      </c>
      <c r="J14" s="3" t="n">
        <v>1609.05</v>
      </c>
      <c r="K14" s="3" t="n">
        <v>85.45999999999999</v>
      </c>
      <c r="L14" s="3" t="n">
        <v>267.44</v>
      </c>
      <c r="M14" s="3" t="n">
        <v>1961.95</v>
      </c>
      <c r="N14" s="5" t="n">
        <v>6</v>
      </c>
      <c r="O14" s="2" t="inlineStr">
        <is>
          <t>Teslim Edildi</t>
        </is>
      </c>
    </row>
    <row r="15">
      <c r="A15" s="2" t="inlineStr">
        <is>
          <t>SVK-0014</t>
        </is>
      </c>
      <c r="B15" s="2" t="inlineStr">
        <is>
          <t>SIP-0013</t>
        </is>
      </c>
      <c r="C15" s="2" t="inlineStr">
        <is>
          <t>MUS-070</t>
        </is>
      </c>
      <c r="D15" s="2" t="inlineStr">
        <is>
          <t>Polonya</t>
        </is>
      </c>
      <c r="E15" s="6" t="n">
        <v>45437</v>
      </c>
      <c r="F15" s="2" t="inlineStr">
        <is>
          <t>Havayolu</t>
        </is>
      </c>
      <c r="G15" s="2" t="inlineStr">
        <is>
          <t>20FT</t>
        </is>
      </c>
      <c r="H15" s="5" t="n">
        <v>276.36</v>
      </c>
      <c r="I15" s="5" t="n">
        <v>298.02</v>
      </c>
      <c r="J15" s="3" t="n">
        <v>2390.58</v>
      </c>
      <c r="K15" s="3" t="n">
        <v>108.54</v>
      </c>
      <c r="L15" s="3" t="n">
        <v>209.93</v>
      </c>
      <c r="M15" s="3" t="n">
        <v>2709.05</v>
      </c>
      <c r="N15" s="5" t="n">
        <v>11</v>
      </c>
      <c r="O15" s="2" t="inlineStr">
        <is>
          <t>Yolda</t>
        </is>
      </c>
    </row>
    <row r="16">
      <c r="A16" s="2" t="inlineStr">
        <is>
          <t>SVK-0015</t>
        </is>
      </c>
      <c r="B16" s="2" t="inlineStr">
        <is>
          <t>SIP-0014</t>
        </is>
      </c>
      <c r="C16" s="2" t="inlineStr">
        <is>
          <t>MUS-027</t>
        </is>
      </c>
      <c r="D16" s="2" t="inlineStr">
        <is>
          <t>BAE</t>
        </is>
      </c>
      <c r="E16" s="6" t="n">
        <v>45472</v>
      </c>
      <c r="F16" s="2" t="inlineStr">
        <is>
          <t>Denizyolu</t>
        </is>
      </c>
      <c r="G16" s="2" t="inlineStr">
        <is>
          <t>40FT</t>
        </is>
      </c>
      <c r="H16" s="5" t="n">
        <v>1625.45</v>
      </c>
      <c r="I16" s="5" t="n">
        <v>1687.2</v>
      </c>
      <c r="J16" s="3" t="n">
        <v>4202.69</v>
      </c>
      <c r="K16" s="3" t="n">
        <v>129.98</v>
      </c>
      <c r="L16" s="3" t="n">
        <v>428.83</v>
      </c>
      <c r="M16" s="3" t="n">
        <v>4761.5</v>
      </c>
      <c r="N16" s="5" t="n">
        <v>16</v>
      </c>
      <c r="O16" s="2" t="inlineStr">
        <is>
          <t>Teslim Edildi</t>
        </is>
      </c>
    </row>
    <row r="17">
      <c r="A17" s="2" t="inlineStr">
        <is>
          <t>SVK-0016</t>
        </is>
      </c>
      <c r="B17" s="2" t="inlineStr">
        <is>
          <t>SIP-0015</t>
        </is>
      </c>
      <c r="C17" s="2" t="inlineStr">
        <is>
          <t>MUS-017</t>
        </is>
      </c>
      <c r="D17" s="2" t="inlineStr">
        <is>
          <t>Polonya</t>
        </is>
      </c>
      <c r="E17" s="6" t="n">
        <v>45460</v>
      </c>
      <c r="F17" s="2" t="inlineStr">
        <is>
          <t>Karayolu</t>
        </is>
      </c>
      <c r="G17" s="2" t="inlineStr">
        <is>
          <t>Open Top 40FT</t>
        </is>
      </c>
      <c r="H17" s="5" t="n">
        <v>1102.55</v>
      </c>
      <c r="I17" s="5" t="n">
        <v>1169.65</v>
      </c>
      <c r="J17" s="3" t="n">
        <v>1180.46</v>
      </c>
      <c r="K17" s="3" t="n">
        <v>45.07</v>
      </c>
      <c r="L17" s="3" t="n">
        <v>109.3</v>
      </c>
      <c r="M17" s="3" t="n">
        <v>1334.83</v>
      </c>
      <c r="N17" s="5" t="n">
        <v>14</v>
      </c>
      <c r="O17" s="2" t="inlineStr">
        <is>
          <t>Teslim Edildi</t>
        </is>
      </c>
    </row>
    <row r="18">
      <c r="A18" s="2" t="inlineStr">
        <is>
          <t>SVK-0017</t>
        </is>
      </c>
      <c r="B18" s="2" t="inlineStr">
        <is>
          <t>SIP-0015</t>
        </is>
      </c>
      <c r="C18" s="2" t="inlineStr">
        <is>
          <t>MUS-017</t>
        </is>
      </c>
      <c r="D18" s="2" t="inlineStr">
        <is>
          <t>Polonya</t>
        </is>
      </c>
      <c r="E18" s="6" t="n">
        <v>45461</v>
      </c>
      <c r="F18" s="2" t="inlineStr">
        <is>
          <t>Karayolu</t>
        </is>
      </c>
      <c r="G18" s="2" t="inlineStr">
        <is>
          <t>Open Top 40FT</t>
        </is>
      </c>
      <c r="H18" s="5" t="n">
        <v>1102.55</v>
      </c>
      <c r="I18" s="5" t="n">
        <v>1146.71</v>
      </c>
      <c r="J18" s="3" t="n">
        <v>1459.31</v>
      </c>
      <c r="K18" s="3" t="n">
        <v>86.94</v>
      </c>
      <c r="L18" s="3" t="n">
        <v>140.45</v>
      </c>
      <c r="M18" s="3" t="n">
        <v>1686.7</v>
      </c>
      <c r="N18" s="5" t="n">
        <v>14</v>
      </c>
      <c r="O18" s="2" t="inlineStr">
        <is>
          <t>Gumrukte</t>
        </is>
      </c>
    </row>
    <row r="19">
      <c r="A19" s="2" t="inlineStr">
        <is>
          <t>SVK-0018</t>
        </is>
      </c>
      <c r="B19" s="2" t="inlineStr">
        <is>
          <t>SIP-0016</t>
        </is>
      </c>
      <c r="C19" s="2" t="inlineStr">
        <is>
          <t>MUS-017</t>
        </is>
      </c>
      <c r="D19" s="2" t="inlineStr">
        <is>
          <t>Polonya</t>
        </is>
      </c>
      <c r="E19" s="6" t="n">
        <v>45488</v>
      </c>
      <c r="F19" s="2" t="inlineStr">
        <is>
          <t>Denizyolu</t>
        </is>
      </c>
      <c r="G19" s="2" t="inlineStr">
        <is>
          <t>Open Top 40FT</t>
        </is>
      </c>
      <c r="H19" s="5" t="n">
        <v>2952.7</v>
      </c>
      <c r="I19" s="5" t="n">
        <v>3187.13</v>
      </c>
      <c r="J19" s="3" t="n">
        <v>2331.86</v>
      </c>
      <c r="K19" s="3" t="n">
        <v>74.98</v>
      </c>
      <c r="L19" s="3" t="n">
        <v>226.45</v>
      </c>
      <c r="M19" s="3" t="n">
        <v>2633.29</v>
      </c>
      <c r="N19" s="5" t="n">
        <v>8</v>
      </c>
      <c r="O19" s="2" t="inlineStr">
        <is>
          <t>Teslim Edildi</t>
        </is>
      </c>
    </row>
    <row r="20">
      <c r="A20" s="2" t="inlineStr">
        <is>
          <t>SVK-0019</t>
        </is>
      </c>
      <c r="B20" s="2" t="inlineStr">
        <is>
          <t>SIP-0017</t>
        </is>
      </c>
      <c r="C20" s="2" t="inlineStr">
        <is>
          <t>MUS-071</t>
        </is>
      </c>
      <c r="D20" s="2" t="inlineStr">
        <is>
          <t>Azerbaycan</t>
        </is>
      </c>
      <c r="E20" s="6" t="n">
        <v>45494</v>
      </c>
      <c r="F20" s="2" t="inlineStr">
        <is>
          <t>Havayolu</t>
        </is>
      </c>
      <c r="G20" s="2" t="inlineStr">
        <is>
          <t>40FT</t>
        </is>
      </c>
      <c r="H20" s="5" t="n">
        <v>1515.46</v>
      </c>
      <c r="I20" s="5" t="n">
        <v>1607.77</v>
      </c>
      <c r="J20" s="3" t="n">
        <v>2453.72</v>
      </c>
      <c r="K20" s="3" t="n">
        <v>88.43000000000001</v>
      </c>
      <c r="L20" s="3" t="n">
        <v>397.79</v>
      </c>
      <c r="M20" s="3" t="n">
        <v>2939.94</v>
      </c>
      <c r="N20" s="5" t="n">
        <v>14</v>
      </c>
      <c r="O20" s="2" t="inlineStr">
        <is>
          <t>Teslim Edildi</t>
        </is>
      </c>
    </row>
    <row r="21">
      <c r="A21" s="2" t="inlineStr">
        <is>
          <t>SVK-0020</t>
        </is>
      </c>
      <c r="B21" s="2" t="inlineStr">
        <is>
          <t>SIP-0018</t>
        </is>
      </c>
      <c r="C21" s="2" t="inlineStr">
        <is>
          <t>MUS-064</t>
        </is>
      </c>
      <c r="D21" s="2" t="inlineStr">
        <is>
          <t>Romanya</t>
        </is>
      </c>
      <c r="E21" s="6" t="n">
        <v>45477</v>
      </c>
      <c r="F21" s="2" t="inlineStr">
        <is>
          <t>Karayolu</t>
        </is>
      </c>
      <c r="G21" s="2" t="inlineStr">
        <is>
          <t>Open Top 40FT</t>
        </is>
      </c>
      <c r="H21" s="5" t="n">
        <v>2045.45</v>
      </c>
      <c r="I21" s="5" t="n">
        <v>2171.67</v>
      </c>
      <c r="J21" s="3" t="n">
        <v>1657.66</v>
      </c>
      <c r="K21" s="3" t="n">
        <v>54.8</v>
      </c>
      <c r="L21" s="3" t="n">
        <v>313.11</v>
      </c>
      <c r="M21" s="3" t="n">
        <v>2025.57</v>
      </c>
      <c r="N21" s="5" t="n">
        <v>9</v>
      </c>
      <c r="O21" s="2" t="inlineStr">
        <is>
          <t>Teslim Edildi</t>
        </is>
      </c>
    </row>
    <row r="22">
      <c r="A22" s="2" t="inlineStr">
        <is>
          <t>SVK-0021</t>
        </is>
      </c>
      <c r="B22" s="2" t="inlineStr">
        <is>
          <t>SIP-0019</t>
        </is>
      </c>
      <c r="C22" s="2" t="inlineStr">
        <is>
          <t>MUS-042</t>
        </is>
      </c>
      <c r="D22" s="2" t="inlineStr">
        <is>
          <t>Cezayir</t>
        </is>
      </c>
      <c r="E22" s="6" t="n">
        <v>45498</v>
      </c>
      <c r="F22" s="2" t="inlineStr">
        <is>
          <t>Havayolu</t>
        </is>
      </c>
      <c r="G22" s="2" t="inlineStr">
        <is>
          <t>20FT</t>
        </is>
      </c>
      <c r="H22" s="5" t="n">
        <v>452.41</v>
      </c>
      <c r="I22" s="5" t="n">
        <v>482.21</v>
      </c>
      <c r="J22" s="3" t="n">
        <v>3508.15</v>
      </c>
      <c r="K22" s="3" t="n">
        <v>128.08</v>
      </c>
      <c r="L22" s="3" t="n">
        <v>550.6</v>
      </c>
      <c r="M22" s="3" t="n">
        <v>4186.83</v>
      </c>
      <c r="N22" s="5" t="n">
        <v>17</v>
      </c>
      <c r="O22" s="2" t="inlineStr">
        <is>
          <t>Teslim Edildi</t>
        </is>
      </c>
    </row>
    <row r="23">
      <c r="A23" s="2" t="inlineStr">
        <is>
          <t>SVK-0022</t>
        </is>
      </c>
      <c r="B23" s="2" t="inlineStr">
        <is>
          <t>SIP-0020</t>
        </is>
      </c>
      <c r="C23" s="2" t="inlineStr">
        <is>
          <t>MUS-063</t>
        </is>
      </c>
      <c r="D23" s="2" t="inlineStr">
        <is>
          <t>Polonya</t>
        </is>
      </c>
      <c r="E23" s="6" t="n">
        <v>45492</v>
      </c>
      <c r="F23" s="2" t="inlineStr">
        <is>
          <t>Havayolu</t>
        </is>
      </c>
      <c r="G23" s="2" t="inlineStr">
        <is>
          <t>40FT</t>
        </is>
      </c>
      <c r="H23" s="5" t="n">
        <v>633.0599999999999</v>
      </c>
      <c r="I23" s="5" t="n">
        <v>654.6799999999999</v>
      </c>
      <c r="J23" s="3" t="n">
        <v>2650.8</v>
      </c>
      <c r="K23" s="3" t="n">
        <v>117.22</v>
      </c>
      <c r="L23" s="3" t="n">
        <v>254.3</v>
      </c>
      <c r="M23" s="3" t="n">
        <v>3022.32</v>
      </c>
      <c r="N23" s="5" t="n">
        <v>9</v>
      </c>
      <c r="O23" s="2" t="inlineStr">
        <is>
          <t>Teslim Edildi</t>
        </is>
      </c>
    </row>
    <row r="24">
      <c r="A24" s="2" t="inlineStr">
        <is>
          <t>SVK-0023</t>
        </is>
      </c>
      <c r="B24" s="2" t="inlineStr">
        <is>
          <t>SIP-0021</t>
        </is>
      </c>
      <c r="C24" s="2" t="inlineStr">
        <is>
          <t>MUS-028</t>
        </is>
      </c>
      <c r="D24" s="2" t="inlineStr">
        <is>
          <t>Italya</t>
        </is>
      </c>
      <c r="E24" s="6" t="n">
        <v>45475</v>
      </c>
      <c r="F24" s="2" t="inlineStr">
        <is>
          <t>Denizyolu</t>
        </is>
      </c>
      <c r="G24" s="2" t="inlineStr">
        <is>
          <t>Open Top 40FT</t>
        </is>
      </c>
      <c r="H24" s="5" t="n">
        <v>1950.44</v>
      </c>
      <c r="I24" s="5" t="n">
        <v>2027.21</v>
      </c>
      <c r="J24" s="3" t="n">
        <v>2691.29</v>
      </c>
      <c r="K24" s="3" t="n">
        <v>154.21</v>
      </c>
      <c r="L24" s="3" t="n">
        <v>322.99</v>
      </c>
      <c r="M24" s="3" t="n">
        <v>3168.49</v>
      </c>
      <c r="N24" s="5" t="n">
        <v>9</v>
      </c>
      <c r="O24" s="2" t="inlineStr">
        <is>
          <t>Teslim Edildi</t>
        </is>
      </c>
    </row>
    <row r="25">
      <c r="A25" s="2" t="inlineStr">
        <is>
          <t>SVK-0024</t>
        </is>
      </c>
      <c r="B25" s="2" t="inlineStr">
        <is>
          <t>SIP-0022</t>
        </is>
      </c>
      <c r="C25" s="2" t="inlineStr">
        <is>
          <t>MUS-010</t>
        </is>
      </c>
      <c r="D25" s="2" t="inlineStr">
        <is>
          <t>Suudi Arabistan</t>
        </is>
      </c>
      <c r="E25" s="6" t="n">
        <v>45497</v>
      </c>
      <c r="F25" s="2" t="inlineStr">
        <is>
          <t>Denizyolu</t>
        </is>
      </c>
      <c r="G25" s="2" t="inlineStr">
        <is>
          <t>40FT</t>
        </is>
      </c>
      <c r="H25" s="5" t="n">
        <v>1207.63</v>
      </c>
      <c r="I25" s="5" t="n">
        <v>1274.63</v>
      </c>
      <c r="J25" s="3" t="n">
        <v>3814.39</v>
      </c>
      <c r="K25" s="3" t="n">
        <v>226.42</v>
      </c>
      <c r="L25" s="3" t="n">
        <v>326.03</v>
      </c>
      <c r="M25" s="3" t="n">
        <v>4366.84</v>
      </c>
      <c r="N25" s="5" t="n">
        <v>23</v>
      </c>
      <c r="O25" s="2" t="inlineStr">
        <is>
          <t>Teslim Edildi</t>
        </is>
      </c>
    </row>
    <row r="26">
      <c r="A26" s="2" t="inlineStr">
        <is>
          <t>SVK-0025</t>
        </is>
      </c>
      <c r="B26" s="2" t="inlineStr">
        <is>
          <t>SIP-0023</t>
        </is>
      </c>
      <c r="C26" s="2" t="inlineStr">
        <is>
          <t>MUS-048</t>
        </is>
      </c>
      <c r="D26" s="2" t="inlineStr">
        <is>
          <t>Hollanda</t>
        </is>
      </c>
      <c r="E26" s="6" t="n">
        <v>45524</v>
      </c>
      <c r="F26" s="2" t="inlineStr">
        <is>
          <t>Denizyolu</t>
        </is>
      </c>
      <c r="G26" s="2" t="inlineStr">
        <is>
          <t>40FT</t>
        </is>
      </c>
      <c r="H26" s="5" t="n">
        <v>1564.73</v>
      </c>
      <c r="I26" s="5" t="n">
        <v>1675.81</v>
      </c>
      <c r="J26" s="3" t="n">
        <v>2814.5</v>
      </c>
      <c r="K26" s="3" t="n">
        <v>138.02</v>
      </c>
      <c r="L26" s="3" t="n">
        <v>222.71</v>
      </c>
      <c r="M26" s="3" t="n">
        <v>3175.23</v>
      </c>
      <c r="N26" s="5" t="n">
        <v>10</v>
      </c>
      <c r="O26" s="2" t="inlineStr">
        <is>
          <t>Teslim Edildi</t>
        </is>
      </c>
    </row>
    <row r="27">
      <c r="A27" s="2" t="inlineStr">
        <is>
          <t>SVK-0026</t>
        </is>
      </c>
      <c r="B27" s="2" t="inlineStr">
        <is>
          <t>SIP-0024</t>
        </is>
      </c>
      <c r="C27" s="2" t="inlineStr">
        <is>
          <t>MUS-051</t>
        </is>
      </c>
      <c r="D27" s="2" t="inlineStr">
        <is>
          <t>Hollanda</t>
        </is>
      </c>
      <c r="E27" s="6" t="n">
        <v>45514</v>
      </c>
      <c r="F27" s="2" t="inlineStr">
        <is>
          <t>Denizyolu</t>
        </is>
      </c>
      <c r="G27" s="2" t="inlineStr">
        <is>
          <t>20FT</t>
        </is>
      </c>
      <c r="H27" s="5" t="n">
        <v>332.56</v>
      </c>
      <c r="I27" s="5" t="n">
        <v>346.13</v>
      </c>
      <c r="J27" s="3" t="n">
        <v>2981.1</v>
      </c>
      <c r="K27" s="3" t="n">
        <v>135.67</v>
      </c>
      <c r="L27" s="3" t="n">
        <v>238.56</v>
      </c>
      <c r="M27" s="3" t="n">
        <v>3355.33</v>
      </c>
      <c r="N27" s="5" t="n">
        <v>9</v>
      </c>
      <c r="O27" s="2" t="inlineStr">
        <is>
          <t>Yolda</t>
        </is>
      </c>
    </row>
    <row r="28">
      <c r="A28" s="2" t="inlineStr">
        <is>
          <t>SVK-0027</t>
        </is>
      </c>
      <c r="B28" s="2" t="inlineStr">
        <is>
          <t>SIP-0025</t>
        </is>
      </c>
      <c r="C28" s="2" t="inlineStr">
        <is>
          <t>MUS-015</t>
        </is>
      </c>
      <c r="D28" s="2" t="inlineStr">
        <is>
          <t>Polonya</t>
        </is>
      </c>
      <c r="E28" s="6" t="n">
        <v>45565</v>
      </c>
      <c r="F28" s="2" t="inlineStr">
        <is>
          <t>Karayolu</t>
        </is>
      </c>
      <c r="G28" s="2" t="inlineStr">
        <is>
          <t>Open Top 40FT</t>
        </is>
      </c>
      <c r="H28" s="5" t="n">
        <v>1157.19</v>
      </c>
      <c r="I28" s="5" t="n">
        <v>1201.5</v>
      </c>
      <c r="J28" s="3" t="n">
        <v>1483.98</v>
      </c>
      <c r="K28" s="3" t="n">
        <v>57.24</v>
      </c>
      <c r="L28" s="3" t="n">
        <v>102.09</v>
      </c>
      <c r="M28" s="3" t="n">
        <v>1643.31</v>
      </c>
      <c r="N28" s="5" t="n">
        <v>14</v>
      </c>
      <c r="O28" s="2" t="inlineStr">
        <is>
          <t>Teslim Edildi</t>
        </is>
      </c>
    </row>
    <row r="29">
      <c r="A29" s="2" t="inlineStr">
        <is>
          <t>SVK-0028</t>
        </is>
      </c>
      <c r="B29" s="2" t="inlineStr">
        <is>
          <t>SIP-0025</t>
        </is>
      </c>
      <c r="C29" s="2" t="inlineStr">
        <is>
          <t>MUS-015</t>
        </is>
      </c>
      <c r="D29" s="2" t="inlineStr">
        <is>
          <t>Polonya</t>
        </is>
      </c>
      <c r="E29" s="6" t="n">
        <v>45566</v>
      </c>
      <c r="F29" s="2" t="inlineStr">
        <is>
          <t>Karayolu</t>
        </is>
      </c>
      <c r="G29" s="2" t="inlineStr">
        <is>
          <t>Open Top 40FT</t>
        </is>
      </c>
      <c r="H29" s="5" t="n">
        <v>1157.19</v>
      </c>
      <c r="I29" s="5" t="n">
        <v>1202.93</v>
      </c>
      <c r="J29" s="3" t="n">
        <v>1456.17</v>
      </c>
      <c r="K29" s="3" t="n">
        <v>51.95</v>
      </c>
      <c r="L29" s="3" t="n">
        <v>166.3</v>
      </c>
      <c r="M29" s="3" t="n">
        <v>1674.42</v>
      </c>
      <c r="N29" s="5" t="n">
        <v>7</v>
      </c>
      <c r="O29" s="2" t="inlineStr">
        <is>
          <t>Teslim Edildi</t>
        </is>
      </c>
    </row>
    <row r="30">
      <c r="A30" s="2" t="inlineStr">
        <is>
          <t>SVK-0029</t>
        </is>
      </c>
      <c r="B30" s="2" t="inlineStr">
        <is>
          <t>SIP-0026</t>
        </is>
      </c>
      <c r="C30" s="2" t="inlineStr">
        <is>
          <t>MUS-054</t>
        </is>
      </c>
      <c r="D30" s="2" t="inlineStr">
        <is>
          <t>Katar</t>
        </is>
      </c>
      <c r="E30" s="6" t="n">
        <v>45534</v>
      </c>
      <c r="F30" s="2" t="inlineStr">
        <is>
          <t>Denizyolu</t>
        </is>
      </c>
      <c r="G30" s="2" t="inlineStr">
        <is>
          <t>40FT</t>
        </is>
      </c>
      <c r="H30" s="5" t="n">
        <v>1341.78</v>
      </c>
      <c r="I30" s="5" t="n">
        <v>1404.41</v>
      </c>
      <c r="J30" s="3" t="n">
        <v>4765.78</v>
      </c>
      <c r="K30" s="3" t="n">
        <v>183.74</v>
      </c>
      <c r="L30" s="3" t="n">
        <v>399.7</v>
      </c>
      <c r="M30" s="3" t="n">
        <v>5349.22</v>
      </c>
      <c r="N30" s="5" t="n">
        <v>19</v>
      </c>
      <c r="O30" s="2" t="inlineStr">
        <is>
          <t>Yolda</t>
        </is>
      </c>
    </row>
    <row r="31">
      <c r="A31" s="2" t="inlineStr">
        <is>
          <t>SVK-0030</t>
        </is>
      </c>
      <c r="B31" s="2" t="inlineStr">
        <is>
          <t>SIP-0027</t>
        </is>
      </c>
      <c r="C31" s="2" t="inlineStr">
        <is>
          <t>MUS-011</t>
        </is>
      </c>
      <c r="D31" s="2" t="inlineStr">
        <is>
          <t>Suudi Arabistan</t>
        </is>
      </c>
      <c r="E31" s="6" t="n">
        <v>45508</v>
      </c>
      <c r="F31" s="2" t="inlineStr">
        <is>
          <t>Denizyolu</t>
        </is>
      </c>
      <c r="G31" s="2" t="inlineStr">
        <is>
          <t>20FT</t>
        </is>
      </c>
      <c r="H31" s="5" t="n">
        <v>401.51</v>
      </c>
      <c r="I31" s="5" t="n">
        <v>424.65</v>
      </c>
      <c r="J31" s="3" t="n">
        <v>3823.45</v>
      </c>
      <c r="K31" s="3" t="n">
        <v>152.41</v>
      </c>
      <c r="L31" s="3" t="n">
        <v>490.73</v>
      </c>
      <c r="M31" s="3" t="n">
        <v>4466.59</v>
      </c>
      <c r="N31" s="5" t="n">
        <v>23</v>
      </c>
      <c r="O31" s="2" t="inlineStr">
        <is>
          <t>Gumrukte</t>
        </is>
      </c>
    </row>
    <row r="32">
      <c r="A32" s="2" t="inlineStr">
        <is>
          <t>SVK-0031</t>
        </is>
      </c>
      <c r="B32" s="2" t="inlineStr">
        <is>
          <t>SIP-0028</t>
        </is>
      </c>
      <c r="C32" s="2" t="inlineStr">
        <is>
          <t>MUS-067</t>
        </is>
      </c>
      <c r="D32" s="2" t="inlineStr">
        <is>
          <t>Katar</t>
        </is>
      </c>
      <c r="E32" s="6" t="n">
        <v>45538</v>
      </c>
      <c r="F32" s="2" t="inlineStr">
        <is>
          <t>Denizyolu</t>
        </is>
      </c>
      <c r="G32" s="2" t="inlineStr">
        <is>
          <t>Open Top 40FT</t>
        </is>
      </c>
      <c r="H32" s="5" t="n">
        <v>2769.65</v>
      </c>
      <c r="I32" s="5" t="n">
        <v>2971.01</v>
      </c>
      <c r="J32" s="3" t="n">
        <v>3814.27</v>
      </c>
      <c r="K32" s="3" t="n">
        <v>179.85</v>
      </c>
      <c r="L32" s="3" t="n">
        <v>365.14</v>
      </c>
      <c r="M32" s="3" t="n">
        <v>4359.26</v>
      </c>
      <c r="N32" s="5" t="n">
        <v>18</v>
      </c>
      <c r="O32" s="2" t="inlineStr">
        <is>
          <t>Yolda</t>
        </is>
      </c>
    </row>
    <row r="33">
      <c r="A33" s="2" t="inlineStr">
        <is>
          <t>SVK-0032</t>
        </is>
      </c>
      <c r="B33" s="2" t="inlineStr">
        <is>
          <t>SIP-0029</t>
        </is>
      </c>
      <c r="C33" s="2" t="inlineStr">
        <is>
          <t>MUS-082</t>
        </is>
      </c>
      <c r="D33" s="2" t="inlineStr">
        <is>
          <t>Hollanda</t>
        </is>
      </c>
      <c r="E33" s="6" t="n">
        <v>45517</v>
      </c>
      <c r="F33" s="2" t="inlineStr">
        <is>
          <t>Denizyolu</t>
        </is>
      </c>
      <c r="G33" s="2" t="inlineStr">
        <is>
          <t>20FT</t>
        </is>
      </c>
      <c r="H33" s="5" t="n">
        <v>227.75</v>
      </c>
      <c r="I33" s="5" t="n">
        <v>237.77</v>
      </c>
      <c r="J33" s="3" t="n">
        <v>1394.23</v>
      </c>
      <c r="K33" s="3" t="n">
        <v>58.02</v>
      </c>
      <c r="L33" s="3" t="n">
        <v>144.33</v>
      </c>
      <c r="M33" s="3" t="n">
        <v>1596.58</v>
      </c>
      <c r="N33" s="5" t="n">
        <v>16</v>
      </c>
      <c r="O33" s="2" t="inlineStr">
        <is>
          <t>Teslim Edildi</t>
        </is>
      </c>
    </row>
    <row r="34">
      <c r="A34" s="2" t="inlineStr">
        <is>
          <t>SVK-0033</t>
        </is>
      </c>
      <c r="B34" s="2" t="inlineStr">
        <is>
          <t>SIP-0029</t>
        </is>
      </c>
      <c r="C34" s="2" t="inlineStr">
        <is>
          <t>MUS-082</t>
        </is>
      </c>
      <c r="D34" s="2" t="inlineStr">
        <is>
          <t>Hollanda</t>
        </is>
      </c>
      <c r="E34" s="6" t="n">
        <v>45518</v>
      </c>
      <c r="F34" s="2" t="inlineStr">
        <is>
          <t>Denizyolu</t>
        </is>
      </c>
      <c r="G34" s="2" t="inlineStr">
        <is>
          <t>20FT</t>
        </is>
      </c>
      <c r="H34" s="5" t="n">
        <v>227.75</v>
      </c>
      <c r="I34" s="5" t="n">
        <v>240.76</v>
      </c>
      <c r="J34" s="3" t="n">
        <v>1291.14</v>
      </c>
      <c r="K34" s="3" t="n">
        <v>72.12</v>
      </c>
      <c r="L34" s="3" t="n">
        <v>131.76</v>
      </c>
      <c r="M34" s="3" t="n">
        <v>1495.02</v>
      </c>
      <c r="N34" s="5" t="n">
        <v>15</v>
      </c>
      <c r="O34" s="2" t="inlineStr">
        <is>
          <t>Yolda</t>
        </is>
      </c>
    </row>
    <row r="35">
      <c r="A35" s="2" t="inlineStr">
        <is>
          <t>SVK-0034</t>
        </is>
      </c>
      <c r="B35" s="2" t="inlineStr">
        <is>
          <t>SIP-0030</t>
        </is>
      </c>
      <c r="C35" s="2" t="inlineStr">
        <is>
          <t>MUS-070</t>
        </is>
      </c>
      <c r="D35" s="2" t="inlineStr">
        <is>
          <t>Polonya</t>
        </is>
      </c>
      <c r="E35" s="6" t="n">
        <v>45516</v>
      </c>
      <c r="F35" s="2" t="inlineStr">
        <is>
          <t>Karayolu</t>
        </is>
      </c>
      <c r="G35" s="2" t="inlineStr">
        <is>
          <t>40FT</t>
        </is>
      </c>
      <c r="H35" s="5" t="n">
        <v>649</v>
      </c>
      <c r="I35" s="5" t="n">
        <v>673</v>
      </c>
      <c r="J35" s="3" t="n">
        <v>2873.21</v>
      </c>
      <c r="K35" s="3" t="n">
        <v>96.95999999999999</v>
      </c>
      <c r="L35" s="3" t="n">
        <v>211.28</v>
      </c>
      <c r="M35" s="3" t="n">
        <v>3181.45</v>
      </c>
      <c r="N35" s="5" t="n">
        <v>12</v>
      </c>
      <c r="O35" s="2" t="inlineStr">
        <is>
          <t>Teslim Edildi</t>
        </is>
      </c>
    </row>
    <row r="36">
      <c r="A36" s="2" t="inlineStr">
        <is>
          <t>SVK-0035</t>
        </is>
      </c>
      <c r="B36" s="2" t="inlineStr">
        <is>
          <t>SIP-0031</t>
        </is>
      </c>
      <c r="C36" s="2" t="inlineStr">
        <is>
          <t>MUS-069</t>
        </is>
      </c>
      <c r="D36" s="2" t="inlineStr">
        <is>
          <t>Romanya</t>
        </is>
      </c>
      <c r="E36" s="6" t="n">
        <v>45513</v>
      </c>
      <c r="F36" s="2" t="inlineStr">
        <is>
          <t>Karayolu</t>
        </is>
      </c>
      <c r="G36" s="2" t="inlineStr">
        <is>
          <t>Parsiyel</t>
        </is>
      </c>
      <c r="H36" s="5" t="n">
        <v>106.06</v>
      </c>
      <c r="I36" s="5" t="n">
        <v>110.82</v>
      </c>
      <c r="J36" s="3" t="n">
        <v>1666.14</v>
      </c>
      <c r="K36" s="3" t="n">
        <v>63.76</v>
      </c>
      <c r="L36" s="3" t="n">
        <v>275.11</v>
      </c>
      <c r="M36" s="3" t="n">
        <v>2005.01</v>
      </c>
      <c r="N36" s="5" t="n">
        <v>8</v>
      </c>
      <c r="O36" s="2" t="inlineStr">
        <is>
          <t>Yolda</t>
        </is>
      </c>
    </row>
    <row r="37">
      <c r="A37" s="2" t="inlineStr">
        <is>
          <t>SVK-0036</t>
        </is>
      </c>
      <c r="B37" s="2" t="inlineStr">
        <is>
          <t>SIP-0032</t>
        </is>
      </c>
      <c r="C37" s="2" t="inlineStr">
        <is>
          <t>MUS-039</t>
        </is>
      </c>
      <c r="D37" s="2" t="inlineStr">
        <is>
          <t>BAE</t>
        </is>
      </c>
      <c r="E37" s="6" t="n">
        <v>45509</v>
      </c>
      <c r="F37" s="2" t="inlineStr">
        <is>
          <t>Denizyolu</t>
        </is>
      </c>
      <c r="G37" s="2" t="inlineStr">
        <is>
          <t>40FT</t>
        </is>
      </c>
      <c r="H37" s="5" t="n">
        <v>524.78</v>
      </c>
      <c r="I37" s="5" t="n">
        <v>564.3</v>
      </c>
      <c r="J37" s="3" t="n">
        <v>1737.39</v>
      </c>
      <c r="K37" s="3" t="n">
        <v>80.02</v>
      </c>
      <c r="L37" s="3" t="n">
        <v>158.53</v>
      </c>
      <c r="M37" s="3" t="n">
        <v>1975.94</v>
      </c>
      <c r="N37" s="5" t="n">
        <v>18</v>
      </c>
      <c r="O37" s="2" t="inlineStr">
        <is>
          <t>Teslim Edildi</t>
        </is>
      </c>
    </row>
    <row r="38">
      <c r="A38" s="2" t="inlineStr">
        <is>
          <t>SVK-0037</t>
        </is>
      </c>
      <c r="B38" s="2" t="inlineStr">
        <is>
          <t>SIP-0032</t>
        </is>
      </c>
      <c r="C38" s="2" t="inlineStr">
        <is>
          <t>MUS-039</t>
        </is>
      </c>
      <c r="D38" s="2" t="inlineStr">
        <is>
          <t>BAE</t>
        </is>
      </c>
      <c r="E38" s="6" t="n">
        <v>45510</v>
      </c>
      <c r="F38" s="2" t="inlineStr">
        <is>
          <t>Denizyolu</t>
        </is>
      </c>
      <c r="G38" s="2" t="inlineStr">
        <is>
          <t>40FT</t>
        </is>
      </c>
      <c r="H38" s="5" t="n">
        <v>524.78</v>
      </c>
      <c r="I38" s="5" t="n">
        <v>546.75</v>
      </c>
      <c r="J38" s="3" t="n">
        <v>1640.09</v>
      </c>
      <c r="K38" s="3" t="n">
        <v>83.55</v>
      </c>
      <c r="L38" s="3" t="n">
        <v>198.5</v>
      </c>
      <c r="M38" s="3" t="n">
        <v>1922.14</v>
      </c>
      <c r="N38" s="5" t="n">
        <v>16</v>
      </c>
      <c r="O38" s="2" t="inlineStr">
        <is>
          <t>Teslim Edildi</t>
        </is>
      </c>
    </row>
    <row r="39">
      <c r="A39" s="2" t="inlineStr">
        <is>
          <t>SVK-0038</t>
        </is>
      </c>
      <c r="B39" s="2" t="inlineStr">
        <is>
          <t>SIP-0033</t>
        </is>
      </c>
      <c r="C39" s="2" t="inlineStr">
        <is>
          <t>MUS-013</t>
        </is>
      </c>
      <c r="D39" s="2" t="inlineStr">
        <is>
          <t>Romanya</t>
        </is>
      </c>
      <c r="E39" s="6" t="n">
        <v>45513</v>
      </c>
      <c r="F39" s="2" t="inlineStr">
        <is>
          <t>Karayolu</t>
        </is>
      </c>
      <c r="G39" s="2" t="inlineStr">
        <is>
          <t>20FT</t>
        </is>
      </c>
      <c r="H39" s="5" t="n">
        <v>324.6</v>
      </c>
      <c r="I39" s="5" t="n">
        <v>339.59</v>
      </c>
      <c r="J39" s="3" t="n">
        <v>1500.19</v>
      </c>
      <c r="K39" s="3" t="n">
        <v>55.83</v>
      </c>
      <c r="L39" s="3" t="n">
        <v>247.56</v>
      </c>
      <c r="M39" s="3" t="n">
        <v>1803.58</v>
      </c>
      <c r="N39" s="5" t="n">
        <v>9</v>
      </c>
      <c r="O39" s="2" t="inlineStr">
        <is>
          <t>Teslim Edildi</t>
        </is>
      </c>
    </row>
    <row r="40">
      <c r="A40" s="2" t="inlineStr">
        <is>
          <t>SVK-0039</t>
        </is>
      </c>
      <c r="B40" s="2" t="inlineStr">
        <is>
          <t>SIP-0034</t>
        </is>
      </c>
      <c r="C40" s="2" t="inlineStr">
        <is>
          <t>MUS-041</t>
        </is>
      </c>
      <c r="D40" s="2" t="inlineStr">
        <is>
          <t>Hollanda</t>
        </is>
      </c>
      <c r="E40" s="6" t="n">
        <v>45520</v>
      </c>
      <c r="F40" s="2" t="inlineStr">
        <is>
          <t>Denizyolu</t>
        </is>
      </c>
      <c r="G40" s="2" t="inlineStr">
        <is>
          <t>Open Top 40FT</t>
        </is>
      </c>
      <c r="H40" s="5" t="n">
        <v>3660.44</v>
      </c>
      <c r="I40" s="5" t="n">
        <v>3879.76</v>
      </c>
      <c r="J40" s="3" t="n">
        <v>2941.58</v>
      </c>
      <c r="K40" s="3" t="n">
        <v>110.52</v>
      </c>
      <c r="L40" s="3" t="n">
        <v>251.42</v>
      </c>
      <c r="M40" s="3" t="n">
        <v>3303.52</v>
      </c>
      <c r="N40" s="5" t="n">
        <v>13</v>
      </c>
      <c r="O40" s="2" t="inlineStr">
        <is>
          <t>Yolda</t>
        </is>
      </c>
    </row>
    <row r="41">
      <c r="A41" s="2" t="inlineStr">
        <is>
          <t>SVK-0040</t>
        </is>
      </c>
      <c r="B41" s="2" t="inlineStr">
        <is>
          <t>SIP-0035</t>
        </is>
      </c>
      <c r="C41" s="2" t="inlineStr">
        <is>
          <t>MUS-063</t>
        </is>
      </c>
      <c r="D41" s="2" t="inlineStr">
        <is>
          <t>Polonya</t>
        </is>
      </c>
      <c r="E41" s="6" t="n">
        <v>45530</v>
      </c>
      <c r="F41" s="2" t="inlineStr">
        <is>
          <t>Karayolu</t>
        </is>
      </c>
      <c r="G41" s="2" t="inlineStr">
        <is>
          <t>Open Top 40FT</t>
        </is>
      </c>
      <c r="H41" s="5" t="n">
        <v>2293.92</v>
      </c>
      <c r="I41" s="5" t="n">
        <v>2368.44</v>
      </c>
      <c r="J41" s="3" t="n">
        <v>2545.07</v>
      </c>
      <c r="K41" s="3" t="n">
        <v>97.81999999999999</v>
      </c>
      <c r="L41" s="3" t="n">
        <v>203.6</v>
      </c>
      <c r="M41" s="3" t="n">
        <v>2846.49</v>
      </c>
      <c r="N41" s="5" t="n">
        <v>12</v>
      </c>
      <c r="O41" s="2" t="inlineStr">
        <is>
          <t>Teslim Edildi</t>
        </is>
      </c>
    </row>
    <row r="42">
      <c r="A42" s="2" t="inlineStr">
        <is>
          <t>SVK-0041</t>
        </is>
      </c>
      <c r="B42" s="2" t="inlineStr">
        <is>
          <t>SIP-0036</t>
        </is>
      </c>
      <c r="C42" s="2" t="inlineStr">
        <is>
          <t>MUS-069</t>
        </is>
      </c>
      <c r="D42" s="2" t="inlineStr">
        <is>
          <t>Romanya</t>
        </is>
      </c>
      <c r="E42" s="6" t="n">
        <v>45537</v>
      </c>
      <c r="F42" s="2" t="inlineStr">
        <is>
          <t>Denizyolu</t>
        </is>
      </c>
      <c r="G42" s="2" t="inlineStr">
        <is>
          <t>Open Top 40FT</t>
        </is>
      </c>
      <c r="H42" s="5" t="n">
        <v>3911.88</v>
      </c>
      <c r="I42" s="5" t="n">
        <v>4150.48</v>
      </c>
      <c r="J42" s="3" t="n">
        <v>1754.77</v>
      </c>
      <c r="K42" s="3" t="n">
        <v>76.72</v>
      </c>
      <c r="L42" s="3" t="n">
        <v>266.25</v>
      </c>
      <c r="M42" s="3" t="n">
        <v>2097.74</v>
      </c>
      <c r="N42" s="5" t="n">
        <v>10</v>
      </c>
      <c r="O42" s="2" t="inlineStr">
        <is>
          <t>Teslim Edildi</t>
        </is>
      </c>
    </row>
    <row r="43">
      <c r="A43" s="2" t="inlineStr">
        <is>
          <t>SVK-0042</t>
        </is>
      </c>
      <c r="B43" s="2" t="inlineStr">
        <is>
          <t>SIP-0037</t>
        </is>
      </c>
      <c r="C43" s="2" t="inlineStr">
        <is>
          <t>MUS-048</t>
        </is>
      </c>
      <c r="D43" s="2" t="inlineStr">
        <is>
          <t>Hollanda</t>
        </is>
      </c>
      <c r="E43" s="6" t="n">
        <v>45506</v>
      </c>
      <c r="F43" s="2" t="inlineStr">
        <is>
          <t>Denizyolu</t>
        </is>
      </c>
      <c r="G43" s="2" t="inlineStr">
        <is>
          <t>Open Top 40FT</t>
        </is>
      </c>
      <c r="H43" s="5" t="n">
        <v>4410.94</v>
      </c>
      <c r="I43" s="5" t="n">
        <v>4660.76</v>
      </c>
      <c r="J43" s="3" t="n">
        <v>2637.42</v>
      </c>
      <c r="K43" s="3" t="n">
        <v>121.21</v>
      </c>
      <c r="L43" s="3" t="n">
        <v>300.04</v>
      </c>
      <c r="M43" s="3" t="n">
        <v>3058.67</v>
      </c>
      <c r="N43" s="5" t="n">
        <v>13</v>
      </c>
      <c r="O43" s="2" t="inlineStr">
        <is>
          <t>Teslim Edildi</t>
        </is>
      </c>
    </row>
    <row r="44">
      <c r="A44" s="2" t="inlineStr">
        <is>
          <t>SVK-0043</t>
        </is>
      </c>
      <c r="B44" s="2" t="inlineStr">
        <is>
          <t>SIP-0038</t>
        </is>
      </c>
      <c r="C44" s="2" t="inlineStr">
        <is>
          <t>MUS-080</t>
        </is>
      </c>
      <c r="D44" s="2" t="inlineStr">
        <is>
          <t>Cezayir</t>
        </is>
      </c>
      <c r="E44" s="6" t="n">
        <v>45515</v>
      </c>
      <c r="F44" s="2" t="inlineStr">
        <is>
          <t>Denizyolu</t>
        </is>
      </c>
      <c r="G44" s="2" t="inlineStr">
        <is>
          <t>20FT</t>
        </is>
      </c>
      <c r="H44" s="5" t="n">
        <v>390.48</v>
      </c>
      <c r="I44" s="5" t="n">
        <v>408.28</v>
      </c>
      <c r="J44" s="3" t="n">
        <v>3838.75</v>
      </c>
      <c r="K44" s="3" t="n">
        <v>154.84</v>
      </c>
      <c r="L44" s="3" t="n">
        <v>468.13</v>
      </c>
      <c r="M44" s="3" t="n">
        <v>4461.72</v>
      </c>
      <c r="N44" s="5" t="n">
        <v>21</v>
      </c>
      <c r="O44" s="2" t="inlineStr">
        <is>
          <t>Teslim Edildi</t>
        </is>
      </c>
    </row>
    <row r="45">
      <c r="A45" s="2" t="inlineStr">
        <is>
          <t>SVK-0044</t>
        </is>
      </c>
      <c r="B45" s="2" t="inlineStr">
        <is>
          <t>SIP-0039</t>
        </is>
      </c>
      <c r="C45" s="2" t="inlineStr">
        <is>
          <t>MUS-022</t>
        </is>
      </c>
      <c r="D45" s="2" t="inlineStr">
        <is>
          <t>Hollanda</t>
        </is>
      </c>
      <c r="E45" s="6" t="n">
        <v>45573</v>
      </c>
      <c r="F45" s="2" t="inlineStr">
        <is>
          <t>Denizyolu</t>
        </is>
      </c>
      <c r="G45" s="2" t="inlineStr">
        <is>
          <t>40FT</t>
        </is>
      </c>
      <c r="H45" s="5" t="n">
        <v>1009.36</v>
      </c>
      <c r="I45" s="5" t="n">
        <v>1046.13</v>
      </c>
      <c r="J45" s="3" t="n">
        <v>2326.62</v>
      </c>
      <c r="K45" s="3" t="n">
        <v>88.45999999999999</v>
      </c>
      <c r="L45" s="3" t="n">
        <v>270.5</v>
      </c>
      <c r="M45" s="3" t="n">
        <v>2685.58</v>
      </c>
      <c r="N45" s="5" t="n">
        <v>16</v>
      </c>
      <c r="O45" s="2" t="inlineStr">
        <is>
          <t>Yolda</t>
        </is>
      </c>
    </row>
    <row r="46">
      <c r="A46" s="2" t="inlineStr">
        <is>
          <t>SVK-0045</t>
        </is>
      </c>
      <c r="B46" s="2" t="inlineStr">
        <is>
          <t>SIP-0040</t>
        </is>
      </c>
      <c r="C46" s="2" t="inlineStr">
        <is>
          <t>MUS-038</t>
        </is>
      </c>
      <c r="D46" s="2" t="inlineStr">
        <is>
          <t>Suudi Arabistan</t>
        </is>
      </c>
      <c r="E46" s="6" t="n">
        <v>45565</v>
      </c>
      <c r="F46" s="2" t="inlineStr">
        <is>
          <t>Karayolu</t>
        </is>
      </c>
      <c r="G46" s="2" t="inlineStr">
        <is>
          <t>20FT</t>
        </is>
      </c>
      <c r="H46" s="5" t="n">
        <v>353.4</v>
      </c>
      <c r="I46" s="5" t="n">
        <v>372.12</v>
      </c>
      <c r="J46" s="3" t="n">
        <v>4070.36</v>
      </c>
      <c r="K46" s="3" t="n">
        <v>222.08</v>
      </c>
      <c r="L46" s="3" t="n">
        <v>330.99</v>
      </c>
      <c r="M46" s="3" t="n">
        <v>4623.43</v>
      </c>
      <c r="N46" s="5" t="n">
        <v>22</v>
      </c>
      <c r="O46" s="2" t="inlineStr">
        <is>
          <t>Teslim Edildi</t>
        </is>
      </c>
    </row>
    <row r="47">
      <c r="A47" s="2" t="inlineStr">
        <is>
          <t>SVK-0046</t>
        </is>
      </c>
      <c r="B47" s="2" t="inlineStr">
        <is>
          <t>SIP-0041</t>
        </is>
      </c>
      <c r="C47" s="2" t="inlineStr">
        <is>
          <t>MUS-084</t>
        </is>
      </c>
      <c r="D47" s="2" t="inlineStr">
        <is>
          <t>Polonya</t>
        </is>
      </c>
      <c r="E47" s="6" t="n">
        <v>45544</v>
      </c>
      <c r="F47" s="2" t="inlineStr">
        <is>
          <t>Karayolu</t>
        </is>
      </c>
      <c r="G47" s="2" t="inlineStr">
        <is>
          <t>Parsiyel</t>
        </is>
      </c>
      <c r="H47" s="5" t="n">
        <v>110.39</v>
      </c>
      <c r="I47" s="5" t="n">
        <v>113.82</v>
      </c>
      <c r="J47" s="3" t="n">
        <v>2428.03</v>
      </c>
      <c r="K47" s="3" t="n">
        <v>124.87</v>
      </c>
      <c r="L47" s="3" t="n">
        <v>217.79</v>
      </c>
      <c r="M47" s="3" t="n">
        <v>2770.69</v>
      </c>
      <c r="N47" s="5" t="n">
        <v>8</v>
      </c>
      <c r="O47" s="2" t="inlineStr">
        <is>
          <t>Teslim Edildi</t>
        </is>
      </c>
    </row>
    <row r="48">
      <c r="A48" s="2" t="inlineStr">
        <is>
          <t>SVK-0047</t>
        </is>
      </c>
      <c r="B48" s="2" t="inlineStr">
        <is>
          <t>SIP-0042</t>
        </is>
      </c>
      <c r="C48" s="2" t="inlineStr">
        <is>
          <t>MUS-025</t>
        </is>
      </c>
      <c r="D48" s="2" t="inlineStr">
        <is>
          <t>Almanya</t>
        </is>
      </c>
      <c r="E48" s="6" t="n">
        <v>45561</v>
      </c>
      <c r="F48" s="2" t="inlineStr">
        <is>
          <t>Karayolu</t>
        </is>
      </c>
      <c r="G48" s="2" t="inlineStr">
        <is>
          <t>40FT</t>
        </is>
      </c>
      <c r="H48" s="5" t="n">
        <v>1748.57</v>
      </c>
      <c r="I48" s="5" t="n">
        <v>1840.47</v>
      </c>
      <c r="J48" s="3" t="n">
        <v>2368.26</v>
      </c>
      <c r="K48" s="3" t="n">
        <v>100.17</v>
      </c>
      <c r="L48" s="3" t="n">
        <v>246.41</v>
      </c>
      <c r="M48" s="3" t="n">
        <v>2714.84</v>
      </c>
      <c r="N48" s="5" t="n">
        <v>7</v>
      </c>
      <c r="O48" s="2" t="inlineStr">
        <is>
          <t>Teslim Edildi</t>
        </is>
      </c>
    </row>
    <row r="49">
      <c r="A49" s="2" t="inlineStr">
        <is>
          <t>SVK-0048</t>
        </is>
      </c>
      <c r="B49" s="2" t="inlineStr">
        <is>
          <t>SIP-0043</t>
        </is>
      </c>
      <c r="C49" s="2" t="inlineStr">
        <is>
          <t>MUS-031</t>
        </is>
      </c>
      <c r="D49" s="2" t="inlineStr">
        <is>
          <t>Polonya</t>
        </is>
      </c>
      <c r="E49" s="6" t="n">
        <v>45542</v>
      </c>
      <c r="F49" s="2" t="inlineStr">
        <is>
          <t>Karayolu</t>
        </is>
      </c>
      <c r="G49" s="2" t="inlineStr">
        <is>
          <t>20FT</t>
        </is>
      </c>
      <c r="H49" s="5" t="n">
        <v>229.13</v>
      </c>
      <c r="I49" s="5" t="n">
        <v>238.56</v>
      </c>
      <c r="J49" s="3" t="n">
        <v>1438.15</v>
      </c>
      <c r="K49" s="3" t="n">
        <v>77.06999999999999</v>
      </c>
      <c r="L49" s="3" t="n">
        <v>160.35</v>
      </c>
      <c r="M49" s="3" t="n">
        <v>1675.57</v>
      </c>
      <c r="N49" s="5" t="n">
        <v>14</v>
      </c>
      <c r="O49" s="2" t="inlineStr">
        <is>
          <t>Teslim Edildi</t>
        </is>
      </c>
    </row>
    <row r="50">
      <c r="A50" s="2" t="inlineStr">
        <is>
          <t>SVK-0049</t>
        </is>
      </c>
      <c r="B50" s="2" t="inlineStr">
        <is>
          <t>SIP-0043</t>
        </is>
      </c>
      <c r="C50" s="2" t="inlineStr">
        <is>
          <t>MUS-031</t>
        </is>
      </c>
      <c r="D50" s="2" t="inlineStr">
        <is>
          <t>Polonya</t>
        </is>
      </c>
      <c r="E50" s="6" t="n">
        <v>45543</v>
      </c>
      <c r="F50" s="2" t="inlineStr">
        <is>
          <t>Karayolu</t>
        </is>
      </c>
      <c r="G50" s="2" t="inlineStr">
        <is>
          <t>20FT</t>
        </is>
      </c>
      <c r="H50" s="5" t="n">
        <v>229.13</v>
      </c>
      <c r="I50" s="5" t="n">
        <v>238.61</v>
      </c>
      <c r="J50" s="3" t="n">
        <v>1171.01</v>
      </c>
      <c r="K50" s="3" t="n">
        <v>50.98</v>
      </c>
      <c r="L50" s="3" t="n">
        <v>140.52</v>
      </c>
      <c r="M50" s="3" t="n">
        <v>1362.51</v>
      </c>
      <c r="N50" s="5" t="n">
        <v>9</v>
      </c>
      <c r="O50" s="2" t="inlineStr">
        <is>
          <t>Gumrukte</t>
        </is>
      </c>
    </row>
    <row r="51">
      <c r="A51" s="2" t="inlineStr">
        <is>
          <t>SVK-0050</t>
        </is>
      </c>
      <c r="B51" s="2" t="inlineStr">
        <is>
          <t>SIP-0044</t>
        </is>
      </c>
      <c r="C51" s="2" t="inlineStr">
        <is>
          <t>MUS-012</t>
        </is>
      </c>
      <c r="D51" s="2" t="inlineStr">
        <is>
          <t>Hollanda</t>
        </is>
      </c>
      <c r="E51" s="6" t="n">
        <v>45537</v>
      </c>
      <c r="F51" s="2" t="inlineStr">
        <is>
          <t>Denizyolu</t>
        </is>
      </c>
      <c r="G51" s="2" t="inlineStr">
        <is>
          <t>40FT</t>
        </is>
      </c>
      <c r="H51" s="5" t="n">
        <v>1556.53</v>
      </c>
      <c r="I51" s="5" t="n">
        <v>1630.37</v>
      </c>
      <c r="J51" s="3" t="n">
        <v>2784.55</v>
      </c>
      <c r="K51" s="3" t="n">
        <v>148.52</v>
      </c>
      <c r="L51" s="3" t="n">
        <v>241.19</v>
      </c>
      <c r="M51" s="3" t="n">
        <v>3174.26</v>
      </c>
      <c r="N51" s="5" t="n">
        <v>16</v>
      </c>
      <c r="O51" s="2" t="inlineStr">
        <is>
          <t>Yolda</t>
        </is>
      </c>
    </row>
    <row r="52">
      <c r="A52" s="2" t="inlineStr">
        <is>
          <t>SVK-0051</t>
        </is>
      </c>
      <c r="B52" s="2" t="inlineStr">
        <is>
          <t>SIP-0045</t>
        </is>
      </c>
      <c r="C52" s="2" t="inlineStr">
        <is>
          <t>MUS-068</t>
        </is>
      </c>
      <c r="D52" s="2" t="inlineStr">
        <is>
          <t>Hollanda</t>
        </is>
      </c>
      <c r="E52" s="6" t="n">
        <v>45538</v>
      </c>
      <c r="F52" s="2" t="inlineStr">
        <is>
          <t>Denizyolu</t>
        </is>
      </c>
      <c r="G52" s="2" t="inlineStr">
        <is>
          <t>40FT</t>
        </is>
      </c>
      <c r="H52" s="5" t="n">
        <v>758.6</v>
      </c>
      <c r="I52" s="5" t="n">
        <v>786.1799999999999</v>
      </c>
      <c r="J52" s="3" t="n">
        <v>3043.2</v>
      </c>
      <c r="K52" s="3" t="n">
        <v>98.72</v>
      </c>
      <c r="L52" s="3" t="n">
        <v>204.04</v>
      </c>
      <c r="M52" s="3" t="n">
        <v>3345.96</v>
      </c>
      <c r="N52" s="5" t="n">
        <v>10</v>
      </c>
      <c r="O52" s="2" t="inlineStr">
        <is>
          <t>Teslim Edildi</t>
        </is>
      </c>
    </row>
    <row r="53">
      <c r="A53" s="2" t="inlineStr">
        <is>
          <t>SVK-0052</t>
        </is>
      </c>
      <c r="B53" s="2" t="inlineStr">
        <is>
          <t>SIP-0046</t>
        </is>
      </c>
      <c r="C53" s="2" t="inlineStr">
        <is>
          <t>MUS-014</t>
        </is>
      </c>
      <c r="D53" s="2" t="inlineStr">
        <is>
          <t>Azerbaycan</t>
        </is>
      </c>
      <c r="E53" s="6" t="n">
        <v>45550</v>
      </c>
      <c r="F53" s="2" t="inlineStr">
        <is>
          <t>Karayolu</t>
        </is>
      </c>
      <c r="G53" s="2" t="inlineStr">
        <is>
          <t>40FT</t>
        </is>
      </c>
      <c r="H53" s="5" t="n">
        <v>1555.84</v>
      </c>
      <c r="I53" s="5" t="n">
        <v>1645.46</v>
      </c>
      <c r="J53" s="3" t="n">
        <v>2610.27</v>
      </c>
      <c r="K53" s="3" t="n">
        <v>139.4</v>
      </c>
      <c r="L53" s="3" t="n">
        <v>477.64</v>
      </c>
      <c r="M53" s="3" t="n">
        <v>3227.31</v>
      </c>
      <c r="N53" s="5" t="n">
        <v>9</v>
      </c>
      <c r="O53" s="2" t="inlineStr">
        <is>
          <t>Teslim Edildi</t>
        </is>
      </c>
    </row>
    <row r="54">
      <c r="A54" s="2" t="inlineStr">
        <is>
          <t>SVK-0053</t>
        </is>
      </c>
      <c r="B54" s="2" t="inlineStr">
        <is>
          <t>SIP-0047</t>
        </is>
      </c>
      <c r="C54" s="2" t="inlineStr">
        <is>
          <t>MUS-071</t>
        </is>
      </c>
      <c r="D54" s="2" t="inlineStr">
        <is>
          <t>Azerbaycan</t>
        </is>
      </c>
      <c r="E54" s="6" t="n">
        <v>45549</v>
      </c>
      <c r="F54" s="2" t="inlineStr">
        <is>
          <t>Denizyolu</t>
        </is>
      </c>
      <c r="G54" s="2" t="inlineStr">
        <is>
          <t>Open Top 40FT</t>
        </is>
      </c>
      <c r="H54" s="5" t="n">
        <v>929.3099999999999</v>
      </c>
      <c r="I54" s="5" t="n">
        <v>984.75</v>
      </c>
      <c r="J54" s="3" t="n">
        <v>1327.41</v>
      </c>
      <c r="K54" s="3" t="n">
        <v>72.12</v>
      </c>
      <c r="L54" s="3" t="n">
        <v>199.03</v>
      </c>
      <c r="M54" s="3" t="n">
        <v>1598.56</v>
      </c>
      <c r="N54" s="5" t="n">
        <v>12</v>
      </c>
      <c r="O54" s="2" t="inlineStr">
        <is>
          <t>Teslim Edildi</t>
        </is>
      </c>
    </row>
    <row r="55">
      <c r="A55" s="2" t="inlineStr">
        <is>
          <t>SVK-0054</t>
        </is>
      </c>
      <c r="B55" s="2" t="inlineStr">
        <is>
          <t>SIP-0047</t>
        </is>
      </c>
      <c r="C55" s="2" t="inlineStr">
        <is>
          <t>MUS-071</t>
        </is>
      </c>
      <c r="D55" s="2" t="inlineStr">
        <is>
          <t>Azerbaycan</t>
        </is>
      </c>
      <c r="E55" s="6" t="n">
        <v>45550</v>
      </c>
      <c r="F55" s="2" t="inlineStr">
        <is>
          <t>Denizyolu</t>
        </is>
      </c>
      <c r="G55" s="2" t="inlineStr">
        <is>
          <t>Open Top 40FT</t>
        </is>
      </c>
      <c r="H55" s="5" t="n">
        <v>929.3099999999999</v>
      </c>
      <c r="I55" s="5" t="n">
        <v>990.2</v>
      </c>
      <c r="J55" s="3" t="n">
        <v>1113.23</v>
      </c>
      <c r="K55" s="3" t="n">
        <v>34.17</v>
      </c>
      <c r="L55" s="3" t="n">
        <v>192.21</v>
      </c>
      <c r="M55" s="3" t="n">
        <v>1339.61</v>
      </c>
      <c r="N55" s="5" t="n">
        <v>10</v>
      </c>
      <c r="O55" s="2" t="inlineStr">
        <is>
          <t>Teslim Edildi</t>
        </is>
      </c>
    </row>
    <row r="56">
      <c r="A56" s="2" t="inlineStr">
        <is>
          <t>SVK-0055</t>
        </is>
      </c>
      <c r="B56" s="2" t="inlineStr">
        <is>
          <t>SIP-0048</t>
        </is>
      </c>
      <c r="C56" s="2" t="inlineStr">
        <is>
          <t>MUS-056</t>
        </is>
      </c>
      <c r="D56" s="2" t="inlineStr">
        <is>
          <t>Italya</t>
        </is>
      </c>
      <c r="E56" s="6" t="n">
        <v>45609</v>
      </c>
      <c r="F56" s="2" t="inlineStr">
        <is>
          <t>Karayolu</t>
        </is>
      </c>
      <c r="G56" s="2" t="inlineStr">
        <is>
          <t>Open Top 40FT</t>
        </is>
      </c>
      <c r="H56" s="5" t="n">
        <v>2166.92</v>
      </c>
      <c r="I56" s="5" t="n">
        <v>2274.89</v>
      </c>
      <c r="J56" s="3" t="n">
        <v>2258.36</v>
      </c>
      <c r="K56" s="3" t="n">
        <v>91.29000000000001</v>
      </c>
      <c r="L56" s="3" t="n">
        <v>274.69</v>
      </c>
      <c r="M56" s="3" t="n">
        <v>2624.34</v>
      </c>
      <c r="N56" s="5" t="n">
        <v>13</v>
      </c>
      <c r="O56" s="2" t="inlineStr">
        <is>
          <t>Teslim Edildi</t>
        </is>
      </c>
    </row>
    <row r="57">
      <c r="A57" s="2" t="inlineStr">
        <is>
          <t>SVK-0056</t>
        </is>
      </c>
      <c r="B57" s="2" t="inlineStr">
        <is>
          <t>SIP-0049</t>
        </is>
      </c>
      <c r="C57" s="2" t="inlineStr">
        <is>
          <t>MUS-074</t>
        </is>
      </c>
      <c r="D57" s="2" t="inlineStr">
        <is>
          <t>Azerbaycan</t>
        </is>
      </c>
      <c r="E57" s="6" t="n">
        <v>45581</v>
      </c>
      <c r="F57" s="2" t="inlineStr">
        <is>
          <t>Karayolu</t>
        </is>
      </c>
      <c r="G57" s="2" t="inlineStr">
        <is>
          <t>Open Top 40FT</t>
        </is>
      </c>
      <c r="H57" s="5" t="n">
        <v>3351.58</v>
      </c>
      <c r="I57" s="5" t="n">
        <v>3587.73</v>
      </c>
      <c r="J57" s="3" t="n">
        <v>2061.95</v>
      </c>
      <c r="K57" s="3" t="n">
        <v>110.84</v>
      </c>
      <c r="L57" s="3" t="n">
        <v>346.13</v>
      </c>
      <c r="M57" s="3" t="n">
        <v>2518.92</v>
      </c>
      <c r="N57" s="5" t="n">
        <v>14</v>
      </c>
      <c r="O57" s="2" t="inlineStr">
        <is>
          <t>Teslim Edildi</t>
        </is>
      </c>
    </row>
    <row r="58">
      <c r="A58" s="2" t="inlineStr">
        <is>
          <t>SVK-0057</t>
        </is>
      </c>
      <c r="B58" s="2" t="inlineStr">
        <is>
          <t>SIP-0050</t>
        </is>
      </c>
      <c r="C58" s="2" t="inlineStr">
        <is>
          <t>MUS-081</t>
        </is>
      </c>
      <c r="D58" s="2" t="inlineStr">
        <is>
          <t>Suudi Arabistan</t>
        </is>
      </c>
      <c r="E58" s="6" t="n">
        <v>45635</v>
      </c>
      <c r="F58" s="2" t="inlineStr">
        <is>
          <t>Denizyolu</t>
        </is>
      </c>
      <c r="G58" s="2" t="inlineStr">
        <is>
          <t>Open Top 40FT</t>
        </is>
      </c>
      <c r="H58" s="5" t="n">
        <v>4375.16</v>
      </c>
      <c r="I58" s="5" t="n">
        <v>4681.66</v>
      </c>
      <c r="J58" s="3" t="n">
        <v>3825.47</v>
      </c>
      <c r="K58" s="3" t="n">
        <v>145.82</v>
      </c>
      <c r="L58" s="3" t="n">
        <v>351.78</v>
      </c>
      <c r="M58" s="3" t="n">
        <v>4323.07</v>
      </c>
      <c r="N58" s="5" t="n">
        <v>21</v>
      </c>
      <c r="O58" s="2" t="inlineStr">
        <is>
          <t>Teslim Edildi</t>
        </is>
      </c>
    </row>
    <row r="59">
      <c r="A59" s="2" t="inlineStr">
        <is>
          <t>SVK-0058</t>
        </is>
      </c>
      <c r="B59" s="2" t="inlineStr">
        <is>
          <t>SIP-0051</t>
        </is>
      </c>
      <c r="C59" s="2" t="inlineStr">
        <is>
          <t>MUS-067</t>
        </is>
      </c>
      <c r="D59" s="2" t="inlineStr">
        <is>
          <t>Katar</t>
        </is>
      </c>
      <c r="E59" s="6" t="n">
        <v>45570</v>
      </c>
      <c r="F59" s="2" t="inlineStr">
        <is>
          <t>Karayolu</t>
        </is>
      </c>
      <c r="G59" s="2" t="inlineStr">
        <is>
          <t>40FT</t>
        </is>
      </c>
      <c r="H59" s="5" t="n">
        <v>846.72</v>
      </c>
      <c r="I59" s="5" t="n">
        <v>908.87</v>
      </c>
      <c r="J59" s="3" t="n">
        <v>4550.83</v>
      </c>
      <c r="K59" s="3" t="n">
        <v>147.65</v>
      </c>
      <c r="L59" s="3" t="n">
        <v>405.28</v>
      </c>
      <c r="M59" s="3" t="n">
        <v>5103.76</v>
      </c>
      <c r="N59" s="5" t="n">
        <v>19</v>
      </c>
      <c r="O59" s="2" t="inlineStr">
        <is>
          <t>Teslim Edildi</t>
        </is>
      </c>
    </row>
    <row r="60">
      <c r="A60" s="2" t="inlineStr">
        <is>
          <t>SVK-0059</t>
        </is>
      </c>
      <c r="B60" s="2" t="inlineStr">
        <is>
          <t>SIP-0052</t>
        </is>
      </c>
      <c r="C60" s="2" t="inlineStr">
        <is>
          <t>MUS-003</t>
        </is>
      </c>
      <c r="D60" s="2" t="inlineStr">
        <is>
          <t>BAE</t>
        </is>
      </c>
      <c r="E60" s="6" t="n">
        <v>45597</v>
      </c>
      <c r="F60" s="2" t="inlineStr">
        <is>
          <t>Karayolu</t>
        </is>
      </c>
      <c r="G60" s="2" t="inlineStr">
        <is>
          <t>40FT</t>
        </is>
      </c>
      <c r="H60" s="5" t="n">
        <v>871.49</v>
      </c>
      <c r="I60" s="5" t="n">
        <v>923.02</v>
      </c>
      <c r="J60" s="3" t="n">
        <v>2114.2</v>
      </c>
      <c r="K60" s="3" t="n">
        <v>108.4</v>
      </c>
      <c r="L60" s="3" t="n">
        <v>251.55</v>
      </c>
      <c r="M60" s="3" t="n">
        <v>2474.15</v>
      </c>
      <c r="N60" s="5" t="n">
        <v>23</v>
      </c>
      <c r="O60" s="2" t="inlineStr">
        <is>
          <t>Gumrukte</t>
        </is>
      </c>
    </row>
    <row r="61">
      <c r="A61" s="2" t="inlineStr">
        <is>
          <t>SVK-0060</t>
        </is>
      </c>
      <c r="B61" s="2" t="inlineStr">
        <is>
          <t>SIP-0052</t>
        </is>
      </c>
      <c r="C61" s="2" t="inlineStr">
        <is>
          <t>MUS-003</t>
        </is>
      </c>
      <c r="D61" s="2" t="inlineStr">
        <is>
          <t>BAE</t>
        </is>
      </c>
      <c r="E61" s="6" t="n">
        <v>45598</v>
      </c>
      <c r="F61" s="2" t="inlineStr">
        <is>
          <t>Karayolu</t>
        </is>
      </c>
      <c r="G61" s="2" t="inlineStr">
        <is>
          <t>40FT</t>
        </is>
      </c>
      <c r="H61" s="5" t="n">
        <v>871.49</v>
      </c>
      <c r="I61" s="5" t="n">
        <v>909.12</v>
      </c>
      <c r="J61" s="3" t="n">
        <v>1797.26</v>
      </c>
      <c r="K61" s="3" t="n">
        <v>75.59</v>
      </c>
      <c r="L61" s="3" t="n">
        <v>211.43</v>
      </c>
      <c r="M61" s="3" t="n">
        <v>2084.28</v>
      </c>
      <c r="N61" s="5" t="n">
        <v>18</v>
      </c>
      <c r="O61" s="2" t="inlineStr">
        <is>
          <t>Yolda</t>
        </is>
      </c>
    </row>
    <row r="62">
      <c r="A62" s="2" t="inlineStr">
        <is>
          <t>SVK-0061</t>
        </is>
      </c>
      <c r="B62" s="2" t="inlineStr">
        <is>
          <t>SIP-0053</t>
        </is>
      </c>
      <c r="C62" s="2" t="inlineStr">
        <is>
          <t>MUS-047</t>
        </is>
      </c>
      <c r="D62" s="2" t="inlineStr">
        <is>
          <t>Misir</t>
        </is>
      </c>
      <c r="E62" s="6" t="n">
        <v>45575</v>
      </c>
      <c r="F62" s="2" t="inlineStr">
        <is>
          <t>Denizyolu</t>
        </is>
      </c>
      <c r="G62" s="2" t="inlineStr">
        <is>
          <t>40FT</t>
        </is>
      </c>
      <c r="H62" s="5" t="n">
        <v>1539.99</v>
      </c>
      <c r="I62" s="5" t="n">
        <v>1635.72</v>
      </c>
      <c r="J62" s="3" t="n">
        <v>3603.31</v>
      </c>
      <c r="K62" s="3" t="n">
        <v>178.77</v>
      </c>
      <c r="L62" s="3" t="n">
        <v>420.12</v>
      </c>
      <c r="M62" s="3" t="n">
        <v>4202.2</v>
      </c>
      <c r="N62" s="5" t="n">
        <v>12</v>
      </c>
      <c r="O62" s="2" t="inlineStr">
        <is>
          <t>Teslim Edildi</t>
        </is>
      </c>
    </row>
    <row r="63">
      <c r="A63" s="2" t="inlineStr">
        <is>
          <t>SVK-0062</t>
        </is>
      </c>
      <c r="B63" s="2" t="inlineStr">
        <is>
          <t>SIP-0054</t>
        </is>
      </c>
      <c r="C63" s="2" t="inlineStr">
        <is>
          <t>MUS-025</t>
        </is>
      </c>
      <c r="D63" s="2" t="inlineStr">
        <is>
          <t>Almanya</t>
        </is>
      </c>
      <c r="E63" s="6" t="n">
        <v>45569</v>
      </c>
      <c r="F63" s="2" t="inlineStr">
        <is>
          <t>Karayolu</t>
        </is>
      </c>
      <c r="G63" s="2" t="inlineStr">
        <is>
          <t>40FT</t>
        </is>
      </c>
      <c r="H63" s="5" t="n">
        <v>343</v>
      </c>
      <c r="I63" s="5" t="n">
        <v>361.62</v>
      </c>
      <c r="J63" s="3" t="n">
        <v>1073.98</v>
      </c>
      <c r="K63" s="3" t="n">
        <v>63.51</v>
      </c>
      <c r="L63" s="3" t="n">
        <v>126.17</v>
      </c>
      <c r="M63" s="3" t="n">
        <v>1263.66</v>
      </c>
      <c r="N63" s="5" t="n">
        <v>7</v>
      </c>
      <c r="O63" s="2" t="inlineStr">
        <is>
          <t>Teslim Edildi</t>
        </is>
      </c>
    </row>
    <row r="64">
      <c r="A64" s="2" t="inlineStr">
        <is>
          <t>SVK-0063</t>
        </is>
      </c>
      <c r="B64" s="2" t="inlineStr">
        <is>
          <t>SIP-0054</t>
        </is>
      </c>
      <c r="C64" s="2" t="inlineStr">
        <is>
          <t>MUS-025</t>
        </is>
      </c>
      <c r="D64" s="2" t="inlineStr">
        <is>
          <t>Almanya</t>
        </is>
      </c>
      <c r="E64" s="6" t="n">
        <v>45570</v>
      </c>
      <c r="F64" s="2" t="inlineStr">
        <is>
          <t>Karayolu</t>
        </is>
      </c>
      <c r="G64" s="2" t="inlineStr">
        <is>
          <t>40FT</t>
        </is>
      </c>
      <c r="H64" s="5" t="n">
        <v>343</v>
      </c>
      <c r="I64" s="5" t="n">
        <v>363.12</v>
      </c>
      <c r="J64" s="3" t="n">
        <v>1104.52</v>
      </c>
      <c r="K64" s="3" t="n">
        <v>59.78</v>
      </c>
      <c r="L64" s="3" t="n">
        <v>167.35</v>
      </c>
      <c r="M64" s="3" t="n">
        <v>1331.65</v>
      </c>
      <c r="N64" s="5" t="n">
        <v>9</v>
      </c>
      <c r="O64" s="2" t="inlineStr">
        <is>
          <t>Gumrukte</t>
        </is>
      </c>
    </row>
    <row r="65">
      <c r="A65" s="2" t="inlineStr">
        <is>
          <t>SVK-0064</t>
        </is>
      </c>
      <c r="B65" s="2" t="inlineStr">
        <is>
          <t>SIP-0055</t>
        </is>
      </c>
      <c r="C65" s="2" t="inlineStr">
        <is>
          <t>MUS-043</t>
        </is>
      </c>
      <c r="D65" s="2" t="inlineStr">
        <is>
          <t>Polonya</t>
        </is>
      </c>
      <c r="E65" s="6" t="n">
        <v>45600</v>
      </c>
      <c r="F65" s="2" t="inlineStr">
        <is>
          <t>Karayolu</t>
        </is>
      </c>
      <c r="G65" s="2" t="inlineStr">
        <is>
          <t>Open Top 40FT</t>
        </is>
      </c>
      <c r="H65" s="5" t="n">
        <v>1156.38</v>
      </c>
      <c r="I65" s="5" t="n">
        <v>1194.51</v>
      </c>
      <c r="J65" s="3" t="n">
        <v>1241.49</v>
      </c>
      <c r="K65" s="3" t="n">
        <v>42.99</v>
      </c>
      <c r="L65" s="3" t="n">
        <v>124.98</v>
      </c>
      <c r="M65" s="3" t="n">
        <v>1409.46</v>
      </c>
      <c r="N65" s="5" t="n">
        <v>9</v>
      </c>
      <c r="O65" s="2" t="inlineStr">
        <is>
          <t>Teslim Edildi</t>
        </is>
      </c>
    </row>
    <row r="66">
      <c r="A66" s="2" t="inlineStr">
        <is>
          <t>SVK-0065</t>
        </is>
      </c>
      <c r="B66" s="2" t="inlineStr">
        <is>
          <t>SIP-0055</t>
        </is>
      </c>
      <c r="C66" s="2" t="inlineStr">
        <is>
          <t>MUS-043</t>
        </is>
      </c>
      <c r="D66" s="2" t="inlineStr">
        <is>
          <t>Polonya</t>
        </is>
      </c>
      <c r="E66" s="6" t="n">
        <v>45601</v>
      </c>
      <c r="F66" s="2" t="inlineStr">
        <is>
          <t>Karayolu</t>
        </is>
      </c>
      <c r="G66" s="2" t="inlineStr">
        <is>
          <t>Open Top 40FT</t>
        </is>
      </c>
      <c r="H66" s="5" t="n">
        <v>1156.38</v>
      </c>
      <c r="I66" s="5" t="n">
        <v>1213.13</v>
      </c>
      <c r="J66" s="3" t="n">
        <v>1344.1</v>
      </c>
      <c r="K66" s="3" t="n">
        <v>49.75</v>
      </c>
      <c r="L66" s="3" t="n">
        <v>109.52</v>
      </c>
      <c r="M66" s="3" t="n">
        <v>1503.37</v>
      </c>
      <c r="N66" s="5" t="n">
        <v>13</v>
      </c>
      <c r="O66" s="2" t="inlineStr">
        <is>
          <t>Teslim Edildi</t>
        </is>
      </c>
    </row>
    <row r="67">
      <c r="A67" s="2" t="inlineStr">
        <is>
          <t>SVK-0066</t>
        </is>
      </c>
      <c r="B67" s="2" t="inlineStr">
        <is>
          <t>SIP-0056</t>
        </is>
      </c>
      <c r="C67" s="2" t="inlineStr">
        <is>
          <t>MUS-014</t>
        </is>
      </c>
      <c r="D67" s="2" t="inlineStr">
        <is>
          <t>Azerbaycan</t>
        </is>
      </c>
      <c r="E67" s="6" t="n">
        <v>45555</v>
      </c>
      <c r="F67" s="2" t="inlineStr">
        <is>
          <t>Denizyolu</t>
        </is>
      </c>
      <c r="G67" s="2" t="inlineStr">
        <is>
          <t>40FT</t>
        </is>
      </c>
      <c r="H67" s="5" t="n">
        <v>1169.92</v>
      </c>
      <c r="I67" s="5" t="n">
        <v>1256.46</v>
      </c>
      <c r="J67" s="3" t="n">
        <v>2375.23</v>
      </c>
      <c r="K67" s="3" t="n">
        <v>123.85</v>
      </c>
      <c r="L67" s="3" t="n">
        <v>368.25</v>
      </c>
      <c r="M67" s="3" t="n">
        <v>2867.33</v>
      </c>
      <c r="N67" s="5" t="n">
        <v>9</v>
      </c>
      <c r="O67" s="2" t="inlineStr">
        <is>
          <t>Teslim Edildi</t>
        </is>
      </c>
    </row>
    <row r="68">
      <c r="A68" s="2" t="inlineStr">
        <is>
          <t>SVK-0067</t>
        </is>
      </c>
      <c r="B68" s="2" t="inlineStr">
        <is>
          <t>SIP-0057</t>
        </is>
      </c>
      <c r="C68" s="2" t="inlineStr">
        <is>
          <t>MUS-038</t>
        </is>
      </c>
      <c r="D68" s="2" t="inlineStr">
        <is>
          <t>Suudi Arabistan</t>
        </is>
      </c>
      <c r="E68" s="6" t="n">
        <v>45591</v>
      </c>
      <c r="F68" s="2" t="inlineStr">
        <is>
          <t>Karayolu</t>
        </is>
      </c>
      <c r="G68" s="2" t="inlineStr">
        <is>
          <t>Open Top 40FT</t>
        </is>
      </c>
      <c r="H68" s="5" t="n">
        <v>3805.4</v>
      </c>
      <c r="I68" s="5" t="n">
        <v>3924.35</v>
      </c>
      <c r="J68" s="3" t="n">
        <v>4534.21</v>
      </c>
      <c r="K68" s="3" t="n">
        <v>256.89</v>
      </c>
      <c r="L68" s="3" t="n">
        <v>454.24</v>
      </c>
      <c r="M68" s="3" t="n">
        <v>5245.34</v>
      </c>
      <c r="N68" s="5" t="n">
        <v>26</v>
      </c>
      <c r="O68" s="2" t="inlineStr">
        <is>
          <t>Yolda</t>
        </is>
      </c>
    </row>
    <row r="69">
      <c r="A69" s="2" t="inlineStr">
        <is>
          <t>SVK-0068</t>
        </is>
      </c>
      <c r="B69" s="2" t="inlineStr">
        <is>
          <t>SIP-0058</t>
        </is>
      </c>
      <c r="C69" s="2" t="inlineStr">
        <is>
          <t>MUS-037</t>
        </is>
      </c>
      <c r="D69" s="2" t="inlineStr">
        <is>
          <t>Italya</t>
        </is>
      </c>
      <c r="E69" s="6" t="n">
        <v>45568</v>
      </c>
      <c r="F69" s="2" t="inlineStr">
        <is>
          <t>Karayolu</t>
        </is>
      </c>
      <c r="G69" s="2" t="inlineStr">
        <is>
          <t>Open Top 40FT</t>
        </is>
      </c>
      <c r="H69" s="5" t="n">
        <v>3821.46</v>
      </c>
      <c r="I69" s="5" t="n">
        <v>3937.02</v>
      </c>
      <c r="J69" s="3" t="n">
        <v>2823.33</v>
      </c>
      <c r="K69" s="3" t="n">
        <v>156.61</v>
      </c>
      <c r="L69" s="3" t="n">
        <v>314.37</v>
      </c>
      <c r="M69" s="3" t="n">
        <v>3294.31</v>
      </c>
      <c r="N69" s="5" t="n">
        <v>9</v>
      </c>
      <c r="O69" s="2" t="inlineStr">
        <is>
          <t>Yolda</t>
        </is>
      </c>
    </row>
    <row r="70">
      <c r="A70" s="2" t="inlineStr">
        <is>
          <t>SVK-0069</t>
        </is>
      </c>
      <c r="B70" s="2" t="inlineStr">
        <is>
          <t>SIP-0059</t>
        </is>
      </c>
      <c r="C70" s="2" t="inlineStr">
        <is>
          <t>MUS-072</t>
        </is>
      </c>
      <c r="D70" s="2" t="inlineStr">
        <is>
          <t>Polonya</t>
        </is>
      </c>
      <c r="E70" s="6" t="n">
        <v>45611</v>
      </c>
      <c r="F70" s="2" t="inlineStr">
        <is>
          <t>Karayolu</t>
        </is>
      </c>
      <c r="G70" s="2" t="inlineStr">
        <is>
          <t>40FT</t>
        </is>
      </c>
      <c r="H70" s="5" t="n">
        <v>350.73</v>
      </c>
      <c r="I70" s="5" t="n">
        <v>370.99</v>
      </c>
      <c r="J70" s="3" t="n">
        <v>1235.72</v>
      </c>
      <c r="K70" s="3" t="n">
        <v>50.58</v>
      </c>
      <c r="L70" s="3" t="n">
        <v>162.01</v>
      </c>
      <c r="M70" s="3" t="n">
        <v>1448.31</v>
      </c>
      <c r="N70" s="5" t="n">
        <v>9</v>
      </c>
      <c r="O70" s="2" t="inlineStr">
        <is>
          <t>Yolda</t>
        </is>
      </c>
    </row>
    <row r="71">
      <c r="A71" s="2" t="inlineStr">
        <is>
          <t>SVK-0070</t>
        </is>
      </c>
      <c r="B71" s="2" t="inlineStr">
        <is>
          <t>SIP-0059</t>
        </is>
      </c>
      <c r="C71" s="2" t="inlineStr">
        <is>
          <t>MUS-072</t>
        </is>
      </c>
      <c r="D71" s="2" t="inlineStr">
        <is>
          <t>Polonya</t>
        </is>
      </c>
      <c r="E71" s="6" t="n">
        <v>45612</v>
      </c>
      <c r="F71" s="2" t="inlineStr">
        <is>
          <t>Karayolu</t>
        </is>
      </c>
      <c r="G71" s="2" t="inlineStr">
        <is>
          <t>40FT</t>
        </is>
      </c>
      <c r="H71" s="5" t="n">
        <v>350.73</v>
      </c>
      <c r="I71" s="5" t="n">
        <v>375.81</v>
      </c>
      <c r="J71" s="3" t="n">
        <v>1342.23</v>
      </c>
      <c r="K71" s="3" t="n">
        <v>74.26000000000001</v>
      </c>
      <c r="L71" s="3" t="n">
        <v>164.38</v>
      </c>
      <c r="M71" s="3" t="n">
        <v>1580.87</v>
      </c>
      <c r="N71" s="5" t="n">
        <v>11</v>
      </c>
      <c r="O71" s="2" t="inlineStr">
        <is>
          <t>Yolda</t>
        </is>
      </c>
    </row>
    <row r="72">
      <c r="A72" s="2" t="inlineStr">
        <is>
          <t>SVK-0071</t>
        </is>
      </c>
      <c r="B72" s="2" t="inlineStr">
        <is>
          <t>SIP-0060</t>
        </is>
      </c>
      <c r="C72" s="2" t="inlineStr">
        <is>
          <t>MUS-065</t>
        </is>
      </c>
      <c r="D72" s="2" t="inlineStr">
        <is>
          <t>Cezayir</t>
        </is>
      </c>
      <c r="E72" s="6" t="n">
        <v>45609</v>
      </c>
      <c r="F72" s="2" t="inlineStr">
        <is>
          <t>Karayolu</t>
        </is>
      </c>
      <c r="G72" s="2" t="inlineStr">
        <is>
          <t>Open Top 40FT</t>
        </is>
      </c>
      <c r="H72" s="5" t="n">
        <v>1872.37</v>
      </c>
      <c r="I72" s="5" t="n">
        <v>2004.48</v>
      </c>
      <c r="J72" s="3" t="n">
        <v>3031.56</v>
      </c>
      <c r="K72" s="3" t="n">
        <v>95.56</v>
      </c>
      <c r="L72" s="3" t="n">
        <v>483.87</v>
      </c>
      <c r="M72" s="3" t="n">
        <v>3610.99</v>
      </c>
      <c r="N72" s="5" t="n">
        <v>20</v>
      </c>
      <c r="O72" s="2" t="inlineStr">
        <is>
          <t>Teslim Edildi</t>
        </is>
      </c>
    </row>
    <row r="73">
      <c r="A73" s="2" t="inlineStr">
        <is>
          <t>SVK-0072</t>
        </is>
      </c>
      <c r="B73" s="2" t="inlineStr">
        <is>
          <t>SIP-0061</t>
        </is>
      </c>
      <c r="C73" s="2" t="inlineStr">
        <is>
          <t>MUS-064</t>
        </is>
      </c>
      <c r="D73" s="2" t="inlineStr">
        <is>
          <t>Romanya</t>
        </is>
      </c>
      <c r="E73" s="6" t="n">
        <v>45602</v>
      </c>
      <c r="F73" s="2" t="inlineStr">
        <is>
          <t>Karayolu</t>
        </is>
      </c>
      <c r="G73" s="2" t="inlineStr">
        <is>
          <t>20FT</t>
        </is>
      </c>
      <c r="H73" s="5" t="n">
        <v>459.64</v>
      </c>
      <c r="I73" s="5" t="n">
        <v>494.49</v>
      </c>
      <c r="J73" s="3" t="n">
        <v>1640.99</v>
      </c>
      <c r="K73" s="3" t="n">
        <v>65.48</v>
      </c>
      <c r="L73" s="3" t="n">
        <v>297.98</v>
      </c>
      <c r="M73" s="3" t="n">
        <v>2004.45</v>
      </c>
      <c r="N73" s="5" t="n">
        <v>6</v>
      </c>
      <c r="O73" s="2" t="inlineStr">
        <is>
          <t>Teslim Edildi</t>
        </is>
      </c>
    </row>
    <row r="74">
      <c r="A74" s="2" t="inlineStr">
        <is>
          <t>SVK-0073</t>
        </is>
      </c>
      <c r="B74" s="2" t="inlineStr">
        <is>
          <t>SIP-0062</t>
        </is>
      </c>
      <c r="C74" s="2" t="inlineStr">
        <is>
          <t>MUS-051</t>
        </is>
      </c>
      <c r="D74" s="2" t="inlineStr">
        <is>
          <t>Hollanda</t>
        </is>
      </c>
      <c r="E74" s="6" t="n">
        <v>45624</v>
      </c>
      <c r="F74" s="2" t="inlineStr">
        <is>
          <t>Denizyolu</t>
        </is>
      </c>
      <c r="G74" s="2" t="inlineStr">
        <is>
          <t>Open Top 40FT</t>
        </is>
      </c>
      <c r="H74" s="5" t="n">
        <v>1851.62</v>
      </c>
      <c r="I74" s="5" t="n">
        <v>1956.91</v>
      </c>
      <c r="J74" s="3" t="n">
        <v>2625.53</v>
      </c>
      <c r="K74" s="3" t="n">
        <v>121.39</v>
      </c>
      <c r="L74" s="3" t="n">
        <v>222.79</v>
      </c>
      <c r="M74" s="3" t="n">
        <v>2969.71</v>
      </c>
      <c r="N74" s="5" t="n">
        <v>10</v>
      </c>
      <c r="O74" s="2" t="inlineStr">
        <is>
          <t>Teslim Edildi</t>
        </is>
      </c>
    </row>
    <row r="75">
      <c r="A75" s="2" t="inlineStr">
        <is>
          <t>SVK-0074</t>
        </is>
      </c>
      <c r="B75" s="2" t="inlineStr">
        <is>
          <t>SIP-0063</t>
        </is>
      </c>
      <c r="C75" s="2" t="inlineStr">
        <is>
          <t>MUS-074</t>
        </is>
      </c>
      <c r="D75" s="2" t="inlineStr">
        <is>
          <t>Azerbaycan</t>
        </is>
      </c>
      <c r="E75" s="6" t="n">
        <v>45589</v>
      </c>
      <c r="F75" s="2" t="inlineStr">
        <is>
          <t>Karayolu</t>
        </is>
      </c>
      <c r="G75" s="2" t="inlineStr">
        <is>
          <t>Open Top 40FT</t>
        </is>
      </c>
      <c r="H75" s="5" t="n">
        <v>1479.62</v>
      </c>
      <c r="I75" s="5" t="n">
        <v>1583.04</v>
      </c>
      <c r="J75" s="3" t="n">
        <v>1163.16</v>
      </c>
      <c r="K75" s="3" t="n">
        <v>60.68</v>
      </c>
      <c r="L75" s="3" t="n">
        <v>155.08</v>
      </c>
      <c r="M75" s="3" t="n">
        <v>1378.92</v>
      </c>
      <c r="N75" s="5" t="n">
        <v>14</v>
      </c>
      <c r="O75" s="2" t="inlineStr">
        <is>
          <t>Yolda</t>
        </is>
      </c>
    </row>
    <row r="76">
      <c r="A76" s="2" t="inlineStr">
        <is>
          <t>SVK-0075</t>
        </is>
      </c>
      <c r="B76" s="2" t="inlineStr">
        <is>
          <t>SIP-0063</t>
        </is>
      </c>
      <c r="C76" s="2" t="inlineStr">
        <is>
          <t>MUS-074</t>
        </is>
      </c>
      <c r="D76" s="2" t="inlineStr">
        <is>
          <t>Azerbaycan</t>
        </is>
      </c>
      <c r="E76" s="6" t="n">
        <v>45590</v>
      </c>
      <c r="F76" s="2" t="inlineStr">
        <is>
          <t>Karayolu</t>
        </is>
      </c>
      <c r="G76" s="2" t="inlineStr">
        <is>
          <t>Open Top 40FT</t>
        </is>
      </c>
      <c r="H76" s="5" t="n">
        <v>1479.62</v>
      </c>
      <c r="I76" s="5" t="n">
        <v>1528.28</v>
      </c>
      <c r="J76" s="3" t="n">
        <v>1055.99</v>
      </c>
      <c r="K76" s="3" t="n">
        <v>38.06</v>
      </c>
      <c r="L76" s="3" t="n">
        <v>154.03</v>
      </c>
      <c r="M76" s="3" t="n">
        <v>1248.08</v>
      </c>
      <c r="N76" s="5" t="n">
        <v>10</v>
      </c>
      <c r="O76" s="2" t="inlineStr">
        <is>
          <t>Teslim Edildi</t>
        </is>
      </c>
    </row>
    <row r="77">
      <c r="A77" s="2" t="inlineStr">
        <is>
          <t>SVK-0076</t>
        </is>
      </c>
      <c r="B77" s="2" t="inlineStr">
        <is>
          <t>SIP-0064</t>
        </is>
      </c>
      <c r="C77" s="2" t="inlineStr">
        <is>
          <t>MUS-047</t>
        </is>
      </c>
      <c r="D77" s="2" t="inlineStr">
        <is>
          <t>Misir</t>
        </is>
      </c>
      <c r="E77" s="6" t="n">
        <v>45641</v>
      </c>
      <c r="F77" s="2" t="inlineStr">
        <is>
          <t>Denizyolu</t>
        </is>
      </c>
      <c r="G77" s="2" t="inlineStr">
        <is>
          <t>Open Top 40FT</t>
        </is>
      </c>
      <c r="H77" s="5" t="n">
        <v>4788.13</v>
      </c>
      <c r="I77" s="5" t="n">
        <v>4979.73</v>
      </c>
      <c r="J77" s="3" t="n">
        <v>3223.88</v>
      </c>
      <c r="K77" s="3" t="n">
        <v>164</v>
      </c>
      <c r="L77" s="3" t="n">
        <v>388.5</v>
      </c>
      <c r="M77" s="3" t="n">
        <v>3776.38</v>
      </c>
      <c r="N77" s="5" t="n">
        <v>17</v>
      </c>
      <c r="O77" s="2" t="inlineStr">
        <is>
          <t>Teslim Edildi</t>
        </is>
      </c>
    </row>
    <row r="78">
      <c r="A78" s="2" t="inlineStr">
        <is>
          <t>SVK-0077</t>
        </is>
      </c>
      <c r="B78" s="2" t="inlineStr">
        <is>
          <t>SIP-0065</t>
        </is>
      </c>
      <c r="C78" s="2" t="inlineStr">
        <is>
          <t>MUS-082</t>
        </is>
      </c>
      <c r="D78" s="2" t="inlineStr">
        <is>
          <t>Hollanda</t>
        </is>
      </c>
      <c r="E78" s="6" t="n">
        <v>45663</v>
      </c>
      <c r="F78" s="2" t="inlineStr">
        <is>
          <t>Denizyolu</t>
        </is>
      </c>
      <c r="G78" s="2" t="inlineStr">
        <is>
          <t>Open Top 40FT</t>
        </is>
      </c>
      <c r="H78" s="5" t="n">
        <v>4866.18</v>
      </c>
      <c r="I78" s="5" t="n">
        <v>5143.98</v>
      </c>
      <c r="J78" s="3" t="n">
        <v>3037.79</v>
      </c>
      <c r="K78" s="3" t="n">
        <v>100.17</v>
      </c>
      <c r="L78" s="3" t="n">
        <v>311.92</v>
      </c>
      <c r="M78" s="3" t="n">
        <v>3449.88</v>
      </c>
      <c r="N78" s="5" t="n">
        <v>10</v>
      </c>
      <c r="O78" s="2" t="inlineStr">
        <is>
          <t>Teslim Edildi</t>
        </is>
      </c>
    </row>
    <row r="79">
      <c r="A79" s="2" t="inlineStr">
        <is>
          <t>SVK-0078</t>
        </is>
      </c>
      <c r="B79" s="2" t="inlineStr">
        <is>
          <t>SIP-0066</t>
        </is>
      </c>
      <c r="C79" s="2" t="inlineStr">
        <is>
          <t>MUS-083</t>
        </is>
      </c>
      <c r="D79" s="2" t="inlineStr">
        <is>
          <t>Polonya</t>
        </is>
      </c>
      <c r="E79" s="6" t="n">
        <v>45585</v>
      </c>
      <c r="F79" s="2" t="inlineStr">
        <is>
          <t>Karayolu</t>
        </is>
      </c>
      <c r="G79" s="2" t="inlineStr">
        <is>
          <t>20FT</t>
        </is>
      </c>
      <c r="H79" s="5" t="n">
        <v>82.65000000000001</v>
      </c>
      <c r="I79" s="5" t="n">
        <v>88.63</v>
      </c>
      <c r="J79" s="3" t="n">
        <v>1380.5</v>
      </c>
      <c r="K79" s="3" t="n">
        <v>62.8</v>
      </c>
      <c r="L79" s="3" t="n">
        <v>97.91</v>
      </c>
      <c r="M79" s="3" t="n">
        <v>1541.21</v>
      </c>
      <c r="N79" s="5" t="n">
        <v>9</v>
      </c>
      <c r="O79" s="2" t="inlineStr">
        <is>
          <t>Teslim Edildi</t>
        </is>
      </c>
    </row>
    <row r="80">
      <c r="A80" s="2" t="inlineStr">
        <is>
          <t>SVK-0079</t>
        </is>
      </c>
      <c r="B80" s="2" t="inlineStr">
        <is>
          <t>SIP-0066</t>
        </is>
      </c>
      <c r="C80" s="2" t="inlineStr">
        <is>
          <t>MUS-083</t>
        </is>
      </c>
      <c r="D80" s="2" t="inlineStr">
        <is>
          <t>Polonya</t>
        </is>
      </c>
      <c r="E80" s="6" t="n">
        <v>45586</v>
      </c>
      <c r="F80" s="2" t="inlineStr">
        <is>
          <t>Karayolu</t>
        </is>
      </c>
      <c r="G80" s="2" t="inlineStr">
        <is>
          <t>20FT</t>
        </is>
      </c>
      <c r="H80" s="5" t="n">
        <v>82.65000000000001</v>
      </c>
      <c r="I80" s="5" t="n">
        <v>88.81999999999999</v>
      </c>
      <c r="J80" s="3" t="n">
        <v>1124.63</v>
      </c>
      <c r="K80" s="3" t="n">
        <v>54.19</v>
      </c>
      <c r="L80" s="3" t="n">
        <v>146.93</v>
      </c>
      <c r="M80" s="3" t="n">
        <v>1325.75</v>
      </c>
      <c r="N80" s="5" t="n">
        <v>10</v>
      </c>
      <c r="O80" s="2" t="inlineStr">
        <is>
          <t>Teslim Edildi</t>
        </is>
      </c>
    </row>
    <row r="81">
      <c r="A81" s="2" t="inlineStr">
        <is>
          <t>SVK-0080</t>
        </is>
      </c>
      <c r="B81" s="2" t="inlineStr">
        <is>
          <t>SIP-0067</t>
        </is>
      </c>
      <c r="C81" s="2" t="inlineStr">
        <is>
          <t>MUS-077</t>
        </is>
      </c>
      <c r="D81" s="2" t="inlineStr">
        <is>
          <t>Almanya</t>
        </is>
      </c>
      <c r="E81" s="6" t="n">
        <v>45634</v>
      </c>
      <c r="F81" s="2" t="inlineStr">
        <is>
          <t>Karayolu</t>
        </is>
      </c>
      <c r="G81" s="2" t="inlineStr">
        <is>
          <t>40FT</t>
        </is>
      </c>
      <c r="H81" s="5" t="n">
        <v>1636.16</v>
      </c>
      <c r="I81" s="5" t="n">
        <v>1714.67</v>
      </c>
      <c r="J81" s="3" t="n">
        <v>2404.76</v>
      </c>
      <c r="K81" s="3" t="n">
        <v>121.43</v>
      </c>
      <c r="L81" s="3" t="n">
        <v>311.57</v>
      </c>
      <c r="M81" s="3" t="n">
        <v>2837.76</v>
      </c>
      <c r="N81" s="5" t="n">
        <v>10</v>
      </c>
      <c r="O81" s="2" t="inlineStr">
        <is>
          <t>Teslim Edildi</t>
        </is>
      </c>
    </row>
    <row r="82">
      <c r="A82" s="2" t="inlineStr">
        <is>
          <t>SVK-0081</t>
        </is>
      </c>
      <c r="B82" s="2" t="inlineStr">
        <is>
          <t>SIP-0068</t>
        </is>
      </c>
      <c r="C82" s="2" t="inlineStr">
        <is>
          <t>MUS-025</t>
        </is>
      </c>
      <c r="D82" s="2" t="inlineStr">
        <is>
          <t>Almanya</t>
        </is>
      </c>
      <c r="E82" s="6" t="n">
        <v>45627</v>
      </c>
      <c r="F82" s="2" t="inlineStr">
        <is>
          <t>Karayolu</t>
        </is>
      </c>
      <c r="G82" s="2" t="inlineStr">
        <is>
          <t>Open Top 40FT</t>
        </is>
      </c>
      <c r="H82" s="5" t="n">
        <v>3463.12</v>
      </c>
      <c r="I82" s="5" t="n">
        <v>3616.96</v>
      </c>
      <c r="J82" s="3" t="n">
        <v>2203.73</v>
      </c>
      <c r="K82" s="3" t="n">
        <v>127.66</v>
      </c>
      <c r="L82" s="3" t="n">
        <v>319.67</v>
      </c>
      <c r="M82" s="3" t="n">
        <v>2651.06</v>
      </c>
      <c r="N82" s="5" t="n">
        <v>10</v>
      </c>
      <c r="O82" s="2" t="inlineStr">
        <is>
          <t>Gumrukte</t>
        </is>
      </c>
    </row>
    <row r="83">
      <c r="A83" s="2" t="inlineStr">
        <is>
          <t>SVK-0082</t>
        </is>
      </c>
      <c r="B83" s="2" t="inlineStr">
        <is>
          <t>SIP-0069</t>
        </is>
      </c>
      <c r="C83" s="2" t="inlineStr">
        <is>
          <t>MUS-081</t>
        </is>
      </c>
      <c r="D83" s="2" t="inlineStr">
        <is>
          <t>Suudi Arabistan</t>
        </is>
      </c>
      <c r="E83" s="6" t="n">
        <v>45613</v>
      </c>
      <c r="F83" s="2" t="inlineStr">
        <is>
          <t>Denizyolu</t>
        </is>
      </c>
      <c r="G83" s="2" t="inlineStr">
        <is>
          <t>Open Top 40FT</t>
        </is>
      </c>
      <c r="H83" s="5" t="n">
        <v>2675.61</v>
      </c>
      <c r="I83" s="5" t="n">
        <v>2757.75</v>
      </c>
      <c r="J83" s="3" t="n">
        <v>4329.03</v>
      </c>
      <c r="K83" s="3" t="n">
        <v>191.13</v>
      </c>
      <c r="L83" s="3" t="n">
        <v>377.94</v>
      </c>
      <c r="M83" s="3" t="n">
        <v>4898.1</v>
      </c>
      <c r="N83" s="5" t="n">
        <v>25</v>
      </c>
      <c r="O83" s="2" t="inlineStr">
        <is>
          <t>Teslim Edildi</t>
        </is>
      </c>
    </row>
    <row r="84">
      <c r="A84" s="2" t="inlineStr">
        <is>
          <t>SVK-0083</t>
        </is>
      </c>
      <c r="B84" s="2" t="inlineStr">
        <is>
          <t>SIP-0070</t>
        </is>
      </c>
      <c r="C84" s="2" t="inlineStr">
        <is>
          <t>MUS-026</t>
        </is>
      </c>
      <c r="D84" s="2" t="inlineStr">
        <is>
          <t>Romanya</t>
        </is>
      </c>
      <c r="E84" s="6" t="n">
        <v>45591</v>
      </c>
      <c r="F84" s="2" t="inlineStr">
        <is>
          <t>Denizyolu</t>
        </is>
      </c>
      <c r="G84" s="2" t="inlineStr">
        <is>
          <t>20FT</t>
        </is>
      </c>
      <c r="H84" s="5" t="n">
        <v>567.52</v>
      </c>
      <c r="I84" s="5" t="n">
        <v>594.3</v>
      </c>
      <c r="J84" s="3" t="n">
        <v>1639.58</v>
      </c>
      <c r="K84" s="3" t="n">
        <v>54.69</v>
      </c>
      <c r="L84" s="3" t="n">
        <v>242.8</v>
      </c>
      <c r="M84" s="3" t="n">
        <v>1937.07</v>
      </c>
      <c r="N84" s="5" t="n">
        <v>7</v>
      </c>
      <c r="O84" s="2" t="inlineStr">
        <is>
          <t>Teslim Edildi</t>
        </is>
      </c>
    </row>
    <row r="85">
      <c r="A85" s="2" t="inlineStr">
        <is>
          <t>SVK-0084</t>
        </is>
      </c>
      <c r="B85" s="2" t="inlineStr">
        <is>
          <t>SIP-0071</t>
        </is>
      </c>
      <c r="C85" s="2" t="inlineStr">
        <is>
          <t>MUS-046</t>
        </is>
      </c>
      <c r="D85" s="2" t="inlineStr">
        <is>
          <t>Romanya</t>
        </is>
      </c>
      <c r="E85" s="6" t="n">
        <v>45647</v>
      </c>
      <c r="F85" s="2" t="inlineStr">
        <is>
          <t>Denizyolu</t>
        </is>
      </c>
      <c r="G85" s="2" t="inlineStr">
        <is>
          <t>40FT</t>
        </is>
      </c>
      <c r="H85" s="5" t="n">
        <v>606.96</v>
      </c>
      <c r="I85" s="5" t="n">
        <v>630.6799999999999</v>
      </c>
      <c r="J85" s="3" t="n">
        <v>787.46</v>
      </c>
      <c r="K85" s="3" t="n">
        <v>39.28</v>
      </c>
      <c r="L85" s="3" t="n">
        <v>121.11</v>
      </c>
      <c r="M85" s="3" t="n">
        <v>947.85</v>
      </c>
      <c r="N85" s="5" t="n">
        <v>4</v>
      </c>
      <c r="O85" s="2" t="inlineStr">
        <is>
          <t>Teslim Edildi</t>
        </is>
      </c>
    </row>
    <row r="86">
      <c r="A86" s="2" t="inlineStr">
        <is>
          <t>SVK-0085</t>
        </is>
      </c>
      <c r="B86" s="2" t="inlineStr">
        <is>
          <t>SIP-0071</t>
        </is>
      </c>
      <c r="C86" s="2" t="inlineStr">
        <is>
          <t>MUS-046</t>
        </is>
      </c>
      <c r="D86" s="2" t="inlineStr">
        <is>
          <t>Romanya</t>
        </is>
      </c>
      <c r="E86" s="6" t="n">
        <v>45648</v>
      </c>
      <c r="F86" s="2" t="inlineStr">
        <is>
          <t>Denizyolu</t>
        </is>
      </c>
      <c r="G86" s="2" t="inlineStr">
        <is>
          <t>40FT</t>
        </is>
      </c>
      <c r="H86" s="5" t="n">
        <v>606.96</v>
      </c>
      <c r="I86" s="5" t="n">
        <v>649.8200000000001</v>
      </c>
      <c r="J86" s="3" t="n">
        <v>813.66</v>
      </c>
      <c r="K86" s="3" t="n">
        <v>33.69</v>
      </c>
      <c r="L86" s="3" t="n">
        <v>137.04</v>
      </c>
      <c r="M86" s="3" t="n">
        <v>984.39</v>
      </c>
      <c r="N86" s="5" t="n">
        <v>7</v>
      </c>
      <c r="O86" s="2" t="inlineStr">
        <is>
          <t>Yolda</t>
        </is>
      </c>
    </row>
    <row r="87">
      <c r="A87" s="2" t="inlineStr">
        <is>
          <t>SVK-0086</t>
        </is>
      </c>
      <c r="B87" s="2" t="inlineStr">
        <is>
          <t>SIP-0072</t>
        </is>
      </c>
      <c r="C87" s="2" t="inlineStr">
        <is>
          <t>MUS-059</t>
        </is>
      </c>
      <c r="D87" s="2" t="inlineStr">
        <is>
          <t>Suudi Arabistan</t>
        </is>
      </c>
      <c r="E87" s="6" t="n">
        <v>45642</v>
      </c>
      <c r="F87" s="2" t="inlineStr">
        <is>
          <t>Denizyolu</t>
        </is>
      </c>
      <c r="G87" s="2" t="inlineStr">
        <is>
          <t>Open Top 40FT</t>
        </is>
      </c>
      <c r="H87" s="5" t="n">
        <v>2676.48</v>
      </c>
      <c r="I87" s="5" t="n">
        <v>2859.05</v>
      </c>
      <c r="J87" s="3" t="n">
        <v>4677.24</v>
      </c>
      <c r="K87" s="3" t="n">
        <v>218.83</v>
      </c>
      <c r="L87" s="3" t="n">
        <v>366.74</v>
      </c>
      <c r="M87" s="3" t="n">
        <v>5262.81</v>
      </c>
      <c r="N87" s="5" t="n">
        <v>22</v>
      </c>
      <c r="O87" s="2" t="inlineStr">
        <is>
          <t>Teslim Edildi</t>
        </is>
      </c>
    </row>
    <row r="88">
      <c r="A88" s="2" t="inlineStr">
        <is>
          <t>SVK-0087</t>
        </is>
      </c>
      <c r="B88" s="2" t="inlineStr">
        <is>
          <t>SIP-0073</t>
        </is>
      </c>
      <c r="C88" s="2" t="inlineStr">
        <is>
          <t>MUS-072</t>
        </is>
      </c>
      <c r="D88" s="2" t="inlineStr">
        <is>
          <t>Polonya</t>
        </is>
      </c>
      <c r="E88" s="6" t="n">
        <v>45636</v>
      </c>
      <c r="F88" s="2" t="inlineStr">
        <is>
          <t>Denizyolu</t>
        </is>
      </c>
      <c r="G88" s="2" t="inlineStr">
        <is>
          <t>Open Top 40FT</t>
        </is>
      </c>
      <c r="H88" s="5" t="n">
        <v>2076.8</v>
      </c>
      <c r="I88" s="5" t="n">
        <v>2222.74</v>
      </c>
      <c r="J88" s="3" t="n">
        <v>2252.34</v>
      </c>
      <c r="K88" s="3" t="n">
        <v>111</v>
      </c>
      <c r="L88" s="3" t="n">
        <v>293.4</v>
      </c>
      <c r="M88" s="3" t="n">
        <v>2656.74</v>
      </c>
      <c r="N88" s="5" t="n">
        <v>11</v>
      </c>
      <c r="O88" s="2" t="inlineStr">
        <is>
          <t>Teslim Edildi</t>
        </is>
      </c>
    </row>
    <row r="89">
      <c r="A89" s="2" t="inlineStr">
        <is>
          <t>SVK-0088</t>
        </is>
      </c>
      <c r="B89" s="2" t="inlineStr">
        <is>
          <t>SIP-0074</t>
        </is>
      </c>
      <c r="C89" s="2" t="inlineStr">
        <is>
          <t>MUS-070</t>
        </is>
      </c>
      <c r="D89" s="2" t="inlineStr">
        <is>
          <t>Polonya</t>
        </is>
      </c>
      <c r="E89" s="6" t="n">
        <v>45623</v>
      </c>
      <c r="F89" s="2" t="inlineStr">
        <is>
          <t>Havayolu</t>
        </is>
      </c>
      <c r="G89" s="2" t="inlineStr">
        <is>
          <t>20FT</t>
        </is>
      </c>
      <c r="H89" s="5" t="n">
        <v>527.28</v>
      </c>
      <c r="I89" s="5" t="n">
        <v>568.8200000000001</v>
      </c>
      <c r="J89" s="3" t="n">
        <v>2483.25</v>
      </c>
      <c r="K89" s="3" t="n">
        <v>106.68</v>
      </c>
      <c r="L89" s="3" t="n">
        <v>240.07</v>
      </c>
      <c r="M89" s="3" t="n">
        <v>2830</v>
      </c>
      <c r="N89" s="5" t="n">
        <v>10</v>
      </c>
      <c r="O89" s="2" t="inlineStr">
        <is>
          <t>Teslim Edildi</t>
        </is>
      </c>
    </row>
    <row r="90">
      <c r="A90" s="2" t="inlineStr">
        <is>
          <t>SVK-0089</t>
        </is>
      </c>
      <c r="B90" s="2" t="inlineStr">
        <is>
          <t>SIP-0075</t>
        </is>
      </c>
      <c r="C90" s="2" t="inlineStr">
        <is>
          <t>MUS-063</t>
        </is>
      </c>
      <c r="D90" s="2" t="inlineStr">
        <is>
          <t>Polonya</t>
        </is>
      </c>
      <c r="E90" s="6" t="n">
        <v>45670</v>
      </c>
      <c r="F90" s="2" t="inlineStr">
        <is>
          <t>Karayolu</t>
        </is>
      </c>
      <c r="G90" s="2" t="inlineStr">
        <is>
          <t>20FT</t>
        </is>
      </c>
      <c r="H90" s="5" t="n">
        <v>501.84</v>
      </c>
      <c r="I90" s="5" t="n">
        <v>532.54</v>
      </c>
      <c r="J90" s="3" t="n">
        <v>2784.99</v>
      </c>
      <c r="K90" s="3" t="n">
        <v>149.09</v>
      </c>
      <c r="L90" s="3" t="n">
        <v>317.37</v>
      </c>
      <c r="M90" s="3" t="n">
        <v>3251.45</v>
      </c>
      <c r="N90" s="5" t="n">
        <v>12</v>
      </c>
      <c r="O90" s="2" t="inlineStr">
        <is>
          <t>Teslim Edildi</t>
        </is>
      </c>
    </row>
    <row r="91">
      <c r="A91" s="2" t="inlineStr">
        <is>
          <t>SVK-0090</t>
        </is>
      </c>
      <c r="B91" s="2" t="inlineStr">
        <is>
          <t>SIP-0076</t>
        </is>
      </c>
      <c r="C91" s="2" t="inlineStr">
        <is>
          <t>MUS-078</t>
        </is>
      </c>
      <c r="D91" s="2" t="inlineStr">
        <is>
          <t>Italya</t>
        </is>
      </c>
      <c r="E91" s="6" t="n">
        <v>45668</v>
      </c>
      <c r="F91" s="2" t="inlineStr">
        <is>
          <t>Karayolu</t>
        </is>
      </c>
      <c r="G91" s="2" t="inlineStr">
        <is>
          <t>Open Top 40FT</t>
        </is>
      </c>
      <c r="H91" s="5" t="n">
        <v>2567.75</v>
      </c>
      <c r="I91" s="5" t="n">
        <v>2749.9</v>
      </c>
      <c r="J91" s="3" t="n">
        <v>2690.26</v>
      </c>
      <c r="K91" s="3" t="n">
        <v>117.49</v>
      </c>
      <c r="L91" s="3" t="n">
        <v>207.74</v>
      </c>
      <c r="M91" s="3" t="n">
        <v>3015.49</v>
      </c>
      <c r="N91" s="5" t="n">
        <v>8</v>
      </c>
      <c r="O91" s="2" t="inlineStr">
        <is>
          <t>Yolda</t>
        </is>
      </c>
    </row>
    <row r="92">
      <c r="A92" s="2" t="inlineStr">
        <is>
          <t>SVK-0091</t>
        </is>
      </c>
      <c r="B92" s="2" t="inlineStr">
        <is>
          <t>SIP-0077</t>
        </is>
      </c>
      <c r="C92" s="2" t="inlineStr">
        <is>
          <t>MUS-045</t>
        </is>
      </c>
      <c r="D92" s="2" t="inlineStr">
        <is>
          <t>Kazakistan</t>
        </is>
      </c>
      <c r="E92" s="6" t="n">
        <v>45664</v>
      </c>
      <c r="F92" s="2" t="inlineStr">
        <is>
          <t>Karayolu</t>
        </is>
      </c>
      <c r="G92" s="2" t="inlineStr">
        <is>
          <t>Open Top 40FT</t>
        </is>
      </c>
      <c r="H92" s="5" t="n">
        <v>2459.67</v>
      </c>
      <c r="I92" s="5" t="n">
        <v>2615.93</v>
      </c>
      <c r="J92" s="3" t="n">
        <v>3836.95</v>
      </c>
      <c r="K92" s="3" t="n">
        <v>211.79</v>
      </c>
      <c r="L92" s="3" t="n">
        <v>459.72</v>
      </c>
      <c r="M92" s="3" t="n">
        <v>4508.46</v>
      </c>
      <c r="N92" s="5" t="n">
        <v>19</v>
      </c>
      <c r="O92" s="2" t="inlineStr">
        <is>
          <t>Teslim Edildi</t>
        </is>
      </c>
    </row>
    <row r="93">
      <c r="A93" s="2" t="inlineStr">
        <is>
          <t>SVK-0092</t>
        </is>
      </c>
      <c r="B93" s="2" t="inlineStr">
        <is>
          <t>SIP-0078</t>
        </is>
      </c>
      <c r="C93" s="2" t="inlineStr">
        <is>
          <t>MUS-005</t>
        </is>
      </c>
      <c r="D93" s="2" t="inlineStr">
        <is>
          <t>Italya</t>
        </is>
      </c>
      <c r="E93" s="6" t="n">
        <v>45634</v>
      </c>
      <c r="F93" s="2" t="inlineStr">
        <is>
          <t>Karayolu</t>
        </is>
      </c>
      <c r="G93" s="2" t="inlineStr">
        <is>
          <t>20FT</t>
        </is>
      </c>
      <c r="H93" s="5" t="n">
        <v>87.04000000000001</v>
      </c>
      <c r="I93" s="5" t="n">
        <v>90.23</v>
      </c>
      <c r="J93" s="3" t="n">
        <v>1412.86</v>
      </c>
      <c r="K93" s="3" t="n">
        <v>48.21</v>
      </c>
      <c r="L93" s="3" t="n">
        <v>145.4</v>
      </c>
      <c r="M93" s="3" t="n">
        <v>1606.47</v>
      </c>
      <c r="N93" s="5" t="n">
        <v>8</v>
      </c>
      <c r="O93" s="2" t="inlineStr">
        <is>
          <t>Yolda</t>
        </is>
      </c>
    </row>
    <row r="94">
      <c r="A94" s="2" t="inlineStr">
        <is>
          <t>SVK-0093</t>
        </is>
      </c>
      <c r="B94" s="2" t="inlineStr">
        <is>
          <t>SIP-0078</t>
        </is>
      </c>
      <c r="C94" s="2" t="inlineStr">
        <is>
          <t>MUS-005</t>
        </is>
      </c>
      <c r="D94" s="2" t="inlineStr">
        <is>
          <t>Italya</t>
        </is>
      </c>
      <c r="E94" s="6" t="n">
        <v>45635</v>
      </c>
      <c r="F94" s="2" t="inlineStr">
        <is>
          <t>Karayolu</t>
        </is>
      </c>
      <c r="G94" s="2" t="inlineStr">
        <is>
          <t>20FT</t>
        </is>
      </c>
      <c r="H94" s="5" t="n">
        <v>87.04000000000001</v>
      </c>
      <c r="I94" s="5" t="n">
        <v>90.93000000000001</v>
      </c>
      <c r="J94" s="3" t="n">
        <v>1305.85</v>
      </c>
      <c r="K94" s="3" t="n">
        <v>46.5</v>
      </c>
      <c r="L94" s="3" t="n">
        <v>106.01</v>
      </c>
      <c r="M94" s="3" t="n">
        <v>1458.36</v>
      </c>
      <c r="N94" s="5" t="n">
        <v>6</v>
      </c>
      <c r="O94" s="2" t="inlineStr">
        <is>
          <t>Teslim Edildi</t>
        </is>
      </c>
    </row>
    <row r="95">
      <c r="A95" s="2" t="inlineStr">
        <is>
          <t>SVK-0094</t>
        </is>
      </c>
      <c r="B95" s="2" t="inlineStr">
        <is>
          <t>SIP-0079</t>
        </is>
      </c>
      <c r="C95" s="2" t="inlineStr">
        <is>
          <t>MUS-067</t>
        </is>
      </c>
      <c r="D95" s="2" t="inlineStr">
        <is>
          <t>Katar</t>
        </is>
      </c>
      <c r="E95" s="6" t="n">
        <v>45632</v>
      </c>
      <c r="F95" s="2" t="inlineStr">
        <is>
          <t>Denizyolu</t>
        </is>
      </c>
      <c r="G95" s="2" t="inlineStr">
        <is>
          <t>40FT</t>
        </is>
      </c>
      <c r="H95" s="5" t="n">
        <v>668.08</v>
      </c>
      <c r="I95" s="5" t="n">
        <v>714.95</v>
      </c>
      <c r="J95" s="3" t="n">
        <v>2286.91</v>
      </c>
      <c r="K95" s="3" t="n">
        <v>98.3</v>
      </c>
      <c r="L95" s="3" t="n">
        <v>150.85</v>
      </c>
      <c r="M95" s="3" t="n">
        <v>2536.06</v>
      </c>
      <c r="N95" s="5" t="n">
        <v>22</v>
      </c>
      <c r="O95" s="2" t="inlineStr">
        <is>
          <t>Teslim Edildi</t>
        </is>
      </c>
    </row>
    <row r="96">
      <c r="A96" s="2" t="inlineStr">
        <is>
          <t>SVK-0095</t>
        </is>
      </c>
      <c r="B96" s="2" t="inlineStr">
        <is>
          <t>SIP-0079</t>
        </is>
      </c>
      <c r="C96" s="2" t="inlineStr">
        <is>
          <t>MUS-067</t>
        </is>
      </c>
      <c r="D96" s="2" t="inlineStr">
        <is>
          <t>Katar</t>
        </is>
      </c>
      <c r="E96" s="6" t="n">
        <v>45633</v>
      </c>
      <c r="F96" s="2" t="inlineStr">
        <is>
          <t>Denizyolu</t>
        </is>
      </c>
      <c r="G96" s="2" t="inlineStr">
        <is>
          <t>40FT</t>
        </is>
      </c>
      <c r="H96" s="5" t="n">
        <v>668.08</v>
      </c>
      <c r="I96" s="5" t="n">
        <v>709.76</v>
      </c>
      <c r="J96" s="3" t="n">
        <v>1958.91</v>
      </c>
      <c r="K96" s="3" t="n">
        <v>95.51000000000001</v>
      </c>
      <c r="L96" s="3" t="n">
        <v>229.1</v>
      </c>
      <c r="M96" s="3" t="n">
        <v>2283.52</v>
      </c>
      <c r="N96" s="5" t="n">
        <v>23</v>
      </c>
      <c r="O96" s="2" t="inlineStr">
        <is>
          <t>Teslim Edildi</t>
        </is>
      </c>
    </row>
    <row r="97">
      <c r="A97" s="2" t="inlineStr">
        <is>
          <t>SVK-0096</t>
        </is>
      </c>
      <c r="B97" s="2" t="inlineStr">
        <is>
          <t>SIP-0080</t>
        </is>
      </c>
      <c r="C97" s="2" t="inlineStr">
        <is>
          <t>MUS-067</t>
        </is>
      </c>
      <c r="D97" s="2" t="inlineStr">
        <is>
          <t>Katar</t>
        </is>
      </c>
      <c r="E97" s="6" t="n">
        <v>45661</v>
      </c>
      <c r="F97" s="2" t="inlineStr">
        <is>
          <t>Denizyolu</t>
        </is>
      </c>
      <c r="G97" s="2" t="inlineStr">
        <is>
          <t>Open Top 40FT</t>
        </is>
      </c>
      <c r="H97" s="5" t="n">
        <v>6633</v>
      </c>
      <c r="I97" s="5" t="n">
        <v>7042.85</v>
      </c>
      <c r="J97" s="3" t="n">
        <v>4239.89</v>
      </c>
      <c r="K97" s="3" t="n">
        <v>186.87</v>
      </c>
      <c r="L97" s="3" t="n">
        <v>365.08</v>
      </c>
      <c r="M97" s="3" t="n">
        <v>4791.84</v>
      </c>
      <c r="N97" s="5" t="n">
        <v>18</v>
      </c>
      <c r="O97" s="2" t="inlineStr">
        <is>
          <t>Yolda</t>
        </is>
      </c>
    </row>
    <row r="98">
      <c r="A98" s="2" t="inlineStr">
        <is>
          <t>SVK-0097</t>
        </is>
      </c>
      <c r="B98" s="2" t="inlineStr">
        <is>
          <t>SIP-0081</t>
        </is>
      </c>
      <c r="C98" s="2" t="inlineStr">
        <is>
          <t>MUS-069</t>
        </is>
      </c>
      <c r="D98" s="2" t="inlineStr">
        <is>
          <t>Romanya</t>
        </is>
      </c>
      <c r="E98" s="6" t="n">
        <v>45646</v>
      </c>
      <c r="F98" s="2" t="inlineStr">
        <is>
          <t>Karayolu</t>
        </is>
      </c>
      <c r="G98" s="2" t="inlineStr">
        <is>
          <t>40FT</t>
        </is>
      </c>
      <c r="H98" s="5" t="n">
        <v>1571.95</v>
      </c>
      <c r="I98" s="5" t="n">
        <v>1642.71</v>
      </c>
      <c r="J98" s="3" t="n">
        <v>1510.7</v>
      </c>
      <c r="K98" s="3" t="n">
        <v>82.06999999999999</v>
      </c>
      <c r="L98" s="3" t="n">
        <v>276.75</v>
      </c>
      <c r="M98" s="3" t="n">
        <v>1869.52</v>
      </c>
      <c r="N98" s="5" t="n">
        <v>10</v>
      </c>
      <c r="O98" s="2" t="inlineStr">
        <is>
          <t>Teslim Edildi</t>
        </is>
      </c>
    </row>
    <row r="99">
      <c r="A99" s="2" t="inlineStr">
        <is>
          <t>SVK-0098</t>
        </is>
      </c>
      <c r="B99" s="2" t="inlineStr">
        <is>
          <t>SIP-0082</t>
        </is>
      </c>
      <c r="C99" s="2" t="inlineStr">
        <is>
          <t>MUS-082</t>
        </is>
      </c>
      <c r="D99" s="2" t="inlineStr">
        <is>
          <t>Hollanda</t>
        </is>
      </c>
      <c r="E99" s="6" t="n">
        <v>45651</v>
      </c>
      <c r="F99" s="2" t="inlineStr">
        <is>
          <t>Karayolu</t>
        </is>
      </c>
      <c r="G99" s="2" t="inlineStr">
        <is>
          <t>40FT</t>
        </is>
      </c>
      <c r="H99" s="5" t="n">
        <v>706.71</v>
      </c>
      <c r="I99" s="5" t="n">
        <v>742.02</v>
      </c>
      <c r="J99" s="3" t="n">
        <v>1187.06</v>
      </c>
      <c r="K99" s="3" t="n">
        <v>55.48</v>
      </c>
      <c r="L99" s="3" t="n">
        <v>142.28</v>
      </c>
      <c r="M99" s="3" t="n">
        <v>1384.82</v>
      </c>
      <c r="N99" s="5" t="n">
        <v>11</v>
      </c>
      <c r="O99" s="2" t="inlineStr">
        <is>
          <t>Teslim Edildi</t>
        </is>
      </c>
    </row>
    <row r="100">
      <c r="A100" s="2" t="inlineStr">
        <is>
          <t>SVK-0099</t>
        </is>
      </c>
      <c r="B100" s="2" t="inlineStr">
        <is>
          <t>SIP-0082</t>
        </is>
      </c>
      <c r="C100" s="2" t="inlineStr">
        <is>
          <t>MUS-082</t>
        </is>
      </c>
      <c r="D100" s="2" t="inlineStr">
        <is>
          <t>Hollanda</t>
        </is>
      </c>
      <c r="E100" s="6" t="n">
        <v>45652</v>
      </c>
      <c r="F100" s="2" t="inlineStr">
        <is>
          <t>Karayolu</t>
        </is>
      </c>
      <c r="G100" s="2" t="inlineStr">
        <is>
          <t>40FT</t>
        </is>
      </c>
      <c r="H100" s="5" t="n">
        <v>706.71</v>
      </c>
      <c r="I100" s="5" t="n">
        <v>737.75</v>
      </c>
      <c r="J100" s="3" t="n">
        <v>1273.94</v>
      </c>
      <c r="K100" s="3" t="n">
        <v>50.72</v>
      </c>
      <c r="L100" s="3" t="n">
        <v>97.73</v>
      </c>
      <c r="M100" s="3" t="n">
        <v>1422.39</v>
      </c>
      <c r="N100" s="5" t="n">
        <v>14</v>
      </c>
      <c r="O100" s="2" t="inlineStr">
        <is>
          <t>Teslim Edildi</t>
        </is>
      </c>
    </row>
    <row r="101">
      <c r="A101" s="2" t="inlineStr">
        <is>
          <t>SVK-0100</t>
        </is>
      </c>
      <c r="B101" s="2" t="inlineStr">
        <is>
          <t>SIP-0083</t>
        </is>
      </c>
      <c r="C101" s="2" t="inlineStr">
        <is>
          <t>MUS-022</t>
        </is>
      </c>
      <c r="D101" s="2" t="inlineStr">
        <is>
          <t>Hollanda</t>
        </is>
      </c>
      <c r="E101" s="6" t="n">
        <v>45646</v>
      </c>
      <c r="F101" s="2" t="inlineStr">
        <is>
          <t>Denizyolu</t>
        </is>
      </c>
      <c r="G101" s="2" t="inlineStr">
        <is>
          <t>40FT</t>
        </is>
      </c>
      <c r="H101" s="5" t="n">
        <v>1138.62</v>
      </c>
      <c r="I101" s="5" t="n">
        <v>1203.78</v>
      </c>
      <c r="J101" s="3" t="n">
        <v>3011.54</v>
      </c>
      <c r="K101" s="3" t="n">
        <v>104.38</v>
      </c>
      <c r="L101" s="3" t="n">
        <v>269.28</v>
      </c>
      <c r="M101" s="3" t="n">
        <v>3385.2</v>
      </c>
      <c r="N101" s="5" t="n">
        <v>16</v>
      </c>
      <c r="O101" s="2" t="inlineStr">
        <is>
          <t>Teslim Edildi</t>
        </is>
      </c>
    </row>
    <row r="102">
      <c r="A102" s="2" t="inlineStr">
        <is>
          <t>SVK-0101</t>
        </is>
      </c>
      <c r="B102" s="2" t="inlineStr">
        <is>
          <t>SIP-0084</t>
        </is>
      </c>
      <c r="C102" s="2" t="inlineStr">
        <is>
          <t>MUS-068</t>
        </is>
      </c>
      <c r="D102" s="2" t="inlineStr">
        <is>
          <t>Hollanda</t>
        </is>
      </c>
      <c r="E102" s="6" t="n">
        <v>45613</v>
      </c>
      <c r="F102" s="2" t="inlineStr">
        <is>
          <t>Denizyolu</t>
        </is>
      </c>
      <c r="G102" s="2" t="inlineStr">
        <is>
          <t>20FT</t>
        </is>
      </c>
      <c r="H102" s="5" t="n">
        <v>543.39</v>
      </c>
      <c r="I102" s="5" t="n">
        <v>568.63</v>
      </c>
      <c r="J102" s="3" t="n">
        <v>2635.36</v>
      </c>
      <c r="K102" s="3" t="n">
        <v>80.17</v>
      </c>
      <c r="L102" s="3" t="n">
        <v>328.12</v>
      </c>
      <c r="M102" s="3" t="n">
        <v>3043.65</v>
      </c>
      <c r="N102" s="5" t="n">
        <v>9</v>
      </c>
      <c r="O102" s="2" t="inlineStr">
        <is>
          <t>Teslim Edildi</t>
        </is>
      </c>
    </row>
    <row r="103">
      <c r="A103" s="2" t="inlineStr">
        <is>
          <t>SVK-0102</t>
        </is>
      </c>
      <c r="B103" s="2" t="inlineStr">
        <is>
          <t>SIP-0085</t>
        </is>
      </c>
      <c r="C103" s="2" t="inlineStr">
        <is>
          <t>MUS-025</t>
        </is>
      </c>
      <c r="D103" s="2" t="inlineStr">
        <is>
          <t>Almanya</t>
        </is>
      </c>
      <c r="E103" s="6" t="n">
        <v>45628</v>
      </c>
      <c r="F103" s="2" t="inlineStr">
        <is>
          <t>Denizyolu</t>
        </is>
      </c>
      <c r="G103" s="2" t="inlineStr">
        <is>
          <t>40FT</t>
        </is>
      </c>
      <c r="H103" s="5" t="n">
        <v>1168.66</v>
      </c>
      <c r="I103" s="5" t="n">
        <v>1255.55</v>
      </c>
      <c r="J103" s="3" t="n">
        <v>1904.68</v>
      </c>
      <c r="K103" s="3" t="n">
        <v>79.09999999999999</v>
      </c>
      <c r="L103" s="3" t="n">
        <v>243.49</v>
      </c>
      <c r="M103" s="3" t="n">
        <v>2227.27</v>
      </c>
      <c r="N103" s="5" t="n">
        <v>6</v>
      </c>
      <c r="O103" s="2" t="inlineStr">
        <is>
          <t>Teslim Edildi</t>
        </is>
      </c>
    </row>
    <row r="104">
      <c r="A104" s="2" t="inlineStr">
        <is>
          <t>SVK-0103</t>
        </is>
      </c>
      <c r="B104" s="2" t="inlineStr">
        <is>
          <t>SIP-0086</t>
        </is>
      </c>
      <c r="C104" s="2" t="inlineStr">
        <is>
          <t>MUS-009</t>
        </is>
      </c>
      <c r="D104" s="2" t="inlineStr">
        <is>
          <t>Almanya</t>
        </is>
      </c>
      <c r="E104" s="6" t="n">
        <v>45639</v>
      </c>
      <c r="F104" s="2" t="inlineStr">
        <is>
          <t>Karayolu</t>
        </is>
      </c>
      <c r="G104" s="2" t="inlineStr">
        <is>
          <t>Open Top 40FT</t>
        </is>
      </c>
      <c r="H104" s="5" t="n">
        <v>3249.39</v>
      </c>
      <c r="I104" s="5" t="n">
        <v>3493.11</v>
      </c>
      <c r="J104" s="3" t="n">
        <v>1850.8</v>
      </c>
      <c r="K104" s="3" t="n">
        <v>90.06</v>
      </c>
      <c r="L104" s="3" t="n">
        <v>247.14</v>
      </c>
      <c r="M104" s="3" t="n">
        <v>2188</v>
      </c>
      <c r="N104" s="5" t="n">
        <v>5</v>
      </c>
      <c r="O104" s="2" t="inlineStr">
        <is>
          <t>Teslim Edildi</t>
        </is>
      </c>
    </row>
    <row r="105">
      <c r="A105" s="2" t="inlineStr">
        <is>
          <t>SVK-0104</t>
        </is>
      </c>
      <c r="B105" s="2" t="inlineStr">
        <is>
          <t>SIP-0087</t>
        </is>
      </c>
      <c r="C105" s="2" t="inlineStr">
        <is>
          <t>MUS-035</t>
        </is>
      </c>
      <c r="D105" s="2" t="inlineStr">
        <is>
          <t>Romanya</t>
        </is>
      </c>
      <c r="E105" s="6" t="n">
        <v>45668</v>
      </c>
      <c r="F105" s="2" t="inlineStr">
        <is>
          <t>Karayolu</t>
        </is>
      </c>
      <c r="G105" s="2" t="inlineStr">
        <is>
          <t>40FT</t>
        </is>
      </c>
      <c r="H105" s="5" t="n">
        <v>1703.63</v>
      </c>
      <c r="I105" s="5" t="n">
        <v>1839.29</v>
      </c>
      <c r="J105" s="3" t="n">
        <v>1798.08</v>
      </c>
      <c r="K105" s="3" t="n">
        <v>101.97</v>
      </c>
      <c r="L105" s="3" t="n">
        <v>244.71</v>
      </c>
      <c r="M105" s="3" t="n">
        <v>2144.76</v>
      </c>
      <c r="N105" s="5" t="n">
        <v>8</v>
      </c>
      <c r="O105" s="2" t="inlineStr">
        <is>
          <t>Yolda</t>
        </is>
      </c>
    </row>
    <row r="106">
      <c r="A106" s="2" t="inlineStr">
        <is>
          <t>SVK-0105</t>
        </is>
      </c>
      <c r="B106" s="2" t="inlineStr">
        <is>
          <t>SIP-0088</t>
        </is>
      </c>
      <c r="C106" s="2" t="inlineStr">
        <is>
          <t>MUS-067</t>
        </is>
      </c>
      <c r="D106" s="2" t="inlineStr">
        <is>
          <t>Katar</t>
        </is>
      </c>
      <c r="E106" s="6" t="n">
        <v>45654</v>
      </c>
      <c r="F106" s="2" t="inlineStr">
        <is>
          <t>Denizyolu</t>
        </is>
      </c>
      <c r="G106" s="2" t="inlineStr">
        <is>
          <t>20FT</t>
        </is>
      </c>
      <c r="H106" s="5" t="n">
        <v>304.03</v>
      </c>
      <c r="I106" s="5" t="n">
        <v>322.7</v>
      </c>
      <c r="J106" s="3" t="n">
        <v>4412.08</v>
      </c>
      <c r="K106" s="3" t="n">
        <v>172.23</v>
      </c>
      <c r="L106" s="3" t="n">
        <v>353.51</v>
      </c>
      <c r="M106" s="3" t="n">
        <v>4937.82</v>
      </c>
      <c r="N106" s="5" t="n">
        <v>20</v>
      </c>
      <c r="O106" s="2" t="inlineStr">
        <is>
          <t>Teslim Edildi</t>
        </is>
      </c>
    </row>
    <row r="107">
      <c r="A107" s="2" t="inlineStr">
        <is>
          <t>SVK-0106</t>
        </is>
      </c>
      <c r="B107" s="2" t="inlineStr">
        <is>
          <t>SIP-0089</t>
        </is>
      </c>
      <c r="C107" s="2" t="inlineStr">
        <is>
          <t>MUS-018</t>
        </is>
      </c>
      <c r="D107" s="2" t="inlineStr">
        <is>
          <t>BAE</t>
        </is>
      </c>
      <c r="E107" s="6" t="n">
        <v>45659</v>
      </c>
      <c r="F107" s="2" t="inlineStr">
        <is>
          <t>Denizyolu</t>
        </is>
      </c>
      <c r="G107" s="2" t="inlineStr">
        <is>
          <t>Parsiyel</t>
        </is>
      </c>
      <c r="H107" s="5" t="n">
        <v>146.52</v>
      </c>
      <c r="I107" s="5" t="n">
        <v>152.21</v>
      </c>
      <c r="J107" s="3" t="n">
        <v>3810.78</v>
      </c>
      <c r="K107" s="3" t="n">
        <v>211.67</v>
      </c>
      <c r="L107" s="3" t="n">
        <v>325.18</v>
      </c>
      <c r="M107" s="3" t="n">
        <v>4347.63</v>
      </c>
      <c r="N107" s="5" t="n">
        <v>16</v>
      </c>
      <c r="O107" s="2" t="inlineStr">
        <is>
          <t>Teslim Edildi</t>
        </is>
      </c>
    </row>
    <row r="108">
      <c r="A108" s="2" t="inlineStr">
        <is>
          <t>SVK-0107</t>
        </is>
      </c>
      <c r="B108" s="2" t="inlineStr">
        <is>
          <t>SIP-0090</t>
        </is>
      </c>
      <c r="C108" s="2" t="inlineStr">
        <is>
          <t>MUS-024</t>
        </is>
      </c>
      <c r="D108" s="2" t="inlineStr">
        <is>
          <t>Katar</t>
        </is>
      </c>
      <c r="E108" s="6" t="n">
        <v>45692</v>
      </c>
      <c r="F108" s="2" t="inlineStr">
        <is>
          <t>Denizyolu</t>
        </is>
      </c>
      <c r="G108" s="2" t="inlineStr">
        <is>
          <t>Open Top 40FT</t>
        </is>
      </c>
      <c r="H108" s="5" t="n">
        <v>1014.6</v>
      </c>
      <c r="I108" s="5" t="n">
        <v>1061.22</v>
      </c>
      <c r="J108" s="3" t="n">
        <v>2376.25</v>
      </c>
      <c r="K108" s="3" t="n">
        <v>137.35</v>
      </c>
      <c r="L108" s="3" t="n">
        <v>223.06</v>
      </c>
      <c r="M108" s="3" t="n">
        <v>2736.66</v>
      </c>
      <c r="N108" s="5" t="n">
        <v>24</v>
      </c>
      <c r="O108" s="2" t="inlineStr">
        <is>
          <t>Teslim Edildi</t>
        </is>
      </c>
    </row>
    <row r="109">
      <c r="A109" s="2" t="inlineStr">
        <is>
          <t>SVK-0108</t>
        </is>
      </c>
      <c r="B109" s="2" t="inlineStr">
        <is>
          <t>SIP-0090</t>
        </is>
      </c>
      <c r="C109" s="2" t="inlineStr">
        <is>
          <t>MUS-024</t>
        </is>
      </c>
      <c r="D109" s="2" t="inlineStr">
        <is>
          <t>Katar</t>
        </is>
      </c>
      <c r="E109" s="6" t="n">
        <v>45693</v>
      </c>
      <c r="F109" s="2" t="inlineStr">
        <is>
          <t>Denizyolu</t>
        </is>
      </c>
      <c r="G109" s="2" t="inlineStr">
        <is>
          <t>Open Top 40FT</t>
        </is>
      </c>
      <c r="H109" s="5" t="n">
        <v>1014.6</v>
      </c>
      <c r="I109" s="5" t="n">
        <v>1052.51</v>
      </c>
      <c r="J109" s="3" t="n">
        <v>2274.29</v>
      </c>
      <c r="K109" s="3" t="n">
        <v>124.14</v>
      </c>
      <c r="L109" s="3" t="n">
        <v>201.4</v>
      </c>
      <c r="M109" s="3" t="n">
        <v>2599.83</v>
      </c>
      <c r="N109" s="5" t="n">
        <v>22</v>
      </c>
      <c r="O109" s="2" t="inlineStr">
        <is>
          <t>Teslim Edildi</t>
        </is>
      </c>
    </row>
    <row r="110">
      <c r="A110" s="2" t="inlineStr">
        <is>
          <t>SVK-0109</t>
        </is>
      </c>
      <c r="B110" s="2" t="inlineStr">
        <is>
          <t>SIP-0091</t>
        </is>
      </c>
      <c r="C110" s="2" t="inlineStr">
        <is>
          <t>MUS-040</t>
        </is>
      </c>
      <c r="D110" s="2" t="inlineStr">
        <is>
          <t>Suudi Arabistan</t>
        </is>
      </c>
      <c r="E110" s="6" t="n">
        <v>45663</v>
      </c>
      <c r="F110" s="2" t="inlineStr">
        <is>
          <t>Karayolu</t>
        </is>
      </c>
      <c r="G110" s="2" t="inlineStr">
        <is>
          <t>20FT</t>
        </is>
      </c>
      <c r="H110" s="5" t="n">
        <v>263.76</v>
      </c>
      <c r="I110" s="5" t="n">
        <v>276.94</v>
      </c>
      <c r="J110" s="3" t="n">
        <v>3615.73</v>
      </c>
      <c r="K110" s="3" t="n">
        <v>173.12</v>
      </c>
      <c r="L110" s="3" t="n">
        <v>298.33</v>
      </c>
      <c r="M110" s="3" t="n">
        <v>4087.18</v>
      </c>
      <c r="N110" s="5" t="n">
        <v>21</v>
      </c>
      <c r="O110" s="2" t="inlineStr">
        <is>
          <t>Yolda</t>
        </is>
      </c>
    </row>
    <row r="111">
      <c r="A111" s="2" t="inlineStr">
        <is>
          <t>SVK-0110</t>
        </is>
      </c>
      <c r="B111" s="2" t="inlineStr">
        <is>
          <t>SIP-0092</t>
        </is>
      </c>
      <c r="C111" s="2" t="inlineStr">
        <is>
          <t>MUS-029</t>
        </is>
      </c>
      <c r="D111" s="2" t="inlineStr">
        <is>
          <t>Cezayir</t>
        </is>
      </c>
      <c r="E111" s="6" t="n">
        <v>45680</v>
      </c>
      <c r="F111" s="2" t="inlineStr">
        <is>
          <t>Denizyolu</t>
        </is>
      </c>
      <c r="G111" s="2" t="inlineStr">
        <is>
          <t>40FT</t>
        </is>
      </c>
      <c r="H111" s="5" t="n">
        <v>1705.2</v>
      </c>
      <c r="I111" s="5" t="n">
        <v>1764.88</v>
      </c>
      <c r="J111" s="3" t="n">
        <v>3383.33</v>
      </c>
      <c r="K111" s="3" t="n">
        <v>184.99</v>
      </c>
      <c r="L111" s="3" t="n">
        <v>632.02</v>
      </c>
      <c r="M111" s="3" t="n">
        <v>4200.34</v>
      </c>
      <c r="N111" s="5" t="n">
        <v>16</v>
      </c>
      <c r="O111" s="2" t="inlineStr">
        <is>
          <t>Teslim Edildi</t>
        </is>
      </c>
    </row>
    <row r="112">
      <c r="A112" s="2" t="inlineStr">
        <is>
          <t>SVK-0111</t>
        </is>
      </c>
      <c r="B112" s="2" t="inlineStr">
        <is>
          <t>SIP-0093</t>
        </is>
      </c>
      <c r="C112" s="2" t="inlineStr">
        <is>
          <t>MUS-074</t>
        </is>
      </c>
      <c r="D112" s="2" t="inlineStr">
        <is>
          <t>Azerbaycan</t>
        </is>
      </c>
      <c r="E112" s="6" t="n">
        <v>45674</v>
      </c>
      <c r="F112" s="2" t="inlineStr">
        <is>
          <t>Karayolu</t>
        </is>
      </c>
      <c r="G112" s="2" t="inlineStr">
        <is>
          <t>40FT</t>
        </is>
      </c>
      <c r="H112" s="5" t="n">
        <v>1202.4</v>
      </c>
      <c r="I112" s="5" t="n">
        <v>1288.27</v>
      </c>
      <c r="J112" s="3" t="n">
        <v>2062.2</v>
      </c>
      <c r="K112" s="3" t="n">
        <v>94.03</v>
      </c>
      <c r="L112" s="3" t="n">
        <v>295.47</v>
      </c>
      <c r="M112" s="3" t="n">
        <v>2451.7</v>
      </c>
      <c r="N112" s="5" t="n">
        <v>13</v>
      </c>
      <c r="O112" s="2" t="inlineStr">
        <is>
          <t>Teslim Edildi</t>
        </is>
      </c>
    </row>
    <row r="113">
      <c r="A113" s="2" t="inlineStr">
        <is>
          <t>SVK-0112</t>
        </is>
      </c>
      <c r="B113" s="2" t="inlineStr">
        <is>
          <t>SIP-0094</t>
        </is>
      </c>
      <c r="C113" s="2" t="inlineStr">
        <is>
          <t>MUS-062</t>
        </is>
      </c>
      <c r="D113" s="2" t="inlineStr">
        <is>
          <t>Azerbaycan</t>
        </is>
      </c>
      <c r="E113" s="6" t="n">
        <v>45678</v>
      </c>
      <c r="F113" s="2" t="inlineStr">
        <is>
          <t>Karayolu</t>
        </is>
      </c>
      <c r="G113" s="2" t="inlineStr">
        <is>
          <t>Open Top 40FT</t>
        </is>
      </c>
      <c r="H113" s="5" t="n">
        <v>2659.51</v>
      </c>
      <c r="I113" s="5" t="n">
        <v>2748.77</v>
      </c>
      <c r="J113" s="3" t="n">
        <v>2709.34</v>
      </c>
      <c r="K113" s="3" t="n">
        <v>105.49</v>
      </c>
      <c r="L113" s="3" t="n">
        <v>345.44</v>
      </c>
      <c r="M113" s="3" t="n">
        <v>3160.27</v>
      </c>
      <c r="N113" s="5" t="n">
        <v>14</v>
      </c>
      <c r="O113" s="2" t="inlineStr">
        <is>
          <t>Teslim Edildi</t>
        </is>
      </c>
    </row>
    <row r="114">
      <c r="A114" s="2" t="inlineStr">
        <is>
          <t>SVK-0113</t>
        </is>
      </c>
      <c r="B114" s="2" t="inlineStr">
        <is>
          <t>SIP-0095</t>
        </is>
      </c>
      <c r="C114" s="2" t="inlineStr">
        <is>
          <t>MUS-076</t>
        </is>
      </c>
      <c r="D114" s="2" t="inlineStr">
        <is>
          <t>Hollanda</t>
        </is>
      </c>
      <c r="E114" s="6" t="n">
        <v>45654</v>
      </c>
      <c r="F114" s="2" t="inlineStr">
        <is>
          <t>Karayolu</t>
        </is>
      </c>
      <c r="G114" s="2" t="inlineStr">
        <is>
          <t>Open Top 40FT</t>
        </is>
      </c>
      <c r="H114" s="5" t="n">
        <v>1190.9</v>
      </c>
      <c r="I114" s="5" t="n">
        <v>1272.91</v>
      </c>
      <c r="J114" s="3" t="n">
        <v>1355.07</v>
      </c>
      <c r="K114" s="3" t="n">
        <v>78.97</v>
      </c>
      <c r="L114" s="3" t="n">
        <v>98.81</v>
      </c>
      <c r="M114" s="3" t="n">
        <v>1532.85</v>
      </c>
      <c r="N114" s="5" t="n">
        <v>12</v>
      </c>
      <c r="O114" s="2" t="inlineStr">
        <is>
          <t>Gumrukte</t>
        </is>
      </c>
    </row>
    <row r="115">
      <c r="A115" s="2" t="inlineStr">
        <is>
          <t>SVK-0114</t>
        </is>
      </c>
      <c r="B115" s="2" t="inlineStr">
        <is>
          <t>SIP-0095</t>
        </is>
      </c>
      <c r="C115" s="2" t="inlineStr">
        <is>
          <t>MUS-076</t>
        </is>
      </c>
      <c r="D115" s="2" t="inlineStr">
        <is>
          <t>Hollanda</t>
        </is>
      </c>
      <c r="E115" s="6" t="n">
        <v>45655</v>
      </c>
      <c r="F115" s="2" t="inlineStr">
        <is>
          <t>Karayolu</t>
        </is>
      </c>
      <c r="G115" s="2" t="inlineStr">
        <is>
          <t>Open Top 40FT</t>
        </is>
      </c>
      <c r="H115" s="5" t="n">
        <v>1190.9</v>
      </c>
      <c r="I115" s="5" t="n">
        <v>1263.89</v>
      </c>
      <c r="J115" s="3" t="n">
        <v>1298.85</v>
      </c>
      <c r="K115" s="3" t="n">
        <v>42.4</v>
      </c>
      <c r="L115" s="3" t="n">
        <v>99.08</v>
      </c>
      <c r="M115" s="3" t="n">
        <v>1440.33</v>
      </c>
      <c r="N115" s="5" t="n">
        <v>15</v>
      </c>
      <c r="O115" s="2" t="inlineStr">
        <is>
          <t>Teslim Edildi</t>
        </is>
      </c>
    </row>
    <row r="116">
      <c r="A116" s="2" t="inlineStr">
        <is>
          <t>SVK-0115</t>
        </is>
      </c>
      <c r="B116" s="2" t="inlineStr">
        <is>
          <t>SIP-0096</t>
        </is>
      </c>
      <c r="C116" s="2" t="inlineStr">
        <is>
          <t>MUS-021</t>
        </is>
      </c>
      <c r="D116" s="2" t="inlineStr">
        <is>
          <t>Hollanda</t>
        </is>
      </c>
      <c r="E116" s="6" t="n">
        <v>45667</v>
      </c>
      <c r="F116" s="2" t="inlineStr">
        <is>
          <t>Denizyolu</t>
        </is>
      </c>
      <c r="G116" s="2" t="inlineStr">
        <is>
          <t>Open Top 40FT</t>
        </is>
      </c>
      <c r="H116" s="5" t="n">
        <v>3368.02</v>
      </c>
      <c r="I116" s="5" t="n">
        <v>3539.13</v>
      </c>
      <c r="J116" s="3" t="n">
        <v>2351.24</v>
      </c>
      <c r="K116" s="3" t="n">
        <v>108.01</v>
      </c>
      <c r="L116" s="3" t="n">
        <v>323.65</v>
      </c>
      <c r="M116" s="3" t="n">
        <v>2782.9</v>
      </c>
      <c r="N116" s="5" t="n">
        <v>16</v>
      </c>
      <c r="O116" s="2" t="inlineStr">
        <is>
          <t>Teslim Edildi</t>
        </is>
      </c>
    </row>
    <row r="117">
      <c r="A117" s="2" t="inlineStr">
        <is>
          <t>SVK-0116</t>
        </is>
      </c>
      <c r="B117" s="2" t="inlineStr">
        <is>
          <t>SIP-0097</t>
        </is>
      </c>
      <c r="C117" s="2" t="inlineStr">
        <is>
          <t>MUS-025</t>
        </is>
      </c>
      <c r="D117" s="2" t="inlineStr">
        <is>
          <t>Almanya</t>
        </is>
      </c>
      <c r="E117" s="6" t="n">
        <v>45663</v>
      </c>
      <c r="F117" s="2" t="inlineStr">
        <is>
          <t>Karayolu</t>
        </is>
      </c>
      <c r="G117" s="2" t="inlineStr">
        <is>
          <t>40FT</t>
        </is>
      </c>
      <c r="H117" s="5" t="n">
        <v>1175.89</v>
      </c>
      <c r="I117" s="5" t="n">
        <v>1268.89</v>
      </c>
      <c r="J117" s="3" t="n">
        <v>2482.66</v>
      </c>
      <c r="K117" s="3" t="n">
        <v>101.78</v>
      </c>
      <c r="L117" s="3" t="n">
        <v>315.98</v>
      </c>
      <c r="M117" s="3" t="n">
        <v>2900.42</v>
      </c>
      <c r="N117" s="5" t="n">
        <v>5</v>
      </c>
      <c r="O117" s="2" t="inlineStr">
        <is>
          <t>Teslim Edildi</t>
        </is>
      </c>
    </row>
    <row r="118">
      <c r="A118" s="2" t="inlineStr">
        <is>
          <t>SVK-0117</t>
        </is>
      </c>
      <c r="B118" s="2" t="inlineStr">
        <is>
          <t>SIP-0098</t>
        </is>
      </c>
      <c r="C118" s="2" t="inlineStr">
        <is>
          <t>MUS-047</t>
        </is>
      </c>
      <c r="D118" s="2" t="inlineStr">
        <is>
          <t>Misir</t>
        </is>
      </c>
      <c r="E118" s="6" t="n">
        <v>45683</v>
      </c>
      <c r="F118" s="2" t="inlineStr">
        <is>
          <t>Karayolu</t>
        </is>
      </c>
      <c r="G118" s="2" t="inlineStr">
        <is>
          <t>40FT</t>
        </is>
      </c>
      <c r="H118" s="5" t="n">
        <v>1161.58</v>
      </c>
      <c r="I118" s="5" t="n">
        <v>1200.27</v>
      </c>
      <c r="J118" s="3" t="n">
        <v>3340.18</v>
      </c>
      <c r="K118" s="3" t="n">
        <v>190.78</v>
      </c>
      <c r="L118" s="3" t="n">
        <v>499.62</v>
      </c>
      <c r="M118" s="3" t="n">
        <v>4030.58</v>
      </c>
      <c r="N118" s="5" t="n">
        <v>14</v>
      </c>
      <c r="O118" s="2" t="inlineStr">
        <is>
          <t>Gumrukte</t>
        </is>
      </c>
    </row>
    <row r="119">
      <c r="A119" s="2" t="inlineStr">
        <is>
          <t>SVK-0118</t>
        </is>
      </c>
      <c r="B119" s="2" t="inlineStr">
        <is>
          <t>SIP-0099</t>
        </is>
      </c>
      <c r="C119" s="2" t="inlineStr">
        <is>
          <t>MUS-079</t>
        </is>
      </c>
      <c r="D119" s="2" t="inlineStr">
        <is>
          <t>Katar</t>
        </is>
      </c>
      <c r="E119" s="6" t="n">
        <v>45680</v>
      </c>
      <c r="F119" s="2" t="inlineStr">
        <is>
          <t>Denizyolu</t>
        </is>
      </c>
      <c r="G119" s="2" t="inlineStr">
        <is>
          <t>Open Top 40FT</t>
        </is>
      </c>
      <c r="H119" s="5" t="n">
        <v>3111.12</v>
      </c>
      <c r="I119" s="5" t="n">
        <v>3248.92</v>
      </c>
      <c r="J119" s="3" t="n">
        <v>4775.54</v>
      </c>
      <c r="K119" s="3" t="n">
        <v>209.18</v>
      </c>
      <c r="L119" s="3" t="n">
        <v>369.95</v>
      </c>
      <c r="M119" s="3" t="n">
        <v>5354.67</v>
      </c>
      <c r="N119" s="5" t="n">
        <v>25</v>
      </c>
      <c r="O119" s="2" t="inlineStr">
        <is>
          <t>Teslim Edildi</t>
        </is>
      </c>
    </row>
    <row r="120">
      <c r="A120" s="2" t="inlineStr">
        <is>
          <t>SVK-0119</t>
        </is>
      </c>
      <c r="B120" s="2" t="inlineStr">
        <is>
          <t>SIP-0100</t>
        </is>
      </c>
      <c r="C120" s="2" t="inlineStr">
        <is>
          <t>MUS-058</t>
        </is>
      </c>
      <c r="D120" s="2" t="inlineStr">
        <is>
          <t>Polonya</t>
        </is>
      </c>
      <c r="E120" s="6" t="n">
        <v>45744</v>
      </c>
      <c r="F120" s="2" t="inlineStr">
        <is>
          <t>Karayolu</t>
        </is>
      </c>
      <c r="G120" s="2" t="inlineStr">
        <is>
          <t>Open Top 40FT</t>
        </is>
      </c>
      <c r="H120" s="5" t="n">
        <v>4943.31</v>
      </c>
      <c r="I120" s="5" t="n">
        <v>5282.18</v>
      </c>
      <c r="J120" s="3" t="n">
        <v>2270.49</v>
      </c>
      <c r="K120" s="3" t="n">
        <v>131.3</v>
      </c>
      <c r="L120" s="3" t="n">
        <v>250.64</v>
      </c>
      <c r="M120" s="3" t="n">
        <v>2652.43</v>
      </c>
      <c r="N120" s="5" t="n">
        <v>8</v>
      </c>
      <c r="O120" s="2" t="inlineStr">
        <is>
          <t>Yolda</t>
        </is>
      </c>
    </row>
    <row r="121">
      <c r="A121" s="2" t="inlineStr">
        <is>
          <t>SVK-0120</t>
        </is>
      </c>
      <c r="B121" s="2" t="inlineStr">
        <is>
          <t>SIP-0101</t>
        </is>
      </c>
      <c r="C121" s="2" t="inlineStr">
        <is>
          <t>MUS-010</t>
        </is>
      </c>
      <c r="D121" s="2" t="inlineStr">
        <is>
          <t>Suudi Arabistan</t>
        </is>
      </c>
      <c r="E121" s="6" t="n">
        <v>45699</v>
      </c>
      <c r="F121" s="2" t="inlineStr">
        <is>
          <t>Denizyolu</t>
        </is>
      </c>
      <c r="G121" s="2" t="inlineStr">
        <is>
          <t>20FT</t>
        </is>
      </c>
      <c r="H121" s="5" t="n">
        <v>478.67</v>
      </c>
      <c r="I121" s="5" t="n">
        <v>505.39</v>
      </c>
      <c r="J121" s="3" t="n">
        <v>4029.75</v>
      </c>
      <c r="K121" s="3" t="n">
        <v>164.63</v>
      </c>
      <c r="L121" s="3" t="n">
        <v>486.16</v>
      </c>
      <c r="M121" s="3" t="n">
        <v>4680.54</v>
      </c>
      <c r="N121" s="5" t="n">
        <v>23</v>
      </c>
      <c r="O121" s="2" t="inlineStr">
        <is>
          <t>Gumrukte</t>
        </is>
      </c>
    </row>
    <row r="122">
      <c r="A122" s="2" t="inlineStr">
        <is>
          <t>SVK-0121</t>
        </is>
      </c>
      <c r="B122" s="2" t="inlineStr">
        <is>
          <t>SIP-0102</t>
        </is>
      </c>
      <c r="C122" s="2" t="inlineStr">
        <is>
          <t>MUS-020</t>
        </is>
      </c>
      <c r="D122" s="2" t="inlineStr">
        <is>
          <t>Cezayir</t>
        </is>
      </c>
      <c r="E122" s="6" t="n">
        <v>45692</v>
      </c>
      <c r="F122" s="2" t="inlineStr">
        <is>
          <t>Denizyolu</t>
        </is>
      </c>
      <c r="G122" s="2" t="inlineStr">
        <is>
          <t>40FT</t>
        </is>
      </c>
      <c r="H122" s="5" t="n">
        <v>1782.24</v>
      </c>
      <c r="I122" s="5" t="n">
        <v>1881.31</v>
      </c>
      <c r="J122" s="3" t="n">
        <v>3069.31</v>
      </c>
      <c r="K122" s="3" t="n">
        <v>129.37</v>
      </c>
      <c r="L122" s="3" t="n">
        <v>408.55</v>
      </c>
      <c r="M122" s="3" t="n">
        <v>3607.23</v>
      </c>
      <c r="N122" s="5" t="n">
        <v>14</v>
      </c>
      <c r="O122" s="2" t="inlineStr">
        <is>
          <t>Teslim Edildi</t>
        </is>
      </c>
    </row>
    <row r="123">
      <c r="A123" s="2" t="inlineStr">
        <is>
          <t>SVK-0122</t>
        </is>
      </c>
      <c r="B123" s="2" t="inlineStr">
        <is>
          <t>SIP-0103</t>
        </is>
      </c>
      <c r="C123" s="2" t="inlineStr">
        <is>
          <t>MUS-070</t>
        </is>
      </c>
      <c r="D123" s="2" t="inlineStr">
        <is>
          <t>Polonya</t>
        </is>
      </c>
      <c r="E123" s="6" t="n">
        <v>45708</v>
      </c>
      <c r="F123" s="2" t="inlineStr">
        <is>
          <t>Karayolu</t>
        </is>
      </c>
      <c r="G123" s="2" t="inlineStr">
        <is>
          <t>Open Top 40FT</t>
        </is>
      </c>
      <c r="H123" s="5" t="n">
        <v>4674.74</v>
      </c>
      <c r="I123" s="5" t="n">
        <v>4868.88</v>
      </c>
      <c r="J123" s="3" t="n">
        <v>2791.62</v>
      </c>
      <c r="K123" s="3" t="n">
        <v>111.06</v>
      </c>
      <c r="L123" s="3" t="n">
        <v>293.76</v>
      </c>
      <c r="M123" s="3" t="n">
        <v>3196.44</v>
      </c>
      <c r="N123" s="5" t="n">
        <v>7</v>
      </c>
      <c r="O123" s="2" t="inlineStr">
        <is>
          <t>Teslim Edildi</t>
        </is>
      </c>
    </row>
    <row r="124">
      <c r="A124" s="2" t="inlineStr">
        <is>
          <t>SVK-0123</t>
        </is>
      </c>
      <c r="B124" s="2" t="inlineStr">
        <is>
          <t>SIP-0104</t>
        </is>
      </c>
      <c r="C124" s="2" t="inlineStr">
        <is>
          <t>MUS-038</t>
        </is>
      </c>
      <c r="D124" s="2" t="inlineStr">
        <is>
          <t>Suudi Arabistan</t>
        </is>
      </c>
      <c r="E124" s="6" t="n">
        <v>45676</v>
      </c>
      <c r="F124" s="2" t="inlineStr">
        <is>
          <t>Denizyolu</t>
        </is>
      </c>
      <c r="G124" s="2" t="inlineStr">
        <is>
          <t>40FT</t>
        </is>
      </c>
      <c r="H124" s="5" t="n">
        <v>625.36</v>
      </c>
      <c r="I124" s="5" t="n">
        <v>673.3</v>
      </c>
      <c r="J124" s="3" t="n">
        <v>3939.61</v>
      </c>
      <c r="K124" s="3" t="n">
        <v>177.45</v>
      </c>
      <c r="L124" s="3" t="n">
        <v>446.19</v>
      </c>
      <c r="M124" s="3" t="n">
        <v>4563.25</v>
      </c>
      <c r="N124" s="5" t="n">
        <v>22</v>
      </c>
      <c r="O124" s="2" t="inlineStr">
        <is>
          <t>Teslim Edildi</t>
        </is>
      </c>
    </row>
    <row r="125">
      <c r="A125" s="2" t="inlineStr">
        <is>
          <t>SVK-0124</t>
        </is>
      </c>
      <c r="B125" s="2" t="inlineStr">
        <is>
          <t>SIP-0105</t>
        </is>
      </c>
      <c r="C125" s="2" t="inlineStr">
        <is>
          <t>MUS-033</t>
        </is>
      </c>
      <c r="D125" s="2" t="inlineStr">
        <is>
          <t>Cezayir</t>
        </is>
      </c>
      <c r="E125" s="6" t="n">
        <v>45700</v>
      </c>
      <c r="F125" s="2" t="inlineStr">
        <is>
          <t>Denizyolu</t>
        </is>
      </c>
      <c r="G125" s="2" t="inlineStr">
        <is>
          <t>Open Top 40FT</t>
        </is>
      </c>
      <c r="H125" s="5" t="n">
        <v>3540.54</v>
      </c>
      <c r="I125" s="5" t="n">
        <v>3790.62</v>
      </c>
      <c r="J125" s="3" t="n">
        <v>2966.41</v>
      </c>
      <c r="K125" s="3" t="n">
        <v>98.5</v>
      </c>
      <c r="L125" s="3" t="n">
        <v>454.13</v>
      </c>
      <c r="M125" s="3" t="n">
        <v>3519.04</v>
      </c>
      <c r="N125" s="5" t="n">
        <v>19</v>
      </c>
      <c r="O125" s="2" t="inlineStr">
        <is>
          <t>Teslim Edildi</t>
        </is>
      </c>
    </row>
    <row r="126">
      <c r="A126" s="2" t="inlineStr">
        <is>
          <t>SVK-0125</t>
        </is>
      </c>
      <c r="B126" s="2" t="inlineStr">
        <is>
          <t>SIP-0106</t>
        </is>
      </c>
      <c r="C126" s="2" t="inlineStr">
        <is>
          <t>MUS-035</t>
        </is>
      </c>
      <c r="D126" s="2" t="inlineStr">
        <is>
          <t>Romanya</t>
        </is>
      </c>
      <c r="E126" s="6" t="n">
        <v>45702</v>
      </c>
      <c r="F126" s="2" t="inlineStr">
        <is>
          <t>Denizyolu</t>
        </is>
      </c>
      <c r="G126" s="2" t="inlineStr">
        <is>
          <t>Open Top 40FT</t>
        </is>
      </c>
      <c r="H126" s="5" t="n">
        <v>1080.92</v>
      </c>
      <c r="I126" s="5" t="n">
        <v>1137.27</v>
      </c>
      <c r="J126" s="3" t="n">
        <v>711.79</v>
      </c>
      <c r="K126" s="3" t="n">
        <v>36.23</v>
      </c>
      <c r="L126" s="3" t="n">
        <v>166.11</v>
      </c>
      <c r="M126" s="3" t="n">
        <v>914.13</v>
      </c>
      <c r="N126" s="5" t="n">
        <v>3</v>
      </c>
      <c r="O126" s="2" t="inlineStr">
        <is>
          <t>Teslim Edildi</t>
        </is>
      </c>
    </row>
    <row r="127">
      <c r="A127" s="2" t="inlineStr">
        <is>
          <t>SVK-0126</t>
        </is>
      </c>
      <c r="B127" s="2" t="inlineStr">
        <is>
          <t>SIP-0106</t>
        </is>
      </c>
      <c r="C127" s="2" t="inlineStr">
        <is>
          <t>MUS-035</t>
        </is>
      </c>
      <c r="D127" s="2" t="inlineStr">
        <is>
          <t>Romanya</t>
        </is>
      </c>
      <c r="E127" s="6" t="n">
        <v>45703</v>
      </c>
      <c r="F127" s="2" t="inlineStr">
        <is>
          <t>Denizyolu</t>
        </is>
      </c>
      <c r="G127" s="2" t="inlineStr">
        <is>
          <t>Open Top 40FT</t>
        </is>
      </c>
      <c r="H127" s="5" t="n">
        <v>1080.92</v>
      </c>
      <c r="I127" s="5" t="n">
        <v>1118.25</v>
      </c>
      <c r="J127" s="3" t="n">
        <v>765.51</v>
      </c>
      <c r="K127" s="3" t="n">
        <v>25.49</v>
      </c>
      <c r="L127" s="3" t="n">
        <v>140.71</v>
      </c>
      <c r="M127" s="3" t="n">
        <v>931.71</v>
      </c>
      <c r="N127" s="5" t="n">
        <v>9</v>
      </c>
      <c r="O127" s="2" t="inlineStr">
        <is>
          <t>Teslim Edildi</t>
        </is>
      </c>
    </row>
    <row r="128">
      <c r="A128" s="2" t="inlineStr">
        <is>
          <t>SVK-0127</t>
        </is>
      </c>
      <c r="B128" s="2" t="inlineStr">
        <is>
          <t>SIP-0107</t>
        </is>
      </c>
      <c r="C128" s="2" t="inlineStr">
        <is>
          <t>MUS-033</t>
        </is>
      </c>
      <c r="D128" s="2" t="inlineStr">
        <is>
          <t>Cezayir</t>
        </is>
      </c>
      <c r="E128" s="6" t="n">
        <v>45762</v>
      </c>
      <c r="F128" s="2" t="inlineStr">
        <is>
          <t>Karayolu</t>
        </is>
      </c>
      <c r="G128" s="2" t="inlineStr">
        <is>
          <t>Open Top 40FT</t>
        </is>
      </c>
      <c r="H128" s="5" t="n">
        <v>4579.06</v>
      </c>
      <c r="I128" s="5" t="n">
        <v>4944.77</v>
      </c>
      <c r="J128" s="3" t="n">
        <v>3152.19</v>
      </c>
      <c r="K128" s="3" t="n">
        <v>132.47</v>
      </c>
      <c r="L128" s="3" t="n">
        <v>567.95</v>
      </c>
      <c r="M128" s="3" t="n">
        <v>3852.61</v>
      </c>
      <c r="N128" s="5" t="n">
        <v>17</v>
      </c>
      <c r="O128" s="2" t="inlineStr">
        <is>
          <t>Gumrukte</t>
        </is>
      </c>
    </row>
    <row r="129">
      <c r="A129" s="2" t="inlineStr">
        <is>
          <t>SVK-0128</t>
        </is>
      </c>
      <c r="B129" s="2" t="inlineStr">
        <is>
          <t>SIP-0108</t>
        </is>
      </c>
      <c r="C129" s="2" t="inlineStr">
        <is>
          <t>MUS-029</t>
        </is>
      </c>
      <c r="D129" s="2" t="inlineStr">
        <is>
          <t>Cezayir</t>
        </is>
      </c>
      <c r="E129" s="6" t="n">
        <v>45698</v>
      </c>
      <c r="F129" s="2" t="inlineStr">
        <is>
          <t>Denizyolu</t>
        </is>
      </c>
      <c r="G129" s="2" t="inlineStr">
        <is>
          <t>Open Top 40FT</t>
        </is>
      </c>
      <c r="H129" s="5" t="n">
        <v>3768.41</v>
      </c>
      <c r="I129" s="5" t="n">
        <v>4038</v>
      </c>
      <c r="J129" s="3" t="n">
        <v>3735.18</v>
      </c>
      <c r="K129" s="3" t="n">
        <v>210.26</v>
      </c>
      <c r="L129" s="3" t="n">
        <v>454.11</v>
      </c>
      <c r="M129" s="3" t="n">
        <v>4399.55</v>
      </c>
      <c r="N129" s="5" t="n">
        <v>20</v>
      </c>
      <c r="O129" s="2" t="inlineStr">
        <is>
          <t>Teslim Edildi</t>
        </is>
      </c>
    </row>
    <row r="130">
      <c r="A130" s="2" t="inlineStr">
        <is>
          <t>SVK-0129</t>
        </is>
      </c>
      <c r="B130" s="2" t="inlineStr">
        <is>
          <t>SIP-0109</t>
        </is>
      </c>
      <c r="C130" s="2" t="inlineStr">
        <is>
          <t>MUS-064</t>
        </is>
      </c>
      <c r="D130" s="2" t="inlineStr">
        <is>
          <t>Romanya</t>
        </is>
      </c>
      <c r="E130" s="6" t="n">
        <v>45709</v>
      </c>
      <c r="F130" s="2" t="inlineStr">
        <is>
          <t>Karayolu</t>
        </is>
      </c>
      <c r="G130" s="2" t="inlineStr">
        <is>
          <t>40FT</t>
        </is>
      </c>
      <c r="H130" s="5" t="n">
        <v>1514.11</v>
      </c>
      <c r="I130" s="5" t="n">
        <v>1565.02</v>
      </c>
      <c r="J130" s="3" t="n">
        <v>1884.43</v>
      </c>
      <c r="K130" s="3" t="n">
        <v>111.25</v>
      </c>
      <c r="L130" s="3" t="n">
        <v>237.52</v>
      </c>
      <c r="M130" s="3" t="n">
        <v>2233.2</v>
      </c>
      <c r="N130" s="5" t="n">
        <v>10</v>
      </c>
      <c r="O130" s="2" t="inlineStr">
        <is>
          <t>Teslim Edildi</t>
        </is>
      </c>
    </row>
    <row r="131">
      <c r="A131" s="2" t="inlineStr">
        <is>
          <t>SVK-0130</t>
        </is>
      </c>
      <c r="B131" s="2" t="inlineStr">
        <is>
          <t>SIP-0110</t>
        </is>
      </c>
      <c r="C131" s="2" t="inlineStr">
        <is>
          <t>MUS-054</t>
        </is>
      </c>
      <c r="D131" s="2" t="inlineStr">
        <is>
          <t>Katar</t>
        </is>
      </c>
      <c r="E131" s="6" t="n">
        <v>45709</v>
      </c>
      <c r="F131" s="2" t="inlineStr">
        <is>
          <t>Denizyolu</t>
        </is>
      </c>
      <c r="G131" s="2" t="inlineStr">
        <is>
          <t>40FT</t>
        </is>
      </c>
      <c r="H131" s="5" t="n">
        <v>541.86</v>
      </c>
      <c r="I131" s="5" t="n">
        <v>581.09</v>
      </c>
      <c r="J131" s="3" t="n">
        <v>2114.82</v>
      </c>
      <c r="K131" s="3" t="n">
        <v>102</v>
      </c>
      <c r="L131" s="3" t="n">
        <v>231.48</v>
      </c>
      <c r="M131" s="3" t="n">
        <v>2448.3</v>
      </c>
      <c r="N131" s="5" t="n">
        <v>23</v>
      </c>
      <c r="O131" s="2" t="inlineStr">
        <is>
          <t>Yolda</t>
        </is>
      </c>
    </row>
    <row r="132">
      <c r="A132" s="2" t="inlineStr">
        <is>
          <t>SVK-0131</t>
        </is>
      </c>
      <c r="B132" s="2" t="inlineStr">
        <is>
          <t>SIP-0110</t>
        </is>
      </c>
      <c r="C132" s="2" t="inlineStr">
        <is>
          <t>MUS-054</t>
        </is>
      </c>
      <c r="D132" s="2" t="inlineStr">
        <is>
          <t>Katar</t>
        </is>
      </c>
      <c r="E132" s="6" t="n">
        <v>45710</v>
      </c>
      <c r="F132" s="2" t="inlineStr">
        <is>
          <t>Denizyolu</t>
        </is>
      </c>
      <c r="G132" s="2" t="inlineStr">
        <is>
          <t>40FT</t>
        </is>
      </c>
      <c r="H132" s="5" t="n">
        <v>541.86</v>
      </c>
      <c r="I132" s="5" t="n">
        <v>575.59</v>
      </c>
      <c r="J132" s="3" t="n">
        <v>1823.61</v>
      </c>
      <c r="K132" s="3" t="n">
        <v>83.11</v>
      </c>
      <c r="L132" s="3" t="n">
        <v>148.93</v>
      </c>
      <c r="M132" s="3" t="n">
        <v>2055.65</v>
      </c>
      <c r="N132" s="5" t="n">
        <v>24</v>
      </c>
      <c r="O132" s="2" t="inlineStr">
        <is>
          <t>Teslim Edildi</t>
        </is>
      </c>
    </row>
    <row r="133">
      <c r="A133" s="2" t="inlineStr">
        <is>
          <t>SVK-0132</t>
        </is>
      </c>
      <c r="B133" s="2" t="inlineStr">
        <is>
          <t>SIP-0111</t>
        </is>
      </c>
      <c r="C133" s="2" t="inlineStr">
        <is>
          <t>MUS-065</t>
        </is>
      </c>
      <c r="D133" s="2" t="inlineStr">
        <is>
          <t>Cezayir</t>
        </is>
      </c>
      <c r="E133" s="6" t="n">
        <v>45700</v>
      </c>
      <c r="F133" s="2" t="inlineStr">
        <is>
          <t>Denizyolu</t>
        </is>
      </c>
      <c r="G133" s="2" t="inlineStr">
        <is>
          <t>40FT</t>
        </is>
      </c>
      <c r="H133" s="5" t="n">
        <v>1570</v>
      </c>
      <c r="I133" s="5" t="n">
        <v>1631.84</v>
      </c>
      <c r="J133" s="3" t="n">
        <v>3597.93</v>
      </c>
      <c r="K133" s="3" t="n">
        <v>138.42</v>
      </c>
      <c r="L133" s="3" t="n">
        <v>509.78</v>
      </c>
      <c r="M133" s="3" t="n">
        <v>4246.13</v>
      </c>
      <c r="N133" s="5" t="n">
        <v>16</v>
      </c>
      <c r="O133" s="2" t="inlineStr">
        <is>
          <t>Yolda</t>
        </is>
      </c>
    </row>
    <row r="134">
      <c r="A134" s="2" t="inlineStr">
        <is>
          <t>SVK-0133</t>
        </is>
      </c>
      <c r="B134" s="2" t="inlineStr">
        <is>
          <t>SIP-0112</t>
        </is>
      </c>
      <c r="C134" s="2" t="inlineStr">
        <is>
          <t>MUS-017</t>
        </is>
      </c>
      <c r="D134" s="2" t="inlineStr">
        <is>
          <t>Polonya</t>
        </is>
      </c>
      <c r="E134" s="6" t="n">
        <v>45703</v>
      </c>
      <c r="F134" s="2" t="inlineStr">
        <is>
          <t>Karayolu</t>
        </is>
      </c>
      <c r="G134" s="2" t="inlineStr">
        <is>
          <t>40FT</t>
        </is>
      </c>
      <c r="H134" s="5" t="n">
        <v>856.62</v>
      </c>
      <c r="I134" s="5" t="n">
        <v>893.6799999999999</v>
      </c>
      <c r="J134" s="3" t="n">
        <v>2871.35</v>
      </c>
      <c r="K134" s="3" t="n">
        <v>128.01</v>
      </c>
      <c r="L134" s="3" t="n">
        <v>260.69</v>
      </c>
      <c r="M134" s="3" t="n">
        <v>3260.05</v>
      </c>
      <c r="N134" s="5" t="n">
        <v>12</v>
      </c>
      <c r="O134" s="2" t="inlineStr">
        <is>
          <t>Teslim Edildi</t>
        </is>
      </c>
    </row>
    <row r="135">
      <c r="A135" s="2" t="inlineStr">
        <is>
          <t>SVK-0134</t>
        </is>
      </c>
      <c r="B135" s="2" t="inlineStr">
        <is>
          <t>SIP-0113</t>
        </is>
      </c>
      <c r="C135" s="2" t="inlineStr">
        <is>
          <t>MUS-025</t>
        </is>
      </c>
      <c r="D135" s="2" t="inlineStr">
        <is>
          <t>Almanya</t>
        </is>
      </c>
      <c r="E135" s="6" t="n">
        <v>45709</v>
      </c>
      <c r="F135" s="2" t="inlineStr">
        <is>
          <t>Karayolu</t>
        </is>
      </c>
      <c r="G135" s="2" t="inlineStr">
        <is>
          <t>40FT</t>
        </is>
      </c>
      <c r="H135" s="5" t="n">
        <v>361.52</v>
      </c>
      <c r="I135" s="5" t="n">
        <v>383.87</v>
      </c>
      <c r="J135" s="3" t="n">
        <v>1021.19</v>
      </c>
      <c r="K135" s="3" t="n">
        <v>42.64</v>
      </c>
      <c r="L135" s="3" t="n">
        <v>142.13</v>
      </c>
      <c r="M135" s="3" t="n">
        <v>1205.96</v>
      </c>
      <c r="N135" s="5" t="n">
        <v>7</v>
      </c>
      <c r="O135" s="2" t="inlineStr">
        <is>
          <t>Teslim Edildi</t>
        </is>
      </c>
    </row>
    <row r="136">
      <c r="A136" s="2" t="inlineStr">
        <is>
          <t>SVK-0135</t>
        </is>
      </c>
      <c r="B136" s="2" t="inlineStr">
        <is>
          <t>SIP-0113</t>
        </is>
      </c>
      <c r="C136" s="2" t="inlineStr">
        <is>
          <t>MUS-025</t>
        </is>
      </c>
      <c r="D136" s="2" t="inlineStr">
        <is>
          <t>Almanya</t>
        </is>
      </c>
      <c r="E136" s="6" t="n">
        <v>45710</v>
      </c>
      <c r="F136" s="2" t="inlineStr">
        <is>
          <t>Karayolu</t>
        </is>
      </c>
      <c r="G136" s="2" t="inlineStr">
        <is>
          <t>40FT</t>
        </is>
      </c>
      <c r="H136" s="5" t="n">
        <v>361.52</v>
      </c>
      <c r="I136" s="5" t="n">
        <v>387.56</v>
      </c>
      <c r="J136" s="3" t="n">
        <v>961.53</v>
      </c>
      <c r="K136" s="3" t="n">
        <v>50.9</v>
      </c>
      <c r="L136" s="3" t="n">
        <v>112.93</v>
      </c>
      <c r="M136" s="3" t="n">
        <v>1125.36</v>
      </c>
      <c r="N136" s="5" t="n">
        <v>10</v>
      </c>
      <c r="O136" s="2" t="inlineStr">
        <is>
          <t>Yolda</t>
        </is>
      </c>
    </row>
    <row r="137">
      <c r="A137" s="2" t="inlineStr">
        <is>
          <t>SVK-0136</t>
        </is>
      </c>
      <c r="B137" s="2" t="inlineStr">
        <is>
          <t>SIP-0114</t>
        </is>
      </c>
      <c r="C137" s="2" t="inlineStr">
        <is>
          <t>MUS-024</t>
        </is>
      </c>
      <c r="D137" s="2" t="inlineStr">
        <is>
          <t>Katar</t>
        </is>
      </c>
      <c r="E137" s="6" t="n">
        <v>45692</v>
      </c>
      <c r="F137" s="2" t="inlineStr">
        <is>
          <t>Karayolu</t>
        </is>
      </c>
      <c r="G137" s="2" t="inlineStr">
        <is>
          <t>40FT</t>
        </is>
      </c>
      <c r="H137" s="5" t="n">
        <v>1569.59</v>
      </c>
      <c r="I137" s="5" t="n">
        <v>1662.33</v>
      </c>
      <c r="J137" s="3" t="n">
        <v>4113.3</v>
      </c>
      <c r="K137" s="3" t="n">
        <v>187.13</v>
      </c>
      <c r="L137" s="3" t="n">
        <v>381.06</v>
      </c>
      <c r="M137" s="3" t="n">
        <v>4681.49</v>
      </c>
      <c r="N137" s="5" t="n">
        <v>22</v>
      </c>
      <c r="O137" s="2" t="inlineStr">
        <is>
          <t>Teslim Edildi</t>
        </is>
      </c>
    </row>
    <row r="138">
      <c r="A138" s="2" t="inlineStr">
        <is>
          <t>SVK-0137</t>
        </is>
      </c>
      <c r="B138" s="2" t="inlineStr">
        <is>
          <t>SIP-0115</t>
        </is>
      </c>
      <c r="C138" s="2" t="inlineStr">
        <is>
          <t>MUS-020</t>
        </is>
      </c>
      <c r="D138" s="2" t="inlineStr">
        <is>
          <t>Cezayir</t>
        </is>
      </c>
      <c r="E138" s="6" t="n">
        <v>45683</v>
      </c>
      <c r="F138" s="2" t="inlineStr">
        <is>
          <t>Denizyolu</t>
        </is>
      </c>
      <c r="G138" s="2" t="inlineStr">
        <is>
          <t>40FT</t>
        </is>
      </c>
      <c r="H138" s="5" t="n">
        <v>739.98</v>
      </c>
      <c r="I138" s="5" t="n">
        <v>783.16</v>
      </c>
      <c r="J138" s="3" t="n">
        <v>3106.61</v>
      </c>
      <c r="K138" s="3" t="n">
        <v>167.19</v>
      </c>
      <c r="L138" s="3" t="n">
        <v>552.63</v>
      </c>
      <c r="M138" s="3" t="n">
        <v>3826.43</v>
      </c>
      <c r="N138" s="5" t="n">
        <v>19</v>
      </c>
      <c r="O138" s="2" t="inlineStr">
        <is>
          <t>Teslim Edildi</t>
        </is>
      </c>
    </row>
    <row r="139">
      <c r="A139" s="2" t="inlineStr">
        <is>
          <t>SVK-0138</t>
        </is>
      </c>
      <c r="B139" s="2" t="inlineStr">
        <is>
          <t>SIP-0116</t>
        </is>
      </c>
      <c r="C139" s="2" t="inlineStr">
        <is>
          <t>MUS-074</t>
        </is>
      </c>
      <c r="D139" s="2" t="inlineStr">
        <is>
          <t>Azerbaycan</t>
        </is>
      </c>
      <c r="E139" s="6" t="n">
        <v>45736</v>
      </c>
      <c r="F139" s="2" t="inlineStr">
        <is>
          <t>Karayolu</t>
        </is>
      </c>
      <c r="G139" s="2" t="inlineStr">
        <is>
          <t>40FT</t>
        </is>
      </c>
      <c r="H139" s="5" t="n">
        <v>606.26</v>
      </c>
      <c r="I139" s="5" t="n">
        <v>641.92</v>
      </c>
      <c r="J139" s="3" t="n">
        <v>2428.97</v>
      </c>
      <c r="K139" s="3" t="n">
        <v>104.43</v>
      </c>
      <c r="L139" s="3" t="n">
        <v>343.17</v>
      </c>
      <c r="M139" s="3" t="n">
        <v>2876.57</v>
      </c>
      <c r="N139" s="5" t="n">
        <v>12</v>
      </c>
      <c r="O139" s="2" t="inlineStr">
        <is>
          <t>Teslim Edildi</t>
        </is>
      </c>
    </row>
    <row r="140">
      <c r="A140" s="2" t="inlineStr">
        <is>
          <t>SVK-0139</t>
        </is>
      </c>
      <c r="B140" s="2" t="inlineStr">
        <is>
          <t>SIP-0117</t>
        </is>
      </c>
      <c r="C140" s="2" t="inlineStr">
        <is>
          <t>MUS-041</t>
        </is>
      </c>
      <c r="D140" s="2" t="inlineStr">
        <is>
          <t>Hollanda</t>
        </is>
      </c>
      <c r="E140" s="6" t="n">
        <v>45745</v>
      </c>
      <c r="F140" s="2" t="inlineStr">
        <is>
          <t>Denizyolu</t>
        </is>
      </c>
      <c r="G140" s="2" t="inlineStr">
        <is>
          <t>40FT</t>
        </is>
      </c>
      <c r="H140" s="5" t="n">
        <v>1502.43</v>
      </c>
      <c r="I140" s="5" t="n">
        <v>1612.59</v>
      </c>
      <c r="J140" s="3" t="n">
        <v>2681.31</v>
      </c>
      <c r="K140" s="3" t="n">
        <v>155.85</v>
      </c>
      <c r="L140" s="3" t="n">
        <v>253.86</v>
      </c>
      <c r="M140" s="3" t="n">
        <v>3091.02</v>
      </c>
      <c r="N140" s="5" t="n">
        <v>11</v>
      </c>
      <c r="O140" s="2" t="inlineStr">
        <is>
          <t>Teslim Edildi</t>
        </is>
      </c>
    </row>
    <row r="141">
      <c r="A141" s="2" t="inlineStr">
        <is>
          <t>SVK-0140</t>
        </is>
      </c>
      <c r="B141" s="2" t="inlineStr">
        <is>
          <t>SIP-0118</t>
        </is>
      </c>
      <c r="C141" s="2" t="inlineStr">
        <is>
          <t>MUS-061</t>
        </is>
      </c>
      <c r="D141" s="2" t="inlineStr">
        <is>
          <t>Kazakistan</t>
        </is>
      </c>
      <c r="E141" s="6" t="n">
        <v>45737</v>
      </c>
      <c r="F141" s="2" t="inlineStr">
        <is>
          <t>Denizyolu</t>
        </is>
      </c>
      <c r="G141" s="2" t="inlineStr">
        <is>
          <t>Open Top 40FT</t>
        </is>
      </c>
      <c r="H141" s="5" t="n">
        <v>2315.86</v>
      </c>
      <c r="I141" s="5" t="n">
        <v>2400.6</v>
      </c>
      <c r="J141" s="3" t="n">
        <v>3718.86</v>
      </c>
      <c r="K141" s="3" t="n">
        <v>199.04</v>
      </c>
      <c r="L141" s="3" t="n">
        <v>571.77</v>
      </c>
      <c r="M141" s="3" t="n">
        <v>4489.67</v>
      </c>
      <c r="N141" s="5" t="n">
        <v>13</v>
      </c>
      <c r="O141" s="2" t="inlineStr">
        <is>
          <t>Teslim Edildi</t>
        </is>
      </c>
    </row>
    <row r="142">
      <c r="A142" s="2" t="inlineStr">
        <is>
          <t>SVK-0141</t>
        </is>
      </c>
      <c r="B142" s="2" t="inlineStr">
        <is>
          <t>SIP-0119</t>
        </is>
      </c>
      <c r="C142" s="2" t="inlineStr">
        <is>
          <t>MUS-007</t>
        </is>
      </c>
      <c r="D142" s="2" t="inlineStr">
        <is>
          <t>BAE</t>
        </is>
      </c>
      <c r="E142" s="6" t="n">
        <v>45729</v>
      </c>
      <c r="F142" s="2" t="inlineStr">
        <is>
          <t>Denizyolu</t>
        </is>
      </c>
      <c r="G142" s="2" t="inlineStr">
        <is>
          <t>20FT</t>
        </is>
      </c>
      <c r="H142" s="5" t="n">
        <v>284.34</v>
      </c>
      <c r="I142" s="5" t="n">
        <v>296.83</v>
      </c>
      <c r="J142" s="3" t="n">
        <v>3579.52</v>
      </c>
      <c r="K142" s="3" t="n">
        <v>122.73</v>
      </c>
      <c r="L142" s="3" t="n">
        <v>348.41</v>
      </c>
      <c r="M142" s="3" t="n">
        <v>4050.66</v>
      </c>
      <c r="N142" s="5" t="n">
        <v>23</v>
      </c>
      <c r="O142" s="2" t="inlineStr">
        <is>
          <t>Teslim Edildi</t>
        </is>
      </c>
    </row>
    <row r="143">
      <c r="A143" s="2" t="inlineStr">
        <is>
          <t>SVK-0142</t>
        </is>
      </c>
      <c r="B143" s="2" t="inlineStr">
        <is>
          <t>SIP-0120</t>
        </is>
      </c>
      <c r="C143" s="2" t="inlineStr">
        <is>
          <t>MUS-031</t>
        </is>
      </c>
      <c r="D143" s="2" t="inlineStr">
        <is>
          <t>Polonya</t>
        </is>
      </c>
      <c r="E143" s="6" t="n">
        <v>45724</v>
      </c>
      <c r="F143" s="2" t="inlineStr">
        <is>
          <t>Havayolu</t>
        </is>
      </c>
      <c r="G143" s="2" t="inlineStr">
        <is>
          <t>40FT</t>
        </is>
      </c>
      <c r="H143" s="5" t="n">
        <v>1315.67</v>
      </c>
      <c r="I143" s="5" t="n">
        <v>1377.59</v>
      </c>
      <c r="J143" s="3" t="n">
        <v>2306.48</v>
      </c>
      <c r="K143" s="3" t="n">
        <v>117.59</v>
      </c>
      <c r="L143" s="3" t="n">
        <v>208.7</v>
      </c>
      <c r="M143" s="3" t="n">
        <v>2632.77</v>
      </c>
      <c r="N143" s="5" t="n">
        <v>10</v>
      </c>
      <c r="O143" s="2" t="inlineStr">
        <is>
          <t>Teslim Edildi</t>
        </is>
      </c>
    </row>
    <row r="144">
      <c r="A144" s="2" t="inlineStr">
        <is>
          <t>SVK-0143</t>
        </is>
      </c>
      <c r="B144" s="2" t="inlineStr">
        <is>
          <t>SIP-0121</t>
        </is>
      </c>
      <c r="C144" s="2" t="inlineStr">
        <is>
          <t>MUS-006</t>
        </is>
      </c>
      <c r="D144" s="2" t="inlineStr">
        <is>
          <t>Azerbaycan</t>
        </is>
      </c>
      <c r="E144" s="6" t="n">
        <v>45758</v>
      </c>
      <c r="F144" s="2" t="inlineStr">
        <is>
          <t>Karayolu</t>
        </is>
      </c>
      <c r="G144" s="2" t="inlineStr">
        <is>
          <t>40FT</t>
        </is>
      </c>
      <c r="H144" s="5" t="n">
        <v>469.43</v>
      </c>
      <c r="I144" s="5" t="n">
        <v>503.01</v>
      </c>
      <c r="J144" s="3" t="n">
        <v>1226</v>
      </c>
      <c r="K144" s="3" t="n">
        <v>58</v>
      </c>
      <c r="L144" s="3" t="n">
        <v>186.36</v>
      </c>
      <c r="M144" s="3" t="n">
        <v>1470.36</v>
      </c>
      <c r="N144" s="5" t="n">
        <v>9</v>
      </c>
      <c r="O144" s="2" t="inlineStr">
        <is>
          <t>Teslim Edildi</t>
        </is>
      </c>
    </row>
    <row r="145">
      <c r="A145" s="2" t="inlineStr">
        <is>
          <t>SVK-0144</t>
        </is>
      </c>
      <c r="B145" s="2" t="inlineStr">
        <is>
          <t>SIP-0121</t>
        </is>
      </c>
      <c r="C145" s="2" t="inlineStr">
        <is>
          <t>MUS-006</t>
        </is>
      </c>
      <c r="D145" s="2" t="inlineStr">
        <is>
          <t>Azerbaycan</t>
        </is>
      </c>
      <c r="E145" s="6" t="n">
        <v>45759</v>
      </c>
      <c r="F145" s="2" t="inlineStr">
        <is>
          <t>Karayolu</t>
        </is>
      </c>
      <c r="G145" s="2" t="inlineStr">
        <is>
          <t>40FT</t>
        </is>
      </c>
      <c r="H145" s="5" t="n">
        <v>469.43</v>
      </c>
      <c r="I145" s="5" t="n">
        <v>500.33</v>
      </c>
      <c r="J145" s="3" t="n">
        <v>1368.73</v>
      </c>
      <c r="K145" s="3" t="n">
        <v>62.17</v>
      </c>
      <c r="L145" s="3" t="n">
        <v>214.4</v>
      </c>
      <c r="M145" s="3" t="n">
        <v>1645.3</v>
      </c>
      <c r="N145" s="5" t="n">
        <v>13</v>
      </c>
      <c r="O145" s="2" t="inlineStr">
        <is>
          <t>Teslim Edildi</t>
        </is>
      </c>
    </row>
    <row r="146">
      <c r="A146" s="2" t="inlineStr">
        <is>
          <t>SVK-0145</t>
        </is>
      </c>
      <c r="B146" s="2" t="inlineStr">
        <is>
          <t>SIP-0122</t>
        </is>
      </c>
      <c r="C146" s="2" t="inlineStr">
        <is>
          <t>MUS-025</t>
        </is>
      </c>
      <c r="D146" s="2" t="inlineStr">
        <is>
          <t>Almanya</t>
        </is>
      </c>
      <c r="E146" s="6" t="n">
        <v>45768</v>
      </c>
      <c r="F146" s="2" t="inlineStr">
        <is>
          <t>Karayolu</t>
        </is>
      </c>
      <c r="G146" s="2" t="inlineStr">
        <is>
          <t>Open Top 40FT</t>
        </is>
      </c>
      <c r="H146" s="5" t="n">
        <v>1417.03</v>
      </c>
      <c r="I146" s="5" t="n">
        <v>1496.79</v>
      </c>
      <c r="J146" s="3" t="n">
        <v>1147.91</v>
      </c>
      <c r="K146" s="3" t="n">
        <v>62.11</v>
      </c>
      <c r="L146" s="3" t="n">
        <v>140.1</v>
      </c>
      <c r="M146" s="3" t="n">
        <v>1350.12</v>
      </c>
      <c r="N146" s="5" t="n">
        <v>11</v>
      </c>
      <c r="O146" s="2" t="inlineStr">
        <is>
          <t>Teslim Edildi</t>
        </is>
      </c>
    </row>
    <row r="147">
      <c r="A147" s="2" t="inlineStr">
        <is>
          <t>SVK-0146</t>
        </is>
      </c>
      <c r="B147" s="2" t="inlineStr">
        <is>
          <t>SIP-0122</t>
        </is>
      </c>
      <c r="C147" s="2" t="inlineStr">
        <is>
          <t>MUS-025</t>
        </is>
      </c>
      <c r="D147" s="2" t="inlineStr">
        <is>
          <t>Almanya</t>
        </is>
      </c>
      <c r="E147" s="6" t="n">
        <v>45769</v>
      </c>
      <c r="F147" s="2" t="inlineStr">
        <is>
          <t>Karayolu</t>
        </is>
      </c>
      <c r="G147" s="2" t="inlineStr">
        <is>
          <t>Open Top 40FT</t>
        </is>
      </c>
      <c r="H147" s="5" t="n">
        <v>1417.03</v>
      </c>
      <c r="I147" s="5" t="n">
        <v>1501.17</v>
      </c>
      <c r="J147" s="3" t="n">
        <v>1108.56</v>
      </c>
      <c r="K147" s="3" t="n">
        <v>57.28</v>
      </c>
      <c r="L147" s="3" t="n">
        <v>145.78</v>
      </c>
      <c r="M147" s="3" t="n">
        <v>1311.62</v>
      </c>
      <c r="N147" s="5" t="n">
        <v>10</v>
      </c>
      <c r="O147" s="2" t="inlineStr">
        <is>
          <t>Teslim Edildi</t>
        </is>
      </c>
    </row>
    <row r="148">
      <c r="A148" s="2" t="inlineStr">
        <is>
          <t>SVK-0147</t>
        </is>
      </c>
      <c r="B148" s="2" t="inlineStr">
        <is>
          <t>SIP-0123</t>
        </is>
      </c>
      <c r="C148" s="2" t="inlineStr">
        <is>
          <t>MUS-053</t>
        </is>
      </c>
      <c r="D148" s="2" t="inlineStr">
        <is>
          <t>Hollanda</t>
        </is>
      </c>
      <c r="E148" s="6" t="n">
        <v>45781</v>
      </c>
      <c r="F148" s="2" t="inlineStr">
        <is>
          <t>Karayolu</t>
        </is>
      </c>
      <c r="G148" s="2" t="inlineStr">
        <is>
          <t>Open Top 40FT</t>
        </is>
      </c>
      <c r="H148" s="5" t="n">
        <v>2874.06</v>
      </c>
      <c r="I148" s="5" t="n">
        <v>2998.73</v>
      </c>
      <c r="J148" s="3" t="n">
        <v>3100.87</v>
      </c>
      <c r="K148" s="3" t="n">
        <v>163.4</v>
      </c>
      <c r="L148" s="3" t="n">
        <v>269.71</v>
      </c>
      <c r="M148" s="3" t="n">
        <v>3533.98</v>
      </c>
      <c r="N148" s="5" t="n">
        <v>12</v>
      </c>
      <c r="O148" s="2" t="inlineStr">
        <is>
          <t>Teslim Edildi</t>
        </is>
      </c>
    </row>
    <row r="149">
      <c r="A149" s="2" t="inlineStr">
        <is>
          <t>SVK-0148</t>
        </is>
      </c>
      <c r="B149" s="2" t="inlineStr">
        <is>
          <t>SIP-0124</t>
        </is>
      </c>
      <c r="C149" s="2" t="inlineStr">
        <is>
          <t>MUS-056</t>
        </is>
      </c>
      <c r="D149" s="2" t="inlineStr">
        <is>
          <t>Italya</t>
        </is>
      </c>
      <c r="E149" s="6" t="n">
        <v>45757</v>
      </c>
      <c r="F149" s="2" t="inlineStr">
        <is>
          <t>Denizyolu</t>
        </is>
      </c>
      <c r="G149" s="2" t="inlineStr">
        <is>
          <t>20FT</t>
        </is>
      </c>
      <c r="H149" s="5" t="n">
        <v>243.36</v>
      </c>
      <c r="I149" s="5" t="n">
        <v>254.47</v>
      </c>
      <c r="J149" s="3" t="n">
        <v>2670.44</v>
      </c>
      <c r="K149" s="3" t="n">
        <v>153.82</v>
      </c>
      <c r="L149" s="3" t="n">
        <v>327.16</v>
      </c>
      <c r="M149" s="3" t="n">
        <v>3151.42</v>
      </c>
      <c r="N149" s="5" t="n">
        <v>9</v>
      </c>
      <c r="O149" s="2" t="inlineStr">
        <is>
          <t>Teslim Edildi</t>
        </is>
      </c>
    </row>
    <row r="150">
      <c r="A150" s="2" t="inlineStr">
        <is>
          <t>SVK-0149</t>
        </is>
      </c>
      <c r="B150" s="2" t="inlineStr">
        <is>
          <t>SIP-0125</t>
        </is>
      </c>
      <c r="C150" s="2" t="inlineStr">
        <is>
          <t>MUS-070</t>
        </is>
      </c>
      <c r="D150" s="2" t="inlineStr">
        <is>
          <t>Polonya</t>
        </is>
      </c>
      <c r="E150" s="6" t="n">
        <v>45791</v>
      </c>
      <c r="F150" s="2" t="inlineStr">
        <is>
          <t>Karayolu</t>
        </is>
      </c>
      <c r="G150" s="2" t="inlineStr">
        <is>
          <t>20FT</t>
        </is>
      </c>
      <c r="H150" s="5" t="n">
        <v>514.62</v>
      </c>
      <c r="I150" s="5" t="n">
        <v>542.66</v>
      </c>
      <c r="J150" s="3" t="n">
        <v>2466.19</v>
      </c>
      <c r="K150" s="3" t="n">
        <v>92.56</v>
      </c>
      <c r="L150" s="3" t="n">
        <v>242.03</v>
      </c>
      <c r="M150" s="3" t="n">
        <v>2800.78</v>
      </c>
      <c r="N150" s="5" t="n">
        <v>10</v>
      </c>
      <c r="O150" s="2" t="inlineStr">
        <is>
          <t>Teslim Edildi</t>
        </is>
      </c>
    </row>
    <row r="151">
      <c r="A151" s="2" t="inlineStr">
        <is>
          <t>SVK-0150</t>
        </is>
      </c>
      <c r="B151" s="2" t="inlineStr">
        <is>
          <t>SIP-0126</t>
        </is>
      </c>
      <c r="C151" s="2" t="inlineStr">
        <is>
          <t>MUS-066</t>
        </is>
      </c>
      <c r="D151" s="2" t="inlineStr">
        <is>
          <t>Kazakistan</t>
        </is>
      </c>
      <c r="E151" s="6" t="n">
        <v>45754</v>
      </c>
      <c r="F151" s="2" t="inlineStr">
        <is>
          <t>Karayolu</t>
        </is>
      </c>
      <c r="G151" s="2" t="inlineStr">
        <is>
          <t>Parsiyel</t>
        </is>
      </c>
      <c r="H151" s="5" t="n">
        <v>107.52</v>
      </c>
      <c r="I151" s="5" t="n">
        <v>112.19</v>
      </c>
      <c r="J151" s="3" t="n">
        <v>3111.48</v>
      </c>
      <c r="K151" s="3" t="n">
        <v>178.05</v>
      </c>
      <c r="L151" s="3" t="n">
        <v>522.04</v>
      </c>
      <c r="M151" s="3" t="n">
        <v>3811.57</v>
      </c>
      <c r="N151" s="5" t="n">
        <v>13</v>
      </c>
      <c r="O151" s="2" t="inlineStr">
        <is>
          <t>Yolda</t>
        </is>
      </c>
    </row>
    <row r="152">
      <c r="A152" s="2" t="inlineStr">
        <is>
          <t>SVK-0151</t>
        </is>
      </c>
      <c r="B152" s="2" t="inlineStr">
        <is>
          <t>SIP-0127</t>
        </is>
      </c>
      <c r="C152" s="2" t="inlineStr">
        <is>
          <t>MUS-082</t>
        </is>
      </c>
      <c r="D152" s="2" t="inlineStr">
        <is>
          <t>Hollanda</t>
        </is>
      </c>
      <c r="E152" s="6" t="n">
        <v>45807</v>
      </c>
      <c r="F152" s="2" t="inlineStr">
        <is>
          <t>Karayolu</t>
        </is>
      </c>
      <c r="G152" s="2" t="inlineStr">
        <is>
          <t>Open Top 40FT</t>
        </is>
      </c>
      <c r="H152" s="5" t="n">
        <v>2040.88</v>
      </c>
      <c r="I152" s="5" t="n">
        <v>2117.92</v>
      </c>
      <c r="J152" s="3" t="n">
        <v>3063.05</v>
      </c>
      <c r="K152" s="3" t="n">
        <v>139.95</v>
      </c>
      <c r="L152" s="3" t="n">
        <v>273.01</v>
      </c>
      <c r="M152" s="3" t="n">
        <v>3476.01</v>
      </c>
      <c r="N152" s="5" t="n">
        <v>9</v>
      </c>
      <c r="O152" s="2" t="inlineStr">
        <is>
          <t>Yolda</t>
        </is>
      </c>
    </row>
    <row r="153">
      <c r="A153" s="2" t="inlineStr">
        <is>
          <t>SVK-0152</t>
        </is>
      </c>
      <c r="B153" s="2" t="inlineStr">
        <is>
          <t>SIP-0128</t>
        </is>
      </c>
      <c r="C153" s="2" t="inlineStr">
        <is>
          <t>MUS-038</t>
        </is>
      </c>
      <c r="D153" s="2" t="inlineStr">
        <is>
          <t>Suudi Arabistan</t>
        </is>
      </c>
      <c r="E153" s="6" t="n">
        <v>45816</v>
      </c>
      <c r="F153" s="2" t="inlineStr">
        <is>
          <t>Denizyolu</t>
        </is>
      </c>
      <c r="G153" s="2" t="inlineStr">
        <is>
          <t>Open Top 40FT</t>
        </is>
      </c>
      <c r="H153" s="5" t="n">
        <v>3490.32</v>
      </c>
      <c r="I153" s="5" t="n">
        <v>3640.46</v>
      </c>
      <c r="J153" s="3" t="n">
        <v>4546.56</v>
      </c>
      <c r="K153" s="3" t="n">
        <v>263.53</v>
      </c>
      <c r="L153" s="3" t="n">
        <v>390.53</v>
      </c>
      <c r="M153" s="3" t="n">
        <v>5200.62</v>
      </c>
      <c r="N153" s="5" t="n">
        <v>24</v>
      </c>
      <c r="O153" s="2" t="inlineStr">
        <is>
          <t>Yolda</t>
        </is>
      </c>
    </row>
    <row r="154">
      <c r="A154" s="2" t="inlineStr">
        <is>
          <t>SVK-0153</t>
        </is>
      </c>
      <c r="B154" s="2" t="inlineStr">
        <is>
          <t>SIP-0129</t>
        </is>
      </c>
      <c r="C154" s="2" t="inlineStr">
        <is>
          <t>MUS-079</t>
        </is>
      </c>
      <c r="D154" s="2" t="inlineStr">
        <is>
          <t>Katar</t>
        </is>
      </c>
      <c r="E154" s="6" t="n">
        <v>45779</v>
      </c>
      <c r="F154" s="2" t="inlineStr">
        <is>
          <t>Karayolu</t>
        </is>
      </c>
      <c r="G154" s="2" t="inlineStr">
        <is>
          <t>40FT</t>
        </is>
      </c>
      <c r="H154" s="5" t="n">
        <v>1645.81</v>
      </c>
      <c r="I154" s="5" t="n">
        <v>1714.45</v>
      </c>
      <c r="J154" s="3" t="n">
        <v>4099.44</v>
      </c>
      <c r="K154" s="3" t="n">
        <v>232.14</v>
      </c>
      <c r="L154" s="3" t="n">
        <v>397.84</v>
      </c>
      <c r="M154" s="3" t="n">
        <v>4729.42</v>
      </c>
      <c r="N154" s="5" t="n">
        <v>18</v>
      </c>
      <c r="O154" s="2" t="inlineStr">
        <is>
          <t>Teslim Edildi</t>
        </is>
      </c>
    </row>
    <row r="155">
      <c r="A155" s="2" t="inlineStr">
        <is>
          <t>SVK-0154</t>
        </is>
      </c>
      <c r="B155" s="2" t="inlineStr">
        <is>
          <t>SIP-0130</t>
        </is>
      </c>
      <c r="C155" s="2" t="inlineStr">
        <is>
          <t>MUS-051</t>
        </is>
      </c>
      <c r="D155" s="2" t="inlineStr">
        <is>
          <t>Hollanda</t>
        </is>
      </c>
      <c r="E155" s="6" t="n">
        <v>45815</v>
      </c>
      <c r="F155" s="2" t="inlineStr">
        <is>
          <t>Karayolu</t>
        </is>
      </c>
      <c r="G155" s="2" t="inlineStr">
        <is>
          <t>40FT</t>
        </is>
      </c>
      <c r="H155" s="5" t="n">
        <v>686.02</v>
      </c>
      <c r="I155" s="5" t="n">
        <v>711.01</v>
      </c>
      <c r="J155" s="3" t="n">
        <v>1314</v>
      </c>
      <c r="K155" s="3" t="n">
        <v>40.02</v>
      </c>
      <c r="L155" s="3" t="n">
        <v>143.86</v>
      </c>
      <c r="M155" s="3" t="n">
        <v>1497.88</v>
      </c>
      <c r="N155" s="5" t="n">
        <v>16</v>
      </c>
      <c r="O155" s="2" t="inlineStr">
        <is>
          <t>Teslim Edildi</t>
        </is>
      </c>
    </row>
    <row r="156">
      <c r="A156" s="2" t="inlineStr">
        <is>
          <t>SVK-0155</t>
        </is>
      </c>
      <c r="B156" s="2" t="inlineStr">
        <is>
          <t>SIP-0130</t>
        </is>
      </c>
      <c r="C156" s="2" t="inlineStr">
        <is>
          <t>MUS-051</t>
        </is>
      </c>
      <c r="D156" s="2" t="inlineStr">
        <is>
          <t>Hollanda</t>
        </is>
      </c>
      <c r="E156" s="6" t="n">
        <v>45816</v>
      </c>
      <c r="F156" s="2" t="inlineStr">
        <is>
          <t>Karayolu</t>
        </is>
      </c>
      <c r="G156" s="2" t="inlineStr">
        <is>
          <t>40FT</t>
        </is>
      </c>
      <c r="H156" s="5" t="n">
        <v>686.02</v>
      </c>
      <c r="I156" s="5" t="n">
        <v>712.6</v>
      </c>
      <c r="J156" s="3" t="n">
        <v>1434.01</v>
      </c>
      <c r="K156" s="3" t="n">
        <v>59.03</v>
      </c>
      <c r="L156" s="3" t="n">
        <v>144.77</v>
      </c>
      <c r="M156" s="3" t="n">
        <v>1637.81</v>
      </c>
      <c r="N156" s="5" t="n">
        <v>11</v>
      </c>
      <c r="O156" s="2" t="inlineStr">
        <is>
          <t>Teslim Edildi</t>
        </is>
      </c>
    </row>
    <row r="157">
      <c r="A157" s="2" t="inlineStr">
        <is>
          <t>SVK-0156</t>
        </is>
      </c>
      <c r="B157" s="2" t="inlineStr">
        <is>
          <t>SIP-0131</t>
        </is>
      </c>
      <c r="C157" s="2" t="inlineStr">
        <is>
          <t>MUS-074</t>
        </is>
      </c>
      <c r="D157" s="2" t="inlineStr">
        <is>
          <t>Azerbaycan</t>
        </is>
      </c>
      <c r="E157" s="6" t="n">
        <v>45808</v>
      </c>
      <c r="F157" s="2" t="inlineStr">
        <is>
          <t>Karayolu</t>
        </is>
      </c>
      <c r="G157" s="2" t="inlineStr">
        <is>
          <t>40FT</t>
        </is>
      </c>
      <c r="H157" s="5" t="n">
        <v>1117.79</v>
      </c>
      <c r="I157" s="5" t="n">
        <v>1192.84</v>
      </c>
      <c r="J157" s="3" t="n">
        <v>2612.27</v>
      </c>
      <c r="K157" s="3" t="n">
        <v>93.47</v>
      </c>
      <c r="L157" s="3" t="n">
        <v>381.86</v>
      </c>
      <c r="M157" s="3" t="n">
        <v>3087.6</v>
      </c>
      <c r="N157" s="5" t="n">
        <v>12</v>
      </c>
      <c r="O157" s="2" t="inlineStr">
        <is>
          <t>Yolda</t>
        </is>
      </c>
    </row>
    <row r="158">
      <c r="A158" s="2" t="inlineStr">
        <is>
          <t>SVK-0157</t>
        </is>
      </c>
      <c r="B158" s="2" t="inlineStr">
        <is>
          <t>SIP-0132</t>
        </is>
      </c>
      <c r="C158" s="2" t="inlineStr">
        <is>
          <t>MUS-073</t>
        </is>
      </c>
      <c r="D158" s="2" t="inlineStr">
        <is>
          <t>BAE</t>
        </is>
      </c>
      <c r="E158" s="6" t="n">
        <v>45782</v>
      </c>
      <c r="F158" s="2" t="inlineStr">
        <is>
          <t>Denizyolu</t>
        </is>
      </c>
      <c r="G158" s="2" t="inlineStr">
        <is>
          <t>40FT</t>
        </is>
      </c>
      <c r="H158" s="5" t="n">
        <v>947.86</v>
      </c>
      <c r="I158" s="5" t="n">
        <v>1017.84</v>
      </c>
      <c r="J158" s="3" t="n">
        <v>4271.47</v>
      </c>
      <c r="K158" s="3" t="n">
        <v>181.7</v>
      </c>
      <c r="L158" s="3" t="n">
        <v>429.62</v>
      </c>
      <c r="M158" s="3" t="n">
        <v>4882.79</v>
      </c>
      <c r="N158" s="5" t="n">
        <v>20</v>
      </c>
      <c r="O158" s="2" t="inlineStr">
        <is>
          <t>Teslim Edildi</t>
        </is>
      </c>
    </row>
    <row r="159">
      <c r="A159" s="2" t="inlineStr">
        <is>
          <t>SVK-0158</t>
        </is>
      </c>
      <c r="B159" s="2" t="inlineStr">
        <is>
          <t>SIP-0133</t>
        </is>
      </c>
      <c r="C159" s="2" t="inlineStr">
        <is>
          <t>MUS-019</t>
        </is>
      </c>
      <c r="D159" s="2" t="inlineStr">
        <is>
          <t>Suudi Arabistan</t>
        </is>
      </c>
      <c r="E159" s="6" t="n">
        <v>45784</v>
      </c>
      <c r="F159" s="2" t="inlineStr">
        <is>
          <t>Denizyolu</t>
        </is>
      </c>
      <c r="G159" s="2" t="inlineStr">
        <is>
          <t>40FT</t>
        </is>
      </c>
      <c r="H159" s="5" t="n">
        <v>913.09</v>
      </c>
      <c r="I159" s="5" t="n">
        <v>969.62</v>
      </c>
      <c r="J159" s="3" t="n">
        <v>4062.03</v>
      </c>
      <c r="K159" s="3" t="n">
        <v>221.33</v>
      </c>
      <c r="L159" s="3" t="n">
        <v>474.74</v>
      </c>
      <c r="M159" s="3" t="n">
        <v>4758.1</v>
      </c>
      <c r="N159" s="5" t="n">
        <v>21</v>
      </c>
      <c r="O159" s="2" t="inlineStr">
        <is>
          <t>Yolda</t>
        </is>
      </c>
    </row>
    <row r="160">
      <c r="A160" s="2" t="inlineStr">
        <is>
          <t>SVK-0159</t>
        </is>
      </c>
      <c r="B160" s="2" t="inlineStr">
        <is>
          <t>SIP-0134</t>
        </is>
      </c>
      <c r="C160" s="2" t="inlineStr">
        <is>
          <t>MUS-070</t>
        </is>
      </c>
      <c r="D160" s="2" t="inlineStr">
        <is>
          <t>Polonya</t>
        </is>
      </c>
      <c r="E160" s="6" t="n">
        <v>45793</v>
      </c>
      <c r="F160" s="2" t="inlineStr">
        <is>
          <t>Denizyolu</t>
        </is>
      </c>
      <c r="G160" s="2" t="inlineStr">
        <is>
          <t>20FT</t>
        </is>
      </c>
      <c r="H160" s="5" t="n">
        <v>516.8</v>
      </c>
      <c r="I160" s="5" t="n">
        <v>532.9299999999999</v>
      </c>
      <c r="J160" s="3" t="n">
        <v>2452.76</v>
      </c>
      <c r="K160" s="3" t="n">
        <v>122.83</v>
      </c>
      <c r="L160" s="3" t="n">
        <v>264.64</v>
      </c>
      <c r="M160" s="3" t="n">
        <v>2840.23</v>
      </c>
      <c r="N160" s="5" t="n">
        <v>10</v>
      </c>
      <c r="O160" s="2" t="inlineStr">
        <is>
          <t>Yolda</t>
        </is>
      </c>
    </row>
    <row r="161">
      <c r="A161" s="2" t="inlineStr">
        <is>
          <t>SVK-0160</t>
        </is>
      </c>
      <c r="B161" s="2" t="inlineStr">
        <is>
          <t>SIP-0135</t>
        </is>
      </c>
      <c r="C161" s="2" t="inlineStr">
        <is>
          <t>MUS-005</t>
        </is>
      </c>
      <c r="D161" s="2" t="inlineStr">
        <is>
          <t>Italya</t>
        </is>
      </c>
      <c r="E161" s="6" t="n">
        <v>45806</v>
      </c>
      <c r="F161" s="2" t="inlineStr">
        <is>
          <t>Karayolu</t>
        </is>
      </c>
      <c r="G161" s="2" t="inlineStr">
        <is>
          <t>40FT</t>
        </is>
      </c>
      <c r="H161" s="5" t="n">
        <v>787.1</v>
      </c>
      <c r="I161" s="5" t="n">
        <v>815.1799999999999</v>
      </c>
      <c r="J161" s="3" t="n">
        <v>2636.19</v>
      </c>
      <c r="K161" s="3" t="n">
        <v>136.82</v>
      </c>
      <c r="L161" s="3" t="n">
        <v>332.98</v>
      </c>
      <c r="M161" s="3" t="n">
        <v>3105.99</v>
      </c>
      <c r="N161" s="5" t="n">
        <v>7</v>
      </c>
      <c r="O161" s="2" t="inlineStr">
        <is>
          <t>Teslim Edildi</t>
        </is>
      </c>
    </row>
    <row r="162">
      <c r="A162" s="2" t="inlineStr">
        <is>
          <t>SVK-0161</t>
        </is>
      </c>
      <c r="B162" s="2" t="inlineStr">
        <is>
          <t>SIP-0136</t>
        </is>
      </c>
      <c r="C162" s="2" t="inlineStr">
        <is>
          <t>MUS-074</t>
        </is>
      </c>
      <c r="D162" s="2" t="inlineStr">
        <is>
          <t>Azerbaycan</t>
        </is>
      </c>
      <c r="E162" s="6" t="n">
        <v>45800</v>
      </c>
      <c r="F162" s="2" t="inlineStr">
        <is>
          <t>Karayolu</t>
        </is>
      </c>
      <c r="G162" s="2" t="inlineStr">
        <is>
          <t>Open Top 40FT</t>
        </is>
      </c>
      <c r="H162" s="5" t="n">
        <v>2456.04</v>
      </c>
      <c r="I162" s="5" t="n">
        <v>2566.87</v>
      </c>
      <c r="J162" s="3" t="n">
        <v>2682.93</v>
      </c>
      <c r="K162" s="3" t="n">
        <v>96.79000000000001</v>
      </c>
      <c r="L162" s="3" t="n">
        <v>328.22</v>
      </c>
      <c r="M162" s="3" t="n">
        <v>3107.94</v>
      </c>
      <c r="N162" s="5" t="n">
        <v>13</v>
      </c>
      <c r="O162" s="2" t="inlineStr">
        <is>
          <t>Teslim Edildi</t>
        </is>
      </c>
    </row>
    <row r="163">
      <c r="A163" s="2" t="inlineStr">
        <is>
          <t>SVK-0162</t>
        </is>
      </c>
      <c r="B163" s="2" t="inlineStr">
        <is>
          <t>SIP-0137</t>
        </is>
      </c>
      <c r="C163" s="2" t="inlineStr">
        <is>
          <t>MUS-039</t>
        </is>
      </c>
      <c r="D163" s="2" t="inlineStr">
        <is>
          <t>BAE</t>
        </is>
      </c>
      <c r="E163" s="6" t="n">
        <v>45849</v>
      </c>
      <c r="F163" s="2" t="inlineStr">
        <is>
          <t>Denizyolu</t>
        </is>
      </c>
      <c r="G163" s="2" t="inlineStr">
        <is>
          <t>40FT</t>
        </is>
      </c>
      <c r="H163" s="5" t="n">
        <v>444.25</v>
      </c>
      <c r="I163" s="5" t="n">
        <v>474.26</v>
      </c>
      <c r="J163" s="3" t="n">
        <v>1939.08</v>
      </c>
      <c r="K163" s="3" t="n">
        <v>63.47</v>
      </c>
      <c r="L163" s="3" t="n">
        <v>202.49</v>
      </c>
      <c r="M163" s="3" t="n">
        <v>2205.04</v>
      </c>
      <c r="N163" s="5" t="n">
        <v>22</v>
      </c>
      <c r="O163" s="2" t="inlineStr">
        <is>
          <t>Teslim Edildi</t>
        </is>
      </c>
    </row>
    <row r="164">
      <c r="A164" s="2" t="inlineStr">
        <is>
          <t>SVK-0163</t>
        </is>
      </c>
      <c r="B164" s="2" t="inlineStr">
        <is>
          <t>SIP-0137</t>
        </is>
      </c>
      <c r="C164" s="2" t="inlineStr">
        <is>
          <t>MUS-039</t>
        </is>
      </c>
      <c r="D164" s="2" t="inlineStr">
        <is>
          <t>BAE</t>
        </is>
      </c>
      <c r="E164" s="6" t="n">
        <v>45850</v>
      </c>
      <c r="F164" s="2" t="inlineStr">
        <is>
          <t>Denizyolu</t>
        </is>
      </c>
      <c r="G164" s="2" t="inlineStr">
        <is>
          <t>40FT</t>
        </is>
      </c>
      <c r="H164" s="5" t="n">
        <v>444.25</v>
      </c>
      <c r="I164" s="5" t="n">
        <v>476.43</v>
      </c>
      <c r="J164" s="3" t="n">
        <v>2093</v>
      </c>
      <c r="K164" s="3" t="n">
        <v>65.53</v>
      </c>
      <c r="L164" s="3" t="n">
        <v>232.06</v>
      </c>
      <c r="M164" s="3" t="n">
        <v>2390.59</v>
      </c>
      <c r="N164" s="5" t="n">
        <v>23</v>
      </c>
      <c r="O164" s="2" t="inlineStr">
        <is>
          <t>Teslim Edildi</t>
        </is>
      </c>
    </row>
    <row r="165">
      <c r="A165" s="2" t="inlineStr">
        <is>
          <t>SVK-0164</t>
        </is>
      </c>
      <c r="B165" s="2" t="inlineStr">
        <is>
          <t>SIP-0138</t>
        </is>
      </c>
      <c r="C165" s="2" t="inlineStr">
        <is>
          <t>MUS-044</t>
        </is>
      </c>
      <c r="D165" s="2" t="inlineStr">
        <is>
          <t>Hollanda</t>
        </is>
      </c>
      <c r="E165" s="6" t="n">
        <v>45836</v>
      </c>
      <c r="F165" s="2" t="inlineStr">
        <is>
          <t>Karayolu</t>
        </is>
      </c>
      <c r="G165" s="2" t="inlineStr">
        <is>
          <t>Open Top 40FT</t>
        </is>
      </c>
      <c r="H165" s="5" t="n">
        <v>1406.94</v>
      </c>
      <c r="I165" s="5" t="n">
        <v>1451.14</v>
      </c>
      <c r="J165" s="3" t="n">
        <v>1437.27</v>
      </c>
      <c r="K165" s="3" t="n">
        <v>43.27</v>
      </c>
      <c r="L165" s="3" t="n">
        <v>157.04</v>
      </c>
      <c r="M165" s="3" t="n">
        <v>1637.58</v>
      </c>
      <c r="N165" s="5" t="n">
        <v>11</v>
      </c>
      <c r="O165" s="2" t="inlineStr">
        <is>
          <t>Teslim Edildi</t>
        </is>
      </c>
    </row>
    <row r="166">
      <c r="A166" s="2" t="inlineStr">
        <is>
          <t>SVK-0165</t>
        </is>
      </c>
      <c r="B166" s="2" t="inlineStr">
        <is>
          <t>SIP-0138</t>
        </is>
      </c>
      <c r="C166" s="2" t="inlineStr">
        <is>
          <t>MUS-044</t>
        </is>
      </c>
      <c r="D166" s="2" t="inlineStr">
        <is>
          <t>Hollanda</t>
        </is>
      </c>
      <c r="E166" s="6" t="n">
        <v>45837</v>
      </c>
      <c r="F166" s="2" t="inlineStr">
        <is>
          <t>Karayolu</t>
        </is>
      </c>
      <c r="G166" s="2" t="inlineStr">
        <is>
          <t>Open Top 40FT</t>
        </is>
      </c>
      <c r="H166" s="5" t="n">
        <v>1406.94</v>
      </c>
      <c r="I166" s="5" t="n">
        <v>1484.55</v>
      </c>
      <c r="J166" s="3" t="n">
        <v>1196.92</v>
      </c>
      <c r="K166" s="3" t="n">
        <v>36.28</v>
      </c>
      <c r="L166" s="3" t="n">
        <v>103.19</v>
      </c>
      <c r="M166" s="3" t="n">
        <v>1336.39</v>
      </c>
      <c r="N166" s="5" t="n">
        <v>16</v>
      </c>
      <c r="O166" s="2" t="inlineStr">
        <is>
          <t>Teslim Edildi</t>
        </is>
      </c>
    </row>
    <row r="167">
      <c r="A167" s="2" t="inlineStr">
        <is>
          <t>SVK-0166</t>
        </is>
      </c>
      <c r="B167" s="2" t="inlineStr">
        <is>
          <t>SIP-0139</t>
        </is>
      </c>
      <c r="C167" s="2" t="inlineStr">
        <is>
          <t>MUS-079</t>
        </is>
      </c>
      <c r="D167" s="2" t="inlineStr">
        <is>
          <t>Katar</t>
        </is>
      </c>
      <c r="E167" s="6" t="n">
        <v>45808</v>
      </c>
      <c r="F167" s="2" t="inlineStr">
        <is>
          <t>Denizyolu</t>
        </is>
      </c>
      <c r="G167" s="2" t="inlineStr">
        <is>
          <t>Open Top 40FT</t>
        </is>
      </c>
      <c r="H167" s="5" t="n">
        <v>4448.69</v>
      </c>
      <c r="I167" s="5" t="n">
        <v>4803.82</v>
      </c>
      <c r="J167" s="3" t="n">
        <v>4854.75</v>
      </c>
      <c r="K167" s="3" t="n">
        <v>154.39</v>
      </c>
      <c r="L167" s="3" t="n">
        <v>399.09</v>
      </c>
      <c r="M167" s="3" t="n">
        <v>5408.23</v>
      </c>
      <c r="N167" s="5" t="n">
        <v>24</v>
      </c>
      <c r="O167" s="2" t="inlineStr">
        <is>
          <t>Teslim Edildi</t>
        </is>
      </c>
    </row>
    <row r="168">
      <c r="A168" s="2" t="inlineStr">
        <is>
          <t>SVK-0167</t>
        </is>
      </c>
      <c r="B168" s="2" t="inlineStr">
        <is>
          <t>SIP-0140</t>
        </is>
      </c>
      <c r="C168" s="2" t="inlineStr">
        <is>
          <t>MUS-061</t>
        </is>
      </c>
      <c r="D168" s="2" t="inlineStr">
        <is>
          <t>Kazakistan</t>
        </is>
      </c>
      <c r="E168" s="6" t="n">
        <v>45830</v>
      </c>
      <c r="F168" s="2" t="inlineStr">
        <is>
          <t>Karayolu</t>
        </is>
      </c>
      <c r="G168" s="2" t="inlineStr">
        <is>
          <t>40FT</t>
        </is>
      </c>
      <c r="H168" s="5" t="n">
        <v>796.04</v>
      </c>
      <c r="I168" s="5" t="n">
        <v>847.98</v>
      </c>
      <c r="J168" s="3" t="n">
        <v>1818.14</v>
      </c>
      <c r="K168" s="3" t="n">
        <v>57.44</v>
      </c>
      <c r="L168" s="3" t="n">
        <v>244.92</v>
      </c>
      <c r="M168" s="3" t="n">
        <v>2120.5</v>
      </c>
      <c r="N168" s="5" t="n">
        <v>15</v>
      </c>
      <c r="O168" s="2" t="inlineStr">
        <is>
          <t>Gumrukte</t>
        </is>
      </c>
    </row>
    <row r="169">
      <c r="A169" s="2" t="inlineStr">
        <is>
          <t>SVK-0168</t>
        </is>
      </c>
      <c r="B169" s="2" t="inlineStr">
        <is>
          <t>SIP-0140</t>
        </is>
      </c>
      <c r="C169" s="2" t="inlineStr">
        <is>
          <t>MUS-061</t>
        </is>
      </c>
      <c r="D169" s="2" t="inlineStr">
        <is>
          <t>Kazakistan</t>
        </is>
      </c>
      <c r="E169" s="6" t="n">
        <v>45831</v>
      </c>
      <c r="F169" s="2" t="inlineStr">
        <is>
          <t>Karayolu</t>
        </is>
      </c>
      <c r="G169" s="2" t="inlineStr">
        <is>
          <t>40FT</t>
        </is>
      </c>
      <c r="H169" s="5" t="n">
        <v>796.04</v>
      </c>
      <c r="I169" s="5" t="n">
        <v>836.5</v>
      </c>
      <c r="J169" s="3" t="n">
        <v>1619.52</v>
      </c>
      <c r="K169" s="3" t="n">
        <v>50</v>
      </c>
      <c r="L169" s="3" t="n">
        <v>297.3</v>
      </c>
      <c r="M169" s="3" t="n">
        <v>1966.82</v>
      </c>
      <c r="N169" s="5" t="n">
        <v>18</v>
      </c>
      <c r="O169" s="2" t="inlineStr">
        <is>
          <t>Teslim Edildi</t>
        </is>
      </c>
    </row>
    <row r="170">
      <c r="A170" s="2" t="inlineStr">
        <is>
          <t>SVK-0169</t>
        </is>
      </c>
      <c r="B170" s="2" t="inlineStr">
        <is>
          <t>SIP-0141</t>
        </is>
      </c>
      <c r="C170" s="2" t="inlineStr">
        <is>
          <t>MUS-044</t>
        </is>
      </c>
      <c r="D170" s="2" t="inlineStr">
        <is>
          <t>Hollanda</t>
        </is>
      </c>
      <c r="E170" s="6" t="n">
        <v>45825</v>
      </c>
      <c r="F170" s="2" t="inlineStr">
        <is>
          <t>Denizyolu</t>
        </is>
      </c>
      <c r="G170" s="2" t="inlineStr">
        <is>
          <t>40FT</t>
        </is>
      </c>
      <c r="H170" s="5" t="n">
        <v>1392.4</v>
      </c>
      <c r="I170" s="5" t="n">
        <v>1446.36</v>
      </c>
      <c r="J170" s="3" t="n">
        <v>3000.59</v>
      </c>
      <c r="K170" s="3" t="n">
        <v>159.45</v>
      </c>
      <c r="L170" s="3" t="n">
        <v>281.5</v>
      </c>
      <c r="M170" s="3" t="n">
        <v>3441.54</v>
      </c>
      <c r="N170" s="5" t="n">
        <v>14</v>
      </c>
      <c r="O170" s="2" t="inlineStr">
        <is>
          <t>Teslim Edildi</t>
        </is>
      </c>
    </row>
    <row r="171">
      <c r="A171" s="2" t="inlineStr">
        <is>
          <t>SVK-0170</t>
        </is>
      </c>
      <c r="B171" s="2" t="inlineStr">
        <is>
          <t>SIP-0142</t>
        </is>
      </c>
      <c r="C171" s="2" t="inlineStr">
        <is>
          <t>MUS-040</t>
        </is>
      </c>
      <c r="D171" s="2" t="inlineStr">
        <is>
          <t>Suudi Arabistan</t>
        </is>
      </c>
      <c r="E171" s="6" t="n">
        <v>45822</v>
      </c>
      <c r="F171" s="2" t="inlineStr">
        <is>
          <t>Denizyolu</t>
        </is>
      </c>
      <c r="G171" s="2" t="inlineStr">
        <is>
          <t>40FT</t>
        </is>
      </c>
      <c r="H171" s="5" t="n">
        <v>1461.84</v>
      </c>
      <c r="I171" s="5" t="n">
        <v>1511.42</v>
      </c>
      <c r="J171" s="3" t="n">
        <v>3515.47</v>
      </c>
      <c r="K171" s="3" t="n">
        <v>133.74</v>
      </c>
      <c r="L171" s="3" t="n">
        <v>481.87</v>
      </c>
      <c r="M171" s="3" t="n">
        <v>4131.08</v>
      </c>
      <c r="N171" s="5" t="n">
        <v>24</v>
      </c>
      <c r="O171" s="2" t="inlineStr">
        <is>
          <t>Teslim Edildi</t>
        </is>
      </c>
    </row>
    <row r="172">
      <c r="A172" s="2" t="inlineStr">
        <is>
          <t>SVK-0171</t>
        </is>
      </c>
      <c r="B172" s="2" t="inlineStr">
        <is>
          <t>SIP-0143</t>
        </is>
      </c>
      <c r="C172" s="2" t="inlineStr">
        <is>
          <t>MUS-076</t>
        </is>
      </c>
      <c r="D172" s="2" t="inlineStr">
        <is>
          <t>Hollanda</t>
        </is>
      </c>
      <c r="E172" s="6" t="n">
        <v>45852</v>
      </c>
      <c r="F172" s="2" t="inlineStr">
        <is>
          <t>Denizyolu</t>
        </is>
      </c>
      <c r="G172" s="2" t="inlineStr">
        <is>
          <t>40FT</t>
        </is>
      </c>
      <c r="H172" s="5" t="n">
        <v>875.4</v>
      </c>
      <c r="I172" s="5" t="n">
        <v>911.72</v>
      </c>
      <c r="J172" s="3" t="n">
        <v>1440.26</v>
      </c>
      <c r="K172" s="3" t="n">
        <v>75.63</v>
      </c>
      <c r="L172" s="3" t="n">
        <v>107.92</v>
      </c>
      <c r="M172" s="3" t="n">
        <v>1623.81</v>
      </c>
      <c r="N172" s="5" t="n">
        <v>14</v>
      </c>
      <c r="O172" s="2" t="inlineStr">
        <is>
          <t>Gumrukte</t>
        </is>
      </c>
    </row>
    <row r="173">
      <c r="A173" s="2" t="inlineStr">
        <is>
          <t>SVK-0172</t>
        </is>
      </c>
      <c r="B173" s="2" t="inlineStr">
        <is>
          <t>SIP-0143</t>
        </is>
      </c>
      <c r="C173" s="2" t="inlineStr">
        <is>
          <t>MUS-076</t>
        </is>
      </c>
      <c r="D173" s="2" t="inlineStr">
        <is>
          <t>Hollanda</t>
        </is>
      </c>
      <c r="E173" s="6" t="n">
        <v>45853</v>
      </c>
      <c r="F173" s="2" t="inlineStr">
        <is>
          <t>Denizyolu</t>
        </is>
      </c>
      <c r="G173" s="2" t="inlineStr">
        <is>
          <t>40FT</t>
        </is>
      </c>
      <c r="H173" s="5" t="n">
        <v>875.4</v>
      </c>
      <c r="I173" s="5" t="n">
        <v>918.17</v>
      </c>
      <c r="J173" s="3" t="n">
        <v>1519.22</v>
      </c>
      <c r="K173" s="3" t="n">
        <v>76.23999999999999</v>
      </c>
      <c r="L173" s="3" t="n">
        <v>124.71</v>
      </c>
      <c r="M173" s="3" t="n">
        <v>1720.17</v>
      </c>
      <c r="N173" s="5" t="n">
        <v>14</v>
      </c>
      <c r="O173" s="2" t="inlineStr">
        <is>
          <t>Teslim Edildi</t>
        </is>
      </c>
    </row>
    <row r="174">
      <c r="A174" s="2" t="inlineStr">
        <is>
          <t>SVK-0173</t>
        </is>
      </c>
      <c r="B174" s="2" t="inlineStr">
        <is>
          <t>SIP-0144</t>
        </is>
      </c>
      <c r="C174" s="2" t="inlineStr">
        <is>
          <t>MUS-006</t>
        </is>
      </c>
      <c r="D174" s="2" t="inlineStr">
        <is>
          <t>Azerbaycan</t>
        </is>
      </c>
      <c r="E174" s="6" t="n">
        <v>45814</v>
      </c>
      <c r="F174" s="2" t="inlineStr">
        <is>
          <t>Karayolu</t>
        </is>
      </c>
      <c r="G174" s="2" t="inlineStr">
        <is>
          <t>Open Top 40FT</t>
        </is>
      </c>
      <c r="H174" s="5" t="n">
        <v>1952.2</v>
      </c>
      <c r="I174" s="5" t="n">
        <v>2052.01</v>
      </c>
      <c r="J174" s="3" t="n">
        <v>2509.11</v>
      </c>
      <c r="K174" s="3" t="n">
        <v>107.58</v>
      </c>
      <c r="L174" s="3" t="n">
        <v>318.24</v>
      </c>
      <c r="M174" s="3" t="n">
        <v>2934.93</v>
      </c>
      <c r="N174" s="5" t="n">
        <v>10</v>
      </c>
      <c r="O174" s="2" t="inlineStr">
        <is>
          <t>Teslim Edildi</t>
        </is>
      </c>
    </row>
    <row r="175">
      <c r="A175" s="2" t="inlineStr">
        <is>
          <t>SVK-0174</t>
        </is>
      </c>
      <c r="B175" s="2" t="inlineStr">
        <is>
          <t>SIP-0145</t>
        </is>
      </c>
      <c r="C175" s="2" t="inlineStr">
        <is>
          <t>MUS-082</t>
        </is>
      </c>
      <c r="D175" s="2" t="inlineStr">
        <is>
          <t>Hollanda</t>
        </is>
      </c>
      <c r="E175" s="6" t="n">
        <v>45872</v>
      </c>
      <c r="F175" s="2" t="inlineStr">
        <is>
          <t>Denizyolu</t>
        </is>
      </c>
      <c r="G175" s="2" t="inlineStr">
        <is>
          <t>40FT</t>
        </is>
      </c>
      <c r="H175" s="5" t="n">
        <v>1367.03</v>
      </c>
      <c r="I175" s="5" t="n">
        <v>1463.24</v>
      </c>
      <c r="J175" s="3" t="n">
        <v>2920.62</v>
      </c>
      <c r="K175" s="3" t="n">
        <v>98.18000000000001</v>
      </c>
      <c r="L175" s="3" t="n">
        <v>278.07</v>
      </c>
      <c r="M175" s="3" t="n">
        <v>3296.87</v>
      </c>
      <c r="N175" s="5" t="n">
        <v>9</v>
      </c>
      <c r="O175" s="2" t="inlineStr">
        <is>
          <t>Teslim Edildi</t>
        </is>
      </c>
    </row>
    <row r="176">
      <c r="A176" s="2" t="inlineStr">
        <is>
          <t>SVK-0175</t>
        </is>
      </c>
      <c r="B176" s="2" t="inlineStr">
        <is>
          <t>SIP-0146</t>
        </is>
      </c>
      <c r="C176" s="2" t="inlineStr">
        <is>
          <t>MUS-065</t>
        </is>
      </c>
      <c r="D176" s="2" t="inlineStr">
        <is>
          <t>Cezayir</t>
        </is>
      </c>
      <c r="E176" s="6" t="n">
        <v>45823</v>
      </c>
      <c r="F176" s="2" t="inlineStr">
        <is>
          <t>Denizyolu</t>
        </is>
      </c>
      <c r="G176" s="2" t="inlineStr">
        <is>
          <t>Open Top 40FT</t>
        </is>
      </c>
      <c r="H176" s="5" t="n">
        <v>4209.21</v>
      </c>
      <c r="I176" s="5" t="n">
        <v>4417.84</v>
      </c>
      <c r="J176" s="3" t="n">
        <v>3792.22</v>
      </c>
      <c r="K176" s="3" t="n">
        <v>212.35</v>
      </c>
      <c r="L176" s="3" t="n">
        <v>448.12</v>
      </c>
      <c r="M176" s="3" t="n">
        <v>4452.69</v>
      </c>
      <c r="N176" s="5" t="n">
        <v>20</v>
      </c>
      <c r="O176" s="2" t="inlineStr">
        <is>
          <t>Yolda</t>
        </is>
      </c>
    </row>
    <row r="177">
      <c r="A177" s="2" t="inlineStr">
        <is>
          <t>SVK-0176</t>
        </is>
      </c>
      <c r="B177" s="2" t="inlineStr">
        <is>
          <t>SIP-0147</t>
        </is>
      </c>
      <c r="C177" s="2" t="inlineStr">
        <is>
          <t>MUS-036</t>
        </is>
      </c>
      <c r="D177" s="2" t="inlineStr">
        <is>
          <t>Cezayir</t>
        </is>
      </c>
      <c r="E177" s="6" t="n">
        <v>45826</v>
      </c>
      <c r="F177" s="2" t="inlineStr">
        <is>
          <t>Denizyolu</t>
        </is>
      </c>
      <c r="G177" s="2" t="inlineStr">
        <is>
          <t>Open Top 40FT</t>
        </is>
      </c>
      <c r="H177" s="5" t="n">
        <v>971.86</v>
      </c>
      <c r="I177" s="5" t="n">
        <v>1032.11</v>
      </c>
      <c r="J177" s="3" t="n">
        <v>1751.25</v>
      </c>
      <c r="K177" s="3" t="n">
        <v>97.51000000000001</v>
      </c>
      <c r="L177" s="3" t="n">
        <v>327.38</v>
      </c>
      <c r="M177" s="3" t="n">
        <v>2176.14</v>
      </c>
      <c r="N177" s="5" t="n">
        <v>17</v>
      </c>
      <c r="O177" s="2" t="inlineStr">
        <is>
          <t>Teslim Edildi</t>
        </is>
      </c>
    </row>
    <row r="178">
      <c r="A178" s="2" t="inlineStr">
        <is>
          <t>SVK-0177</t>
        </is>
      </c>
      <c r="B178" s="2" t="inlineStr">
        <is>
          <t>SIP-0147</t>
        </is>
      </c>
      <c r="C178" s="2" t="inlineStr">
        <is>
          <t>MUS-036</t>
        </is>
      </c>
      <c r="D178" s="2" t="inlineStr">
        <is>
          <t>Cezayir</t>
        </is>
      </c>
      <c r="E178" s="6" t="n">
        <v>45827</v>
      </c>
      <c r="F178" s="2" t="inlineStr">
        <is>
          <t>Denizyolu</t>
        </is>
      </c>
      <c r="G178" s="2" t="inlineStr">
        <is>
          <t>Open Top 40FT</t>
        </is>
      </c>
      <c r="H178" s="5" t="n">
        <v>971.86</v>
      </c>
      <c r="I178" s="5" t="n">
        <v>1002.71</v>
      </c>
      <c r="J178" s="3" t="n">
        <v>1960.82</v>
      </c>
      <c r="K178" s="3" t="n">
        <v>59.72</v>
      </c>
      <c r="L178" s="3" t="n">
        <v>312.87</v>
      </c>
      <c r="M178" s="3" t="n">
        <v>2333.41</v>
      </c>
      <c r="N178" s="5" t="n">
        <v>21</v>
      </c>
      <c r="O178" s="2" t="inlineStr">
        <is>
          <t>Teslim Edildi</t>
        </is>
      </c>
    </row>
    <row r="179">
      <c r="A179" s="2" t="inlineStr">
        <is>
          <t>SVK-0178</t>
        </is>
      </c>
      <c r="B179" s="2" t="inlineStr">
        <is>
          <t>SIP-0148</t>
        </is>
      </c>
      <c r="C179" s="2" t="inlineStr">
        <is>
          <t>MUS-006</t>
        </is>
      </c>
      <c r="D179" s="2" t="inlineStr">
        <is>
          <t>Azerbaycan</t>
        </is>
      </c>
      <c r="E179" s="6" t="n">
        <v>45843</v>
      </c>
      <c r="F179" s="2" t="inlineStr">
        <is>
          <t>Karayolu</t>
        </is>
      </c>
      <c r="G179" s="2" t="inlineStr">
        <is>
          <t>Open Top 40FT</t>
        </is>
      </c>
      <c r="H179" s="5" t="n">
        <v>2060.05</v>
      </c>
      <c r="I179" s="5" t="n">
        <v>2209.55</v>
      </c>
      <c r="J179" s="3" t="n">
        <v>2642.28</v>
      </c>
      <c r="K179" s="3" t="n">
        <v>111.66</v>
      </c>
      <c r="L179" s="3" t="n">
        <v>315.35</v>
      </c>
      <c r="M179" s="3" t="n">
        <v>3069.29</v>
      </c>
      <c r="N179" s="5" t="n">
        <v>13</v>
      </c>
      <c r="O179" s="2" t="inlineStr">
        <is>
          <t>Yolda</t>
        </is>
      </c>
    </row>
    <row r="180">
      <c r="A180" s="2" t="inlineStr">
        <is>
          <t>SVK-0179</t>
        </is>
      </c>
      <c r="B180" s="2" t="inlineStr">
        <is>
          <t>SIP-0149</t>
        </is>
      </c>
      <c r="C180" s="2" t="inlineStr">
        <is>
          <t>MUS-006</t>
        </is>
      </c>
      <c r="D180" s="2" t="inlineStr">
        <is>
          <t>Azerbaycan</t>
        </is>
      </c>
      <c r="E180" s="6" t="n">
        <v>45828</v>
      </c>
      <c r="F180" s="2" t="inlineStr">
        <is>
          <t>Karayolu</t>
        </is>
      </c>
      <c r="G180" s="2" t="inlineStr">
        <is>
          <t>40FT</t>
        </is>
      </c>
      <c r="H180" s="5" t="n">
        <v>1646.66</v>
      </c>
      <c r="I180" s="5" t="n">
        <v>1699.85</v>
      </c>
      <c r="J180" s="3" t="n">
        <v>2145.41</v>
      </c>
      <c r="K180" s="3" t="n">
        <v>97.09999999999999</v>
      </c>
      <c r="L180" s="3" t="n">
        <v>407.03</v>
      </c>
      <c r="M180" s="3" t="n">
        <v>2649.54</v>
      </c>
      <c r="N180" s="5" t="n">
        <v>10</v>
      </c>
      <c r="O180" s="2" t="inlineStr">
        <is>
          <t>Teslim Edildi</t>
        </is>
      </c>
    </row>
    <row r="181">
      <c r="A181" s="2" t="inlineStr">
        <is>
          <t>SVK-0180</t>
        </is>
      </c>
      <c r="B181" s="2" t="inlineStr">
        <is>
          <t>SIP-0150</t>
        </is>
      </c>
      <c r="C181" s="2" t="inlineStr">
        <is>
          <t>MUS-046</t>
        </is>
      </c>
      <c r="D181" s="2" t="inlineStr">
        <is>
          <t>Romanya</t>
        </is>
      </c>
      <c r="E181" s="6" t="n">
        <v>45825</v>
      </c>
      <c r="F181" s="2" t="inlineStr">
        <is>
          <t>Denizyolu</t>
        </is>
      </c>
      <c r="G181" s="2" t="inlineStr">
        <is>
          <t>20FT</t>
        </is>
      </c>
      <c r="H181" s="5" t="n">
        <v>563.29</v>
      </c>
      <c r="I181" s="5" t="n">
        <v>587.35</v>
      </c>
      <c r="J181" s="3" t="n">
        <v>1874.48</v>
      </c>
      <c r="K181" s="3" t="n">
        <v>78.26000000000001</v>
      </c>
      <c r="L181" s="3" t="n">
        <v>293.9</v>
      </c>
      <c r="M181" s="3" t="n">
        <v>2246.64</v>
      </c>
      <c r="N181" s="5" t="n">
        <v>3</v>
      </c>
      <c r="O181" s="2" t="inlineStr">
        <is>
          <t>Teslim Edildi</t>
        </is>
      </c>
    </row>
    <row r="182">
      <c r="A182" s="2" t="inlineStr">
        <is>
          <t>SVK-0181</t>
        </is>
      </c>
      <c r="B182" s="2" t="inlineStr">
        <is>
          <t>SIP-0151</t>
        </is>
      </c>
      <c r="C182" s="2" t="inlineStr">
        <is>
          <t>MUS-046</t>
        </is>
      </c>
      <c r="D182" s="2" t="inlineStr">
        <is>
          <t>Romanya</t>
        </is>
      </c>
      <c r="E182" s="6" t="n">
        <v>45830</v>
      </c>
      <c r="F182" s="2" t="inlineStr">
        <is>
          <t>Karayolu</t>
        </is>
      </c>
      <c r="G182" s="2" t="inlineStr">
        <is>
          <t>40FT</t>
        </is>
      </c>
      <c r="H182" s="5" t="n">
        <v>1082.18</v>
      </c>
      <c r="I182" s="5" t="n">
        <v>1140.83</v>
      </c>
      <c r="J182" s="3" t="n">
        <v>1481.73</v>
      </c>
      <c r="K182" s="3" t="n">
        <v>49.3</v>
      </c>
      <c r="L182" s="3" t="n">
        <v>199.25</v>
      </c>
      <c r="M182" s="3" t="n">
        <v>1730.28</v>
      </c>
      <c r="N182" s="5" t="n">
        <v>7</v>
      </c>
      <c r="O182" s="2" t="inlineStr">
        <is>
          <t>Yolda</t>
        </is>
      </c>
    </row>
    <row r="183">
      <c r="A183" s="2" t="inlineStr">
        <is>
          <t>SVK-0182</t>
        </is>
      </c>
      <c r="B183" s="2" t="inlineStr">
        <is>
          <t>SIP-0152</t>
        </is>
      </c>
      <c r="C183" s="2" t="inlineStr">
        <is>
          <t>MUS-057</t>
        </is>
      </c>
      <c r="D183" s="2" t="inlineStr">
        <is>
          <t>Polonya</t>
        </is>
      </c>
      <c r="E183" s="6" t="n">
        <v>45833</v>
      </c>
      <c r="F183" s="2" t="inlineStr">
        <is>
          <t>Karayolu</t>
        </is>
      </c>
      <c r="G183" s="2" t="inlineStr">
        <is>
          <t>Open Top 40FT</t>
        </is>
      </c>
      <c r="H183" s="5" t="n">
        <v>3272.81</v>
      </c>
      <c r="I183" s="5" t="n">
        <v>3428.57</v>
      </c>
      <c r="J183" s="3" t="n">
        <v>2694.05</v>
      </c>
      <c r="K183" s="3" t="n">
        <v>94.47</v>
      </c>
      <c r="L183" s="3" t="n">
        <v>290.62</v>
      </c>
      <c r="M183" s="3" t="n">
        <v>3079.14</v>
      </c>
      <c r="N183" s="5" t="n">
        <v>8</v>
      </c>
      <c r="O183" s="2" t="inlineStr">
        <is>
          <t>Teslim Edildi</t>
        </is>
      </c>
    </row>
    <row r="184">
      <c r="A184" s="2" t="inlineStr">
        <is>
          <t>SVK-0183</t>
        </is>
      </c>
      <c r="B184" s="2" t="inlineStr">
        <is>
          <t>SIP-0153</t>
        </is>
      </c>
      <c r="C184" s="2" t="inlineStr">
        <is>
          <t>MUS-080</t>
        </is>
      </c>
      <c r="D184" s="2" t="inlineStr">
        <is>
          <t>Cezayir</t>
        </is>
      </c>
      <c r="E184" s="6" t="n">
        <v>45859</v>
      </c>
      <c r="F184" s="2" t="inlineStr">
        <is>
          <t>Denizyolu</t>
        </is>
      </c>
      <c r="G184" s="2" t="inlineStr">
        <is>
          <t>Open Top 40FT</t>
        </is>
      </c>
      <c r="H184" s="5" t="n">
        <v>1272.28</v>
      </c>
      <c r="I184" s="5" t="n">
        <v>1356.14</v>
      </c>
      <c r="J184" s="3" t="n">
        <v>1505.72</v>
      </c>
      <c r="K184" s="3" t="n">
        <v>52.63</v>
      </c>
      <c r="L184" s="3" t="n">
        <v>301.47</v>
      </c>
      <c r="M184" s="3" t="n">
        <v>1859.82</v>
      </c>
      <c r="N184" s="5" t="n">
        <v>21</v>
      </c>
      <c r="O184" s="2" t="inlineStr">
        <is>
          <t>Teslim Edildi</t>
        </is>
      </c>
    </row>
    <row r="185">
      <c r="A185" s="2" t="inlineStr">
        <is>
          <t>SVK-0184</t>
        </is>
      </c>
      <c r="B185" s="2" t="inlineStr">
        <is>
          <t>SIP-0153</t>
        </is>
      </c>
      <c r="C185" s="2" t="inlineStr">
        <is>
          <t>MUS-080</t>
        </is>
      </c>
      <c r="D185" s="2" t="inlineStr">
        <is>
          <t>Cezayir</t>
        </is>
      </c>
      <c r="E185" s="6" t="n">
        <v>45860</v>
      </c>
      <c r="F185" s="2" t="inlineStr">
        <is>
          <t>Denizyolu</t>
        </is>
      </c>
      <c r="G185" s="2" t="inlineStr">
        <is>
          <t>Open Top 40FT</t>
        </is>
      </c>
      <c r="H185" s="5" t="n">
        <v>1272.28</v>
      </c>
      <c r="I185" s="5" t="n">
        <v>1331.82</v>
      </c>
      <c r="J185" s="3" t="n">
        <v>1933.68</v>
      </c>
      <c r="K185" s="3" t="n">
        <v>74.56999999999999</v>
      </c>
      <c r="L185" s="3" t="n">
        <v>295.1</v>
      </c>
      <c r="M185" s="3" t="n">
        <v>2303.35</v>
      </c>
      <c r="N185" s="5" t="n">
        <v>20</v>
      </c>
      <c r="O185" s="2" t="inlineStr">
        <is>
          <t>Teslim Edildi</t>
        </is>
      </c>
    </row>
    <row r="186">
      <c r="A186" s="2" t="inlineStr">
        <is>
          <t>SVK-0185</t>
        </is>
      </c>
      <c r="B186" s="2" t="inlineStr">
        <is>
          <t>SIP-0154</t>
        </is>
      </c>
      <c r="C186" s="2" t="inlineStr">
        <is>
          <t>MUS-016</t>
        </is>
      </c>
      <c r="D186" s="2" t="inlineStr">
        <is>
          <t>Italya</t>
        </is>
      </c>
      <c r="E186" s="6" t="n">
        <v>45871</v>
      </c>
      <c r="F186" s="2" t="inlineStr">
        <is>
          <t>Karayolu</t>
        </is>
      </c>
      <c r="G186" s="2" t="inlineStr">
        <is>
          <t>40FT</t>
        </is>
      </c>
      <c r="H186" s="5" t="n">
        <v>1395.13</v>
      </c>
      <c r="I186" s="5" t="n">
        <v>1500.58</v>
      </c>
      <c r="J186" s="3" t="n">
        <v>2560.04</v>
      </c>
      <c r="K186" s="3" t="n">
        <v>148.66</v>
      </c>
      <c r="L186" s="3" t="n">
        <v>250.5</v>
      </c>
      <c r="M186" s="3" t="n">
        <v>2959.2</v>
      </c>
      <c r="N186" s="5" t="n">
        <v>12</v>
      </c>
      <c r="O186" s="2" t="inlineStr">
        <is>
          <t>Yolda</t>
        </is>
      </c>
    </row>
    <row r="187">
      <c r="A187" s="2" t="inlineStr">
        <is>
          <t>SVK-0186</t>
        </is>
      </c>
      <c r="B187" s="2" t="inlineStr">
        <is>
          <t>SIP-0155</t>
        </is>
      </c>
      <c r="C187" s="2" t="inlineStr">
        <is>
          <t>MUS-008</t>
        </is>
      </c>
      <c r="D187" s="2" t="inlineStr">
        <is>
          <t>Azerbaycan</t>
        </is>
      </c>
      <c r="E187" s="6" t="n">
        <v>45879</v>
      </c>
      <c r="F187" s="2" t="inlineStr">
        <is>
          <t>Karayolu</t>
        </is>
      </c>
      <c r="G187" s="2" t="inlineStr">
        <is>
          <t>40FT</t>
        </is>
      </c>
      <c r="H187" s="5" t="n">
        <v>1146.08</v>
      </c>
      <c r="I187" s="5" t="n">
        <v>1210.07</v>
      </c>
      <c r="J187" s="3" t="n">
        <v>2746.06</v>
      </c>
      <c r="K187" s="3" t="n">
        <v>104.1</v>
      </c>
      <c r="L187" s="3" t="n">
        <v>497.82</v>
      </c>
      <c r="M187" s="3" t="n">
        <v>3347.98</v>
      </c>
      <c r="N187" s="5" t="n">
        <v>11</v>
      </c>
      <c r="O187" s="2" t="inlineStr">
        <is>
          <t>Teslim Edildi</t>
        </is>
      </c>
    </row>
    <row r="188">
      <c r="A188" s="2" t="inlineStr">
        <is>
          <t>SVK-0187</t>
        </is>
      </c>
      <c r="B188" s="2" t="inlineStr">
        <is>
          <t>SIP-0156</t>
        </is>
      </c>
      <c r="C188" s="2" t="inlineStr">
        <is>
          <t>MUS-027</t>
        </is>
      </c>
      <c r="D188" s="2" t="inlineStr">
        <is>
          <t>BAE</t>
        </is>
      </c>
      <c r="E188" s="6" t="n">
        <v>45855</v>
      </c>
      <c r="F188" s="2" t="inlineStr">
        <is>
          <t>Denizyolu</t>
        </is>
      </c>
      <c r="G188" s="2" t="inlineStr">
        <is>
          <t>40FT</t>
        </is>
      </c>
      <c r="H188" s="5" t="n">
        <v>1653.43</v>
      </c>
      <c r="I188" s="5" t="n">
        <v>1738.46</v>
      </c>
      <c r="J188" s="3" t="n">
        <v>4200.61</v>
      </c>
      <c r="K188" s="3" t="n">
        <v>208.78</v>
      </c>
      <c r="L188" s="3" t="n">
        <v>298.17</v>
      </c>
      <c r="M188" s="3" t="n">
        <v>4707.56</v>
      </c>
      <c r="N188" s="5" t="n">
        <v>21</v>
      </c>
      <c r="O188" s="2" t="inlineStr">
        <is>
          <t>Teslim Edildi</t>
        </is>
      </c>
    </row>
    <row r="189">
      <c r="A189" s="2" t="inlineStr">
        <is>
          <t>SVK-0188</t>
        </is>
      </c>
      <c r="B189" s="2" t="inlineStr">
        <is>
          <t>SIP-0157</t>
        </is>
      </c>
      <c r="C189" s="2" t="inlineStr">
        <is>
          <t>MUS-066</t>
        </is>
      </c>
      <c r="D189" s="2" t="inlineStr">
        <is>
          <t>Kazakistan</t>
        </is>
      </c>
      <c r="E189" s="6" t="n">
        <v>45863</v>
      </c>
      <c r="F189" s="2" t="inlineStr">
        <is>
          <t>Karayolu</t>
        </is>
      </c>
      <c r="G189" s="2" t="inlineStr">
        <is>
          <t>40FT</t>
        </is>
      </c>
      <c r="H189" s="5" t="n">
        <v>1072.49</v>
      </c>
      <c r="I189" s="5" t="n">
        <v>1139.92</v>
      </c>
      <c r="J189" s="3" t="n">
        <v>3392.35</v>
      </c>
      <c r="K189" s="3" t="n">
        <v>114.06</v>
      </c>
      <c r="L189" s="3" t="n">
        <v>413.31</v>
      </c>
      <c r="M189" s="3" t="n">
        <v>3919.72</v>
      </c>
      <c r="N189" s="5" t="n">
        <v>13</v>
      </c>
      <c r="O189" s="2" t="inlineStr">
        <is>
          <t>Teslim Edildi</t>
        </is>
      </c>
    </row>
    <row r="190">
      <c r="A190" s="2" t="inlineStr">
        <is>
          <t>SVK-0189</t>
        </is>
      </c>
      <c r="B190" s="2" t="inlineStr">
        <is>
          <t>SIP-0158</t>
        </is>
      </c>
      <c r="C190" s="2" t="inlineStr">
        <is>
          <t>MUS-079</t>
        </is>
      </c>
      <c r="D190" s="2" t="inlineStr">
        <is>
          <t>Katar</t>
        </is>
      </c>
      <c r="E190" s="6" t="n">
        <v>45884</v>
      </c>
      <c r="F190" s="2" t="inlineStr">
        <is>
          <t>Denizyolu</t>
        </is>
      </c>
      <c r="G190" s="2" t="inlineStr">
        <is>
          <t>Open Top 40FT</t>
        </is>
      </c>
      <c r="H190" s="5" t="n">
        <v>7341.44</v>
      </c>
      <c r="I190" s="5" t="n">
        <v>7703.74</v>
      </c>
      <c r="J190" s="3" t="n">
        <v>4313.75</v>
      </c>
      <c r="K190" s="3" t="n">
        <v>223.95</v>
      </c>
      <c r="L190" s="3" t="n">
        <v>443.68</v>
      </c>
      <c r="M190" s="3" t="n">
        <v>4981.38</v>
      </c>
      <c r="N190" s="5" t="n">
        <v>25</v>
      </c>
      <c r="O190" s="2" t="inlineStr">
        <is>
          <t>Teslim Edildi</t>
        </is>
      </c>
    </row>
    <row r="191">
      <c r="A191" s="2" t="inlineStr">
        <is>
          <t>SVK-0190</t>
        </is>
      </c>
      <c r="B191" s="2" t="inlineStr">
        <is>
          <t>SIP-0159</t>
        </is>
      </c>
      <c r="C191" s="2" t="inlineStr">
        <is>
          <t>MUS-033</t>
        </is>
      </c>
      <c r="D191" s="2" t="inlineStr">
        <is>
          <t>Cezayir</t>
        </is>
      </c>
      <c r="E191" s="6" t="n">
        <v>45870</v>
      </c>
      <c r="F191" s="2" t="inlineStr">
        <is>
          <t>Denizyolu</t>
        </is>
      </c>
      <c r="G191" s="2" t="inlineStr">
        <is>
          <t>40FT</t>
        </is>
      </c>
      <c r="H191" s="5" t="n">
        <v>1533.06</v>
      </c>
      <c r="I191" s="5" t="n">
        <v>1625.36</v>
      </c>
      <c r="J191" s="3" t="n">
        <v>3571.15</v>
      </c>
      <c r="K191" s="3" t="n">
        <v>181.48</v>
      </c>
      <c r="L191" s="3" t="n">
        <v>571.03</v>
      </c>
      <c r="M191" s="3" t="n">
        <v>4323.66</v>
      </c>
      <c r="N191" s="5" t="n">
        <v>14</v>
      </c>
      <c r="O191" s="2" t="inlineStr">
        <is>
          <t>Teslim Edildi</t>
        </is>
      </c>
    </row>
    <row r="192">
      <c r="A192" s="2" t="inlineStr">
        <is>
          <t>SVK-0191</t>
        </is>
      </c>
      <c r="B192" s="2" t="inlineStr">
        <is>
          <t>SIP-0160</t>
        </is>
      </c>
      <c r="C192" s="2" t="inlineStr">
        <is>
          <t>MUS-015</t>
        </is>
      </c>
      <c r="D192" s="2" t="inlineStr">
        <is>
          <t>Polonya</t>
        </is>
      </c>
      <c r="E192" s="6" t="n">
        <v>45853</v>
      </c>
      <c r="F192" s="2" t="inlineStr">
        <is>
          <t>Havayolu</t>
        </is>
      </c>
      <c r="G192" s="2" t="inlineStr">
        <is>
          <t>20FT</t>
        </is>
      </c>
      <c r="H192" s="5" t="n">
        <v>248.57</v>
      </c>
      <c r="I192" s="5" t="n">
        <v>264.08</v>
      </c>
      <c r="J192" s="3" t="n">
        <v>1135.25</v>
      </c>
      <c r="K192" s="3" t="n">
        <v>54.58</v>
      </c>
      <c r="L192" s="3" t="n">
        <v>100.11</v>
      </c>
      <c r="M192" s="3" t="n">
        <v>1289.94</v>
      </c>
      <c r="N192" s="5" t="n">
        <v>7</v>
      </c>
      <c r="O192" s="2" t="inlineStr">
        <is>
          <t>Gumrukte</t>
        </is>
      </c>
    </row>
    <row r="193">
      <c r="A193" s="2" t="inlineStr">
        <is>
          <t>SVK-0192</t>
        </is>
      </c>
      <c r="B193" s="2" t="inlineStr">
        <is>
          <t>SIP-0160</t>
        </is>
      </c>
      <c r="C193" s="2" t="inlineStr">
        <is>
          <t>MUS-015</t>
        </is>
      </c>
      <c r="D193" s="2" t="inlineStr">
        <is>
          <t>Polonya</t>
        </is>
      </c>
      <c r="E193" s="6" t="n">
        <v>45854</v>
      </c>
      <c r="F193" s="2" t="inlineStr">
        <is>
          <t>Havayolu</t>
        </is>
      </c>
      <c r="G193" s="2" t="inlineStr">
        <is>
          <t>20FT</t>
        </is>
      </c>
      <c r="H193" s="5" t="n">
        <v>248.57</v>
      </c>
      <c r="I193" s="5" t="n">
        <v>265.52</v>
      </c>
      <c r="J193" s="3" t="n">
        <v>1222.47</v>
      </c>
      <c r="K193" s="3" t="n">
        <v>45.99</v>
      </c>
      <c r="L193" s="3" t="n">
        <v>167.31</v>
      </c>
      <c r="M193" s="3" t="n">
        <v>1435.77</v>
      </c>
      <c r="N193" s="5" t="n">
        <v>13</v>
      </c>
      <c r="O193" s="2" t="inlineStr">
        <is>
          <t>Teslim Edildi</t>
        </is>
      </c>
    </row>
    <row r="194">
      <c r="A194" s="2" t="inlineStr">
        <is>
          <t>SVK-0193</t>
        </is>
      </c>
      <c r="B194" s="2" t="inlineStr">
        <is>
          <t>SIP-0161</t>
        </is>
      </c>
      <c r="C194" s="2" t="inlineStr">
        <is>
          <t>MUS-041</t>
        </is>
      </c>
      <c r="D194" s="2" t="inlineStr">
        <is>
          <t>Hollanda</t>
        </is>
      </c>
      <c r="E194" s="6" t="n">
        <v>45857</v>
      </c>
      <c r="F194" s="2" t="inlineStr">
        <is>
          <t>Denizyolu</t>
        </is>
      </c>
      <c r="G194" s="2" t="inlineStr">
        <is>
          <t>40FT</t>
        </is>
      </c>
      <c r="H194" s="5" t="n">
        <v>1147.68</v>
      </c>
      <c r="I194" s="5" t="n">
        <v>1195.63</v>
      </c>
      <c r="J194" s="3" t="n">
        <v>2497.04</v>
      </c>
      <c r="K194" s="3" t="n">
        <v>84.11</v>
      </c>
      <c r="L194" s="3" t="n">
        <v>258.95</v>
      </c>
      <c r="M194" s="3" t="n">
        <v>2840.1</v>
      </c>
      <c r="N194" s="5" t="n">
        <v>10</v>
      </c>
      <c r="O194" s="2" t="inlineStr">
        <is>
          <t>Teslim Edildi</t>
        </is>
      </c>
    </row>
    <row r="195">
      <c r="A195" s="2" t="inlineStr">
        <is>
          <t>SVK-0194</t>
        </is>
      </c>
      <c r="B195" s="2" t="inlineStr">
        <is>
          <t>SIP-0162</t>
        </is>
      </c>
      <c r="C195" s="2" t="inlineStr">
        <is>
          <t>MUS-077</t>
        </is>
      </c>
      <c r="D195" s="2" t="inlineStr">
        <is>
          <t>Almanya</t>
        </is>
      </c>
      <c r="E195" s="6" t="n">
        <v>45865</v>
      </c>
      <c r="F195" s="2" t="inlineStr">
        <is>
          <t>Karayolu</t>
        </is>
      </c>
      <c r="G195" s="2" t="inlineStr">
        <is>
          <t>40FT</t>
        </is>
      </c>
      <c r="H195" s="5" t="n">
        <v>1434.03</v>
      </c>
      <c r="I195" s="5" t="n">
        <v>1519.05</v>
      </c>
      <c r="J195" s="3" t="n">
        <v>2504.9</v>
      </c>
      <c r="K195" s="3" t="n">
        <v>98.93000000000001</v>
      </c>
      <c r="L195" s="3" t="n">
        <v>303.13</v>
      </c>
      <c r="M195" s="3" t="n">
        <v>2906.96</v>
      </c>
      <c r="N195" s="5" t="n">
        <v>10</v>
      </c>
      <c r="O195" s="2" t="inlineStr">
        <is>
          <t>Teslim Edildi</t>
        </is>
      </c>
    </row>
    <row r="196">
      <c r="A196" s="2" t="inlineStr">
        <is>
          <t>SVK-0195</t>
        </is>
      </c>
      <c r="B196" s="2" t="inlineStr">
        <is>
          <t>SIP-0163</t>
        </is>
      </c>
      <c r="C196" s="2" t="inlineStr">
        <is>
          <t>MUS-078</t>
        </is>
      </c>
      <c r="D196" s="2" t="inlineStr">
        <is>
          <t>Italya</t>
        </is>
      </c>
      <c r="E196" s="6" t="n">
        <v>45902</v>
      </c>
      <c r="F196" s="2" t="inlineStr">
        <is>
          <t>Karayolu</t>
        </is>
      </c>
      <c r="G196" s="2" t="inlineStr">
        <is>
          <t>40FT</t>
        </is>
      </c>
      <c r="H196" s="5" t="n">
        <v>938.8200000000001</v>
      </c>
      <c r="I196" s="5" t="n">
        <v>1012.4</v>
      </c>
      <c r="J196" s="3" t="n">
        <v>2630.88</v>
      </c>
      <c r="K196" s="3" t="n">
        <v>118.23</v>
      </c>
      <c r="L196" s="3" t="n">
        <v>208.31</v>
      </c>
      <c r="M196" s="3" t="n">
        <v>2957.42</v>
      </c>
      <c r="N196" s="5" t="n">
        <v>8</v>
      </c>
      <c r="O196" s="2" t="inlineStr">
        <is>
          <t>Teslim Edildi</t>
        </is>
      </c>
    </row>
    <row r="197">
      <c r="A197" s="2" t="inlineStr">
        <is>
          <t>SVK-0196</t>
        </is>
      </c>
      <c r="B197" s="2" t="inlineStr">
        <is>
          <t>SIP-0164</t>
        </is>
      </c>
      <c r="C197" s="2" t="inlineStr">
        <is>
          <t>MUS-071</t>
        </is>
      </c>
      <c r="D197" s="2" t="inlineStr">
        <is>
          <t>Azerbaycan</t>
        </is>
      </c>
      <c r="E197" s="6" t="n">
        <v>45856</v>
      </c>
      <c r="F197" s="2" t="inlineStr">
        <is>
          <t>Karayolu</t>
        </is>
      </c>
      <c r="G197" s="2" t="inlineStr">
        <is>
          <t>40FT</t>
        </is>
      </c>
      <c r="H197" s="5" t="n">
        <v>1233.63</v>
      </c>
      <c r="I197" s="5" t="n">
        <v>1325.21</v>
      </c>
      <c r="J197" s="3" t="n">
        <v>2314.99</v>
      </c>
      <c r="K197" s="3" t="n">
        <v>83.54000000000001</v>
      </c>
      <c r="L197" s="3" t="n">
        <v>498.84</v>
      </c>
      <c r="M197" s="3" t="n">
        <v>2897.37</v>
      </c>
      <c r="N197" s="5" t="n">
        <v>14</v>
      </c>
      <c r="O197" s="2" t="inlineStr">
        <is>
          <t>Teslim Edildi</t>
        </is>
      </c>
    </row>
    <row r="198">
      <c r="A198" s="2" t="inlineStr">
        <is>
          <t>SVK-0197</t>
        </is>
      </c>
      <c r="B198" s="2" t="inlineStr">
        <is>
          <t>SIP-0165</t>
        </is>
      </c>
      <c r="C198" s="2" t="inlineStr">
        <is>
          <t>MUS-052</t>
        </is>
      </c>
      <c r="D198" s="2" t="inlineStr">
        <is>
          <t>Kazakistan</t>
        </is>
      </c>
      <c r="E198" s="6" t="n">
        <v>45888</v>
      </c>
      <c r="F198" s="2" t="inlineStr">
        <is>
          <t>Karayolu</t>
        </is>
      </c>
      <c r="G198" s="2" t="inlineStr">
        <is>
          <t>Open Top 40FT</t>
        </is>
      </c>
      <c r="H198" s="5" t="n">
        <v>2236.44</v>
      </c>
      <c r="I198" s="5" t="n">
        <v>2398.97</v>
      </c>
      <c r="J198" s="3" t="n">
        <v>3593.62</v>
      </c>
      <c r="K198" s="3" t="n">
        <v>203.3</v>
      </c>
      <c r="L198" s="3" t="n">
        <v>639.89</v>
      </c>
      <c r="M198" s="3" t="n">
        <v>4436.81</v>
      </c>
      <c r="N198" s="5" t="n">
        <v>16</v>
      </c>
      <c r="O198" s="2" t="inlineStr">
        <is>
          <t>Teslim Edildi</t>
        </is>
      </c>
    </row>
    <row r="199">
      <c r="A199" s="2" t="inlineStr">
        <is>
          <t>SVK-0198</t>
        </is>
      </c>
      <c r="B199" s="2" t="inlineStr">
        <is>
          <t>SIP-0166</t>
        </is>
      </c>
      <c r="C199" s="2" t="inlineStr">
        <is>
          <t>MUS-076</t>
        </is>
      </c>
      <c r="D199" s="2" t="inlineStr">
        <is>
          <t>Hollanda</t>
        </is>
      </c>
      <c r="E199" s="6" t="n">
        <v>45902</v>
      </c>
      <c r="F199" s="2" t="inlineStr">
        <is>
          <t>Denizyolu</t>
        </is>
      </c>
      <c r="G199" s="2" t="inlineStr">
        <is>
          <t>40FT</t>
        </is>
      </c>
      <c r="H199" s="5" t="n">
        <v>1354.44</v>
      </c>
      <c r="I199" s="5" t="n">
        <v>1433.18</v>
      </c>
      <c r="J199" s="3" t="n">
        <v>2941.08</v>
      </c>
      <c r="K199" s="3" t="n">
        <v>92.5</v>
      </c>
      <c r="L199" s="3" t="n">
        <v>315.23</v>
      </c>
      <c r="M199" s="3" t="n">
        <v>3348.81</v>
      </c>
      <c r="N199" s="5" t="n">
        <v>12</v>
      </c>
      <c r="O199" s="2" t="inlineStr">
        <is>
          <t>Teslim Edildi</t>
        </is>
      </c>
    </row>
    <row r="200">
      <c r="A200" s="2" t="inlineStr">
        <is>
          <t>SVK-0199</t>
        </is>
      </c>
      <c r="B200" s="2" t="inlineStr">
        <is>
          <t>SIP-0167</t>
        </is>
      </c>
      <c r="C200" s="2" t="inlineStr">
        <is>
          <t>MUS-066</t>
        </is>
      </c>
      <c r="D200" s="2" t="inlineStr">
        <is>
          <t>Kazakistan</t>
        </is>
      </c>
      <c r="E200" s="6" t="n">
        <v>45918</v>
      </c>
      <c r="F200" s="2" t="inlineStr">
        <is>
          <t>Karayolu</t>
        </is>
      </c>
      <c r="G200" s="2" t="inlineStr">
        <is>
          <t>40FT</t>
        </is>
      </c>
      <c r="H200" s="5" t="n">
        <v>1148.44</v>
      </c>
      <c r="I200" s="5" t="n">
        <v>1207.38</v>
      </c>
      <c r="J200" s="3" t="n">
        <v>3437.04</v>
      </c>
      <c r="K200" s="3" t="n">
        <v>154.08</v>
      </c>
      <c r="L200" s="3" t="n">
        <v>536.61</v>
      </c>
      <c r="M200" s="3" t="n">
        <v>4127.73</v>
      </c>
      <c r="N200" s="5" t="n">
        <v>14</v>
      </c>
      <c r="O200" s="2" t="inlineStr">
        <is>
          <t>Teslim Edildi</t>
        </is>
      </c>
    </row>
    <row r="201">
      <c r="A201" s="2" t="inlineStr">
        <is>
          <t>SVK-0200</t>
        </is>
      </c>
      <c r="B201" s="2" t="inlineStr">
        <is>
          <t>SIP-0168</t>
        </is>
      </c>
      <c r="C201" s="2" t="inlineStr">
        <is>
          <t>MUS-061</t>
        </is>
      </c>
      <c r="D201" s="2" t="inlineStr">
        <is>
          <t>Kazakistan</t>
        </is>
      </c>
      <c r="E201" s="6" t="n">
        <v>45931</v>
      </c>
      <c r="F201" s="2" t="inlineStr">
        <is>
          <t>Karayolu</t>
        </is>
      </c>
      <c r="G201" s="2" t="inlineStr">
        <is>
          <t>Open Top 40FT</t>
        </is>
      </c>
      <c r="H201" s="5" t="n">
        <v>1441.94</v>
      </c>
      <c r="I201" s="5" t="n">
        <v>1517.11</v>
      </c>
      <c r="J201" s="3" t="n">
        <v>2076.14</v>
      </c>
      <c r="K201" s="3" t="n">
        <v>120.21</v>
      </c>
      <c r="L201" s="3" t="n">
        <v>317.68</v>
      </c>
      <c r="M201" s="3" t="n">
        <v>2514.03</v>
      </c>
      <c r="N201" s="5" t="n">
        <v>19</v>
      </c>
      <c r="O201" s="2" t="inlineStr">
        <is>
          <t>Teslim Edildi</t>
        </is>
      </c>
    </row>
    <row r="202">
      <c r="A202" s="2" t="inlineStr">
        <is>
          <t>SVK-0201</t>
        </is>
      </c>
      <c r="B202" s="2" t="inlineStr">
        <is>
          <t>SIP-0168</t>
        </is>
      </c>
      <c r="C202" s="2" t="inlineStr">
        <is>
          <t>MUS-061</t>
        </is>
      </c>
      <c r="D202" s="2" t="inlineStr">
        <is>
          <t>Kazakistan</t>
        </is>
      </c>
      <c r="E202" s="6" t="n">
        <v>45932</v>
      </c>
      <c r="F202" s="2" t="inlineStr">
        <is>
          <t>Karayolu</t>
        </is>
      </c>
      <c r="G202" s="2" t="inlineStr">
        <is>
          <t>Open Top 40FT</t>
        </is>
      </c>
      <c r="H202" s="5" t="n">
        <v>1441.94</v>
      </c>
      <c r="I202" s="5" t="n">
        <v>1532.46</v>
      </c>
      <c r="J202" s="3" t="n">
        <v>1879.74</v>
      </c>
      <c r="K202" s="3" t="n">
        <v>72.59</v>
      </c>
      <c r="L202" s="3" t="n">
        <v>220.83</v>
      </c>
      <c r="M202" s="3" t="n">
        <v>2173.16</v>
      </c>
      <c r="N202" s="5" t="n">
        <v>17</v>
      </c>
      <c r="O202" s="2" t="inlineStr">
        <is>
          <t>Teslim Edildi</t>
        </is>
      </c>
    </row>
    <row r="203">
      <c r="A203" s="2" t="inlineStr">
        <is>
          <t>SVK-0202</t>
        </is>
      </c>
      <c r="B203" s="2" t="inlineStr">
        <is>
          <t>SIP-0169</t>
        </is>
      </c>
      <c r="C203" s="2" t="inlineStr">
        <is>
          <t>MUS-066</t>
        </is>
      </c>
      <c r="D203" s="2" t="inlineStr">
        <is>
          <t>Kazakistan</t>
        </is>
      </c>
      <c r="E203" s="6" t="n">
        <v>45924</v>
      </c>
      <c r="F203" s="2" t="inlineStr">
        <is>
          <t>Karayolu</t>
        </is>
      </c>
      <c r="G203" s="2" t="inlineStr">
        <is>
          <t>40FT</t>
        </is>
      </c>
      <c r="H203" s="5" t="n">
        <v>1679.37</v>
      </c>
      <c r="I203" s="5" t="n">
        <v>1804.8</v>
      </c>
      <c r="J203" s="3" t="n">
        <v>3743.13</v>
      </c>
      <c r="K203" s="3" t="n">
        <v>116.61</v>
      </c>
      <c r="L203" s="3" t="n">
        <v>449.4</v>
      </c>
      <c r="M203" s="3" t="n">
        <v>4309.14</v>
      </c>
      <c r="N203" s="5" t="n">
        <v>13</v>
      </c>
      <c r="O203" s="2" t="inlineStr">
        <is>
          <t>Teslim Edildi</t>
        </is>
      </c>
    </row>
    <row r="204">
      <c r="A204" s="2" t="inlineStr">
        <is>
          <t>SVK-0203</t>
        </is>
      </c>
      <c r="B204" s="2" t="inlineStr">
        <is>
          <t>SIP-0170</t>
        </is>
      </c>
      <c r="C204" s="2" t="inlineStr">
        <is>
          <t>MUS-067</t>
        </is>
      </c>
      <c r="D204" s="2" t="inlineStr">
        <is>
          <t>Katar</t>
        </is>
      </c>
      <c r="E204" s="6" t="n">
        <v>45911</v>
      </c>
      <c r="F204" s="2" t="inlineStr">
        <is>
          <t>Havayolu</t>
        </is>
      </c>
      <c r="G204" s="2" t="inlineStr">
        <is>
          <t>Open Top 40FT</t>
        </is>
      </c>
      <c r="H204" s="5" t="n">
        <v>2991.32</v>
      </c>
      <c r="I204" s="5" t="n">
        <v>3150.07</v>
      </c>
      <c r="J204" s="3" t="n">
        <v>3696.2</v>
      </c>
      <c r="K204" s="3" t="n">
        <v>162.94</v>
      </c>
      <c r="L204" s="3" t="n">
        <v>305.31</v>
      </c>
      <c r="M204" s="3" t="n">
        <v>4164.45</v>
      </c>
      <c r="N204" s="5" t="n">
        <v>18</v>
      </c>
      <c r="O204" s="2" t="inlineStr">
        <is>
          <t>Yolda</t>
        </is>
      </c>
    </row>
    <row r="205">
      <c r="A205" s="2" t="inlineStr">
        <is>
          <t>SVK-0204</t>
        </is>
      </c>
      <c r="B205" s="2" t="inlineStr">
        <is>
          <t>SIP-0171</t>
        </is>
      </c>
      <c r="C205" s="2" t="inlineStr">
        <is>
          <t>MUS-043</t>
        </is>
      </c>
      <c r="D205" s="2" t="inlineStr">
        <is>
          <t>Polonya</t>
        </is>
      </c>
      <c r="E205" s="6" t="n">
        <v>45905</v>
      </c>
      <c r="F205" s="2" t="inlineStr">
        <is>
          <t>Karayolu</t>
        </is>
      </c>
      <c r="G205" s="2" t="inlineStr">
        <is>
          <t>Open Top 40FT</t>
        </is>
      </c>
      <c r="H205" s="5" t="n">
        <v>2449.92</v>
      </c>
      <c r="I205" s="5" t="n">
        <v>2531.87</v>
      </c>
      <c r="J205" s="3" t="n">
        <v>2448.45</v>
      </c>
      <c r="K205" s="3" t="n">
        <v>128.39</v>
      </c>
      <c r="L205" s="3" t="n">
        <v>329.88</v>
      </c>
      <c r="M205" s="3" t="n">
        <v>2906.72</v>
      </c>
      <c r="N205" s="5" t="n">
        <v>14</v>
      </c>
      <c r="O205" s="2" t="inlineStr">
        <is>
          <t>Yolda</t>
        </is>
      </c>
    </row>
    <row r="206">
      <c r="A206" s="2" t="inlineStr">
        <is>
          <t>SVK-0205</t>
        </is>
      </c>
      <c r="B206" s="2" t="inlineStr">
        <is>
          <t>SIP-0172</t>
        </is>
      </c>
      <c r="C206" s="2" t="inlineStr">
        <is>
          <t>MUS-063</t>
        </is>
      </c>
      <c r="D206" s="2" t="inlineStr">
        <is>
          <t>Polonya</t>
        </is>
      </c>
      <c r="E206" s="6" t="n">
        <v>45933</v>
      </c>
      <c r="F206" s="2" t="inlineStr">
        <is>
          <t>Havayolu</t>
        </is>
      </c>
      <c r="G206" s="2" t="inlineStr">
        <is>
          <t>40FT</t>
        </is>
      </c>
      <c r="H206" s="5" t="n">
        <v>831.12</v>
      </c>
      <c r="I206" s="5" t="n">
        <v>876.28</v>
      </c>
      <c r="J206" s="3" t="n">
        <v>1274.71</v>
      </c>
      <c r="K206" s="3" t="n">
        <v>59.43</v>
      </c>
      <c r="L206" s="3" t="n">
        <v>145.99</v>
      </c>
      <c r="M206" s="3" t="n">
        <v>1480.13</v>
      </c>
      <c r="N206" s="5" t="n">
        <v>13</v>
      </c>
      <c r="O206" s="2" t="inlineStr">
        <is>
          <t>Teslim Edildi</t>
        </is>
      </c>
    </row>
    <row r="207">
      <c r="A207" s="2" t="inlineStr">
        <is>
          <t>SVK-0206</t>
        </is>
      </c>
      <c r="B207" s="2" t="inlineStr">
        <is>
          <t>SIP-0172</t>
        </is>
      </c>
      <c r="C207" s="2" t="inlineStr">
        <is>
          <t>MUS-063</t>
        </is>
      </c>
      <c r="D207" s="2" t="inlineStr">
        <is>
          <t>Polonya</t>
        </is>
      </c>
      <c r="E207" s="6" t="n">
        <v>45934</v>
      </c>
      <c r="F207" s="2" t="inlineStr">
        <is>
          <t>Havayolu</t>
        </is>
      </c>
      <c r="G207" s="2" t="inlineStr">
        <is>
          <t>40FT</t>
        </is>
      </c>
      <c r="H207" s="5" t="n">
        <v>831.12</v>
      </c>
      <c r="I207" s="5" t="n">
        <v>883.01</v>
      </c>
      <c r="J207" s="3" t="n">
        <v>1387.58</v>
      </c>
      <c r="K207" s="3" t="n">
        <v>55.42</v>
      </c>
      <c r="L207" s="3" t="n">
        <v>162.58</v>
      </c>
      <c r="M207" s="3" t="n">
        <v>1605.58</v>
      </c>
      <c r="N207" s="5" t="n">
        <v>10</v>
      </c>
      <c r="O207" s="2" t="inlineStr">
        <is>
          <t>Yolda</t>
        </is>
      </c>
    </row>
    <row r="208">
      <c r="A208" s="2" t="inlineStr">
        <is>
          <t>SVK-0207</t>
        </is>
      </c>
      <c r="B208" s="2" t="inlineStr">
        <is>
          <t>SIP-0173</t>
        </is>
      </c>
      <c r="C208" s="2" t="inlineStr">
        <is>
          <t>MUS-028</t>
        </is>
      </c>
      <c r="D208" s="2" t="inlineStr">
        <is>
          <t>Italya</t>
        </is>
      </c>
      <c r="E208" s="6" t="n">
        <v>45908</v>
      </c>
      <c r="F208" s="2" t="inlineStr">
        <is>
          <t>Karayolu</t>
        </is>
      </c>
      <c r="G208" s="2" t="inlineStr">
        <is>
          <t>40FT</t>
        </is>
      </c>
      <c r="H208" s="5" t="n">
        <v>1047.77</v>
      </c>
      <c r="I208" s="5" t="n">
        <v>1107.1</v>
      </c>
      <c r="J208" s="3" t="n">
        <v>2259.22</v>
      </c>
      <c r="K208" s="3" t="n">
        <v>107.4</v>
      </c>
      <c r="L208" s="3" t="n">
        <v>207.12</v>
      </c>
      <c r="M208" s="3" t="n">
        <v>2573.74</v>
      </c>
      <c r="N208" s="5" t="n">
        <v>9</v>
      </c>
      <c r="O208" s="2" t="inlineStr">
        <is>
          <t>Gumrukte</t>
        </is>
      </c>
    </row>
    <row r="209">
      <c r="A209" s="2" t="inlineStr">
        <is>
          <t>SVK-0208</t>
        </is>
      </c>
      <c r="B209" s="2" t="inlineStr">
        <is>
          <t>SIP-0174</t>
        </is>
      </c>
      <c r="C209" s="2" t="inlineStr">
        <is>
          <t>MUS-022</t>
        </is>
      </c>
      <c r="D209" s="2" t="inlineStr">
        <is>
          <t>Hollanda</t>
        </is>
      </c>
      <c r="E209" s="6" t="n">
        <v>45927</v>
      </c>
      <c r="F209" s="2" t="inlineStr">
        <is>
          <t>Denizyolu</t>
        </is>
      </c>
      <c r="G209" s="2" t="inlineStr">
        <is>
          <t>Open Top 40FT</t>
        </is>
      </c>
      <c r="H209" s="5" t="n">
        <v>3627.07</v>
      </c>
      <c r="I209" s="5" t="n">
        <v>3786.21</v>
      </c>
      <c r="J209" s="3" t="n">
        <v>3100.82</v>
      </c>
      <c r="K209" s="3" t="n">
        <v>134.06</v>
      </c>
      <c r="L209" s="3" t="n">
        <v>288.74</v>
      </c>
      <c r="M209" s="3" t="n">
        <v>3523.62</v>
      </c>
      <c r="N209" s="5" t="n">
        <v>15</v>
      </c>
      <c r="O209" s="2" t="inlineStr">
        <is>
          <t>Teslim Edildi</t>
        </is>
      </c>
    </row>
    <row r="210">
      <c r="A210" s="2" t="inlineStr">
        <is>
          <t>SVK-0209</t>
        </is>
      </c>
      <c r="B210" s="2" t="inlineStr">
        <is>
          <t>SIP-0175</t>
        </is>
      </c>
      <c r="C210" s="2" t="inlineStr">
        <is>
          <t>MUS-061</t>
        </is>
      </c>
      <c r="D210" s="2" t="inlineStr">
        <is>
          <t>Kazakistan</t>
        </is>
      </c>
      <c r="E210" s="6" t="n">
        <v>45907</v>
      </c>
      <c r="F210" s="2" t="inlineStr">
        <is>
          <t>Karayolu</t>
        </is>
      </c>
      <c r="G210" s="2" t="inlineStr">
        <is>
          <t>40FT</t>
        </is>
      </c>
      <c r="H210" s="5" t="n">
        <v>874.52</v>
      </c>
      <c r="I210" s="5" t="n">
        <v>943.1799999999999</v>
      </c>
      <c r="J210" s="3" t="n">
        <v>2086.67</v>
      </c>
      <c r="K210" s="3" t="n">
        <v>85.52</v>
      </c>
      <c r="L210" s="3" t="n">
        <v>247.15</v>
      </c>
      <c r="M210" s="3" t="n">
        <v>2419.34</v>
      </c>
      <c r="N210" s="5" t="n">
        <v>16</v>
      </c>
      <c r="O210" s="2" t="inlineStr">
        <is>
          <t>Teslim Edildi</t>
        </is>
      </c>
    </row>
    <row r="211">
      <c r="A211" s="2" t="inlineStr">
        <is>
          <t>SVK-0210</t>
        </is>
      </c>
      <c r="B211" s="2" t="inlineStr">
        <is>
          <t>SIP-0175</t>
        </is>
      </c>
      <c r="C211" s="2" t="inlineStr">
        <is>
          <t>MUS-061</t>
        </is>
      </c>
      <c r="D211" s="2" t="inlineStr">
        <is>
          <t>Kazakistan</t>
        </is>
      </c>
      <c r="E211" s="6" t="n">
        <v>45908</v>
      </c>
      <c r="F211" s="2" t="inlineStr">
        <is>
          <t>Karayolu</t>
        </is>
      </c>
      <c r="G211" s="2" t="inlineStr">
        <is>
          <t>40FT</t>
        </is>
      </c>
      <c r="H211" s="5" t="n">
        <v>874.52</v>
      </c>
      <c r="I211" s="5" t="n">
        <v>936.28</v>
      </c>
      <c r="J211" s="3" t="n">
        <v>1590.28</v>
      </c>
      <c r="K211" s="3" t="n">
        <v>58.13</v>
      </c>
      <c r="L211" s="3" t="n">
        <v>287.13</v>
      </c>
      <c r="M211" s="3" t="n">
        <v>1935.54</v>
      </c>
      <c r="N211" s="5" t="n">
        <v>20</v>
      </c>
      <c r="O211" s="2" t="inlineStr">
        <is>
          <t>Teslim Edildi</t>
        </is>
      </c>
    </row>
    <row r="212">
      <c r="A212" s="2" t="inlineStr">
        <is>
          <t>SVK-0211</t>
        </is>
      </c>
      <c r="B212" s="2" t="inlineStr">
        <is>
          <t>SIP-0176</t>
        </is>
      </c>
      <c r="C212" s="2" t="inlineStr">
        <is>
          <t>MUS-068</t>
        </is>
      </c>
      <c r="D212" s="2" t="inlineStr">
        <is>
          <t>Hollanda</t>
        </is>
      </c>
      <c r="E212" s="6" t="n">
        <v>45903</v>
      </c>
      <c r="F212" s="2" t="inlineStr">
        <is>
          <t>Denizyolu</t>
        </is>
      </c>
      <c r="G212" s="2" t="inlineStr">
        <is>
          <t>40FT</t>
        </is>
      </c>
      <c r="H212" s="5" t="n">
        <v>1618.8</v>
      </c>
      <c r="I212" s="5" t="n">
        <v>1735.99</v>
      </c>
      <c r="J212" s="3" t="n">
        <v>2944.77</v>
      </c>
      <c r="K212" s="3" t="n">
        <v>158.7</v>
      </c>
      <c r="L212" s="3" t="n">
        <v>198.05</v>
      </c>
      <c r="M212" s="3" t="n">
        <v>3301.52</v>
      </c>
      <c r="N212" s="5" t="n">
        <v>9</v>
      </c>
      <c r="O212" s="2" t="inlineStr">
        <is>
          <t>Yolda</t>
        </is>
      </c>
    </row>
    <row r="213">
      <c r="A213" s="2" t="inlineStr">
        <is>
          <t>SVK-0212</t>
        </is>
      </c>
      <c r="B213" s="2" t="inlineStr">
        <is>
          <t>SIP-0177</t>
        </is>
      </c>
      <c r="C213" s="2" t="inlineStr">
        <is>
          <t>MUS-023</t>
        </is>
      </c>
      <c r="D213" s="2" t="inlineStr">
        <is>
          <t>Katar</t>
        </is>
      </c>
      <c r="E213" s="6" t="n">
        <v>45916</v>
      </c>
      <c r="F213" s="2" t="inlineStr">
        <is>
          <t>Denizyolu</t>
        </is>
      </c>
      <c r="G213" s="2" t="inlineStr">
        <is>
          <t>Open Top 40FT</t>
        </is>
      </c>
      <c r="H213" s="5" t="n">
        <v>2115.66</v>
      </c>
      <c r="I213" s="5" t="n">
        <v>2185.58</v>
      </c>
      <c r="J213" s="3" t="n">
        <v>4529.87</v>
      </c>
      <c r="K213" s="3" t="n">
        <v>262.94</v>
      </c>
      <c r="L213" s="3" t="n">
        <v>291.82</v>
      </c>
      <c r="M213" s="3" t="n">
        <v>5084.63</v>
      </c>
      <c r="N213" s="5" t="n">
        <v>20</v>
      </c>
      <c r="O213" s="2" t="inlineStr">
        <is>
          <t>Teslim Edildi</t>
        </is>
      </c>
    </row>
    <row r="214">
      <c r="A214" s="2" t="inlineStr">
        <is>
          <t>SVK-0213</t>
        </is>
      </c>
      <c r="B214" s="2" t="inlineStr">
        <is>
          <t>SIP-0178</t>
        </is>
      </c>
      <c r="C214" s="2" t="inlineStr">
        <is>
          <t>MUS-082</t>
        </is>
      </c>
      <c r="D214" s="2" t="inlineStr">
        <is>
          <t>Hollanda</t>
        </is>
      </c>
      <c r="E214" s="6" t="n">
        <v>45912</v>
      </c>
      <c r="F214" s="2" t="inlineStr">
        <is>
          <t>Denizyolu</t>
        </is>
      </c>
      <c r="G214" s="2" t="inlineStr">
        <is>
          <t>Open Top 40FT</t>
        </is>
      </c>
      <c r="H214" s="5" t="n">
        <v>2152.58</v>
      </c>
      <c r="I214" s="5" t="n">
        <v>2296.57</v>
      </c>
      <c r="J214" s="3" t="n">
        <v>2685.22</v>
      </c>
      <c r="K214" s="3" t="n">
        <v>109.17</v>
      </c>
      <c r="L214" s="3" t="n">
        <v>317.69</v>
      </c>
      <c r="M214" s="3" t="n">
        <v>3112.08</v>
      </c>
      <c r="N214" s="5" t="n">
        <v>13</v>
      </c>
      <c r="O214" s="2" t="inlineStr">
        <is>
          <t>Teslim Edildi</t>
        </is>
      </c>
    </row>
    <row r="215">
      <c r="A215" s="2" t="inlineStr">
        <is>
          <t>SVK-0214</t>
        </is>
      </c>
      <c r="B215" s="2" t="inlineStr">
        <is>
          <t>SIP-0179</t>
        </is>
      </c>
      <c r="C215" s="2" t="inlineStr">
        <is>
          <t>MUS-033</t>
        </is>
      </c>
      <c r="D215" s="2" t="inlineStr">
        <is>
          <t>Cezayir</t>
        </is>
      </c>
      <c r="E215" s="6" t="n">
        <v>45917</v>
      </c>
      <c r="F215" s="2" t="inlineStr">
        <is>
          <t>Denizyolu</t>
        </is>
      </c>
      <c r="G215" s="2" t="inlineStr">
        <is>
          <t>40FT</t>
        </is>
      </c>
      <c r="H215" s="5" t="n">
        <v>936.1</v>
      </c>
      <c r="I215" s="5" t="n">
        <v>997.78</v>
      </c>
      <c r="J215" s="3" t="n">
        <v>3597.28</v>
      </c>
      <c r="K215" s="3" t="n">
        <v>188.61</v>
      </c>
      <c r="L215" s="3" t="n">
        <v>490.98</v>
      </c>
      <c r="M215" s="3" t="n">
        <v>4276.87</v>
      </c>
      <c r="N215" s="5" t="n">
        <v>19</v>
      </c>
      <c r="O215" s="2" t="inlineStr">
        <is>
          <t>Teslim Edildi</t>
        </is>
      </c>
    </row>
    <row r="216">
      <c r="A216" s="2" t="inlineStr">
        <is>
          <t>SVK-0215</t>
        </is>
      </c>
      <c r="B216" s="2" t="inlineStr">
        <is>
          <t>SIP-0180</t>
        </is>
      </c>
      <c r="C216" s="2" t="inlineStr">
        <is>
          <t>MUS-030</t>
        </is>
      </c>
      <c r="D216" s="2" t="inlineStr">
        <is>
          <t>Polonya</t>
        </is>
      </c>
      <c r="E216" s="6" t="n">
        <v>45924</v>
      </c>
      <c r="F216" s="2" t="inlineStr">
        <is>
          <t>Karayolu</t>
        </is>
      </c>
      <c r="G216" s="2" t="inlineStr">
        <is>
          <t>20FT</t>
        </is>
      </c>
      <c r="H216" s="5" t="n">
        <v>434.54</v>
      </c>
      <c r="I216" s="5" t="n">
        <v>458.18</v>
      </c>
      <c r="J216" s="3" t="n">
        <v>2710.52</v>
      </c>
      <c r="K216" s="3" t="n">
        <v>83.37</v>
      </c>
      <c r="L216" s="3" t="n">
        <v>204.93</v>
      </c>
      <c r="M216" s="3" t="n">
        <v>2998.82</v>
      </c>
      <c r="N216" s="5" t="n">
        <v>13</v>
      </c>
      <c r="O216" s="2" t="inlineStr">
        <is>
          <t>Teslim Edildi</t>
        </is>
      </c>
    </row>
    <row r="217">
      <c r="A217" s="2" t="inlineStr">
        <is>
          <t>SVK-0216</t>
        </is>
      </c>
      <c r="B217" s="2" t="inlineStr">
        <is>
          <t>SIP-0181</t>
        </is>
      </c>
      <c r="C217" s="2" t="inlineStr">
        <is>
          <t>MUS-017</t>
        </is>
      </c>
      <c r="D217" s="2" t="inlineStr">
        <is>
          <t>Polonya</t>
        </is>
      </c>
      <c r="E217" s="6" t="n">
        <v>45931</v>
      </c>
      <c r="F217" s="2" t="inlineStr">
        <is>
          <t>Karayolu</t>
        </is>
      </c>
      <c r="G217" s="2" t="inlineStr">
        <is>
          <t>20FT</t>
        </is>
      </c>
      <c r="H217" s="5" t="n">
        <v>583.52</v>
      </c>
      <c r="I217" s="5" t="n">
        <v>601.1</v>
      </c>
      <c r="J217" s="3" t="n">
        <v>2244.06</v>
      </c>
      <c r="K217" s="3" t="n">
        <v>104.76</v>
      </c>
      <c r="L217" s="3" t="n">
        <v>304.34</v>
      </c>
      <c r="M217" s="3" t="n">
        <v>2653.16</v>
      </c>
      <c r="N217" s="5" t="n">
        <v>14</v>
      </c>
      <c r="O217" s="2" t="inlineStr">
        <is>
          <t>Teslim Edildi</t>
        </is>
      </c>
    </row>
    <row r="218">
      <c r="A218" s="2" t="inlineStr">
        <is>
          <t>SVK-0217</t>
        </is>
      </c>
      <c r="B218" s="2" t="inlineStr">
        <is>
          <t>SIP-0182</t>
        </is>
      </c>
      <c r="C218" s="2" t="inlineStr">
        <is>
          <t>MUS-072</t>
        </is>
      </c>
      <c r="D218" s="2" t="inlineStr">
        <is>
          <t>Polonya</t>
        </is>
      </c>
      <c r="E218" s="6" t="n">
        <v>45957</v>
      </c>
      <c r="F218" s="2" t="inlineStr">
        <is>
          <t>Denizyolu</t>
        </is>
      </c>
      <c r="G218" s="2" t="inlineStr">
        <is>
          <t>Open Top 40FT</t>
        </is>
      </c>
      <c r="H218" s="5" t="n">
        <v>2034.88</v>
      </c>
      <c r="I218" s="5" t="n">
        <v>2186.03</v>
      </c>
      <c r="J218" s="3" t="n">
        <v>2666.85</v>
      </c>
      <c r="K218" s="3" t="n">
        <v>140.58</v>
      </c>
      <c r="L218" s="3" t="n">
        <v>292.89</v>
      </c>
      <c r="M218" s="3" t="n">
        <v>3100.32</v>
      </c>
      <c r="N218" s="5" t="n">
        <v>13</v>
      </c>
      <c r="O218" s="2" t="inlineStr">
        <is>
          <t>Teslim Edildi</t>
        </is>
      </c>
    </row>
    <row r="219">
      <c r="A219" s="2" t="inlineStr">
        <is>
          <t>SVK-0218</t>
        </is>
      </c>
      <c r="B219" s="2" t="inlineStr">
        <is>
          <t>SIP-0183</t>
        </is>
      </c>
      <c r="C219" s="2" t="inlineStr">
        <is>
          <t>MUS-005</t>
        </is>
      </c>
      <c r="D219" s="2" t="inlineStr">
        <is>
          <t>Italya</t>
        </is>
      </c>
      <c r="E219" s="6" t="n">
        <v>45940</v>
      </c>
      <c r="F219" s="2" t="inlineStr">
        <is>
          <t>Karayolu</t>
        </is>
      </c>
      <c r="G219" s="2" t="inlineStr">
        <is>
          <t>Open Top 40FT</t>
        </is>
      </c>
      <c r="H219" s="5" t="n">
        <v>5982.89</v>
      </c>
      <c r="I219" s="5" t="n">
        <v>6217.96</v>
      </c>
      <c r="J219" s="3" t="n">
        <v>2136.43</v>
      </c>
      <c r="K219" s="3" t="n">
        <v>110.69</v>
      </c>
      <c r="L219" s="3" t="n">
        <v>281.94</v>
      </c>
      <c r="M219" s="3" t="n">
        <v>2529.06</v>
      </c>
      <c r="N219" s="5" t="n">
        <v>9</v>
      </c>
      <c r="O219" s="2" t="inlineStr">
        <is>
          <t>Teslim Edildi</t>
        </is>
      </c>
    </row>
    <row r="220">
      <c r="A220" s="2" t="inlineStr">
        <is>
          <t>SVK-0219</t>
        </is>
      </c>
      <c r="B220" s="2" t="inlineStr">
        <is>
          <t>SIP-0184</t>
        </is>
      </c>
      <c r="C220" s="2" t="inlineStr">
        <is>
          <t>MUS-051</t>
        </is>
      </c>
      <c r="D220" s="2" t="inlineStr">
        <is>
          <t>Hollanda</t>
        </is>
      </c>
      <c r="E220" s="6" t="n">
        <v>45916</v>
      </c>
      <c r="F220" s="2" t="inlineStr">
        <is>
          <t>Denizyolu</t>
        </is>
      </c>
      <c r="G220" s="2" t="inlineStr">
        <is>
          <t>Parsiyel</t>
        </is>
      </c>
      <c r="H220" s="5" t="n">
        <v>98.56</v>
      </c>
      <c r="I220" s="5" t="n">
        <v>103.31</v>
      </c>
      <c r="J220" s="3" t="n">
        <v>2791.31</v>
      </c>
      <c r="K220" s="3" t="n">
        <v>90.22</v>
      </c>
      <c r="L220" s="3" t="n">
        <v>295.59</v>
      </c>
      <c r="M220" s="3" t="n">
        <v>3177.12</v>
      </c>
      <c r="N220" s="5" t="n">
        <v>11</v>
      </c>
      <c r="O220" s="2" t="inlineStr">
        <is>
          <t>Teslim Edildi</t>
        </is>
      </c>
    </row>
    <row r="221">
      <c r="A221" s="2" t="inlineStr">
        <is>
          <t>SVK-0220</t>
        </is>
      </c>
      <c r="B221" s="2" t="inlineStr">
        <is>
          <t>SIP-0185</t>
        </is>
      </c>
      <c r="C221" s="2" t="inlineStr">
        <is>
          <t>MUS-054</t>
        </is>
      </c>
      <c r="D221" s="2" t="inlineStr">
        <is>
          <t>Katar</t>
        </is>
      </c>
      <c r="E221" s="6" t="n">
        <v>45937</v>
      </c>
      <c r="F221" s="2" t="inlineStr">
        <is>
          <t>Denizyolu</t>
        </is>
      </c>
      <c r="G221" s="2" t="inlineStr">
        <is>
          <t>Open Top 40FT</t>
        </is>
      </c>
      <c r="H221" s="5" t="n">
        <v>2209.04</v>
      </c>
      <c r="I221" s="5" t="n">
        <v>2323.08</v>
      </c>
      <c r="J221" s="3" t="n">
        <v>3596.4</v>
      </c>
      <c r="K221" s="3" t="n">
        <v>145.28</v>
      </c>
      <c r="L221" s="3" t="n">
        <v>299.19</v>
      </c>
      <c r="M221" s="3" t="n">
        <v>4040.87</v>
      </c>
      <c r="N221" s="5" t="n">
        <v>22</v>
      </c>
      <c r="O221" s="2" t="inlineStr">
        <is>
          <t>Teslim Edildi</t>
        </is>
      </c>
    </row>
    <row r="222">
      <c r="A222" s="2" t="inlineStr">
        <is>
          <t>SVK-0221</t>
        </is>
      </c>
      <c r="B222" s="2" t="inlineStr">
        <is>
          <t>SIP-0186</t>
        </is>
      </c>
      <c r="C222" s="2" t="inlineStr">
        <is>
          <t>MUS-031</t>
        </is>
      </c>
      <c r="D222" s="2" t="inlineStr">
        <is>
          <t>Polonya</t>
        </is>
      </c>
      <c r="E222" s="6" t="n">
        <v>46003</v>
      </c>
      <c r="F222" s="2" t="inlineStr">
        <is>
          <t>Karayolu</t>
        </is>
      </c>
      <c r="G222" s="2" t="inlineStr">
        <is>
          <t>40FT</t>
        </is>
      </c>
      <c r="H222" s="5" t="n">
        <v>1576.3</v>
      </c>
      <c r="I222" s="5" t="n">
        <v>1633.45</v>
      </c>
      <c r="J222" s="3" t="n">
        <v>2994.72</v>
      </c>
      <c r="K222" s="3" t="n">
        <v>119.62</v>
      </c>
      <c r="L222" s="3" t="n">
        <v>243.47</v>
      </c>
      <c r="M222" s="3" t="n">
        <v>3357.81</v>
      </c>
      <c r="N222" s="5" t="n">
        <v>13</v>
      </c>
      <c r="O222" s="2" t="inlineStr">
        <is>
          <t>Yolda</t>
        </is>
      </c>
    </row>
    <row r="223">
      <c r="A223" s="2" t="inlineStr">
        <is>
          <t>SVK-0222</t>
        </is>
      </c>
      <c r="B223" s="2" t="inlineStr">
        <is>
          <t>SIP-0187</t>
        </is>
      </c>
      <c r="C223" s="2" t="inlineStr">
        <is>
          <t>MUS-026</t>
        </is>
      </c>
      <c r="D223" s="2" t="inlineStr">
        <is>
          <t>Romanya</t>
        </is>
      </c>
      <c r="E223" s="6" t="n">
        <v>45974</v>
      </c>
      <c r="F223" s="2" t="inlineStr">
        <is>
          <t>Karayolu</t>
        </is>
      </c>
      <c r="G223" s="2" t="inlineStr">
        <is>
          <t>40FT</t>
        </is>
      </c>
      <c r="H223" s="5" t="n">
        <v>649.41</v>
      </c>
      <c r="I223" s="5" t="n">
        <v>693.13</v>
      </c>
      <c r="J223" s="3" t="n">
        <v>927.6799999999999</v>
      </c>
      <c r="K223" s="3" t="n">
        <v>44.29</v>
      </c>
      <c r="L223" s="3" t="n">
        <v>167.81</v>
      </c>
      <c r="M223" s="3" t="n">
        <v>1139.78</v>
      </c>
      <c r="N223" s="5" t="n">
        <v>4</v>
      </c>
      <c r="O223" s="2" t="inlineStr">
        <is>
          <t>Teslim Edildi</t>
        </is>
      </c>
    </row>
    <row r="224">
      <c r="A224" s="2" t="inlineStr">
        <is>
          <t>SVK-0223</t>
        </is>
      </c>
      <c r="B224" s="2" t="inlineStr">
        <is>
          <t>SIP-0187</t>
        </is>
      </c>
      <c r="C224" s="2" t="inlineStr">
        <is>
          <t>MUS-026</t>
        </is>
      </c>
      <c r="D224" s="2" t="inlineStr">
        <is>
          <t>Romanya</t>
        </is>
      </c>
      <c r="E224" s="6" t="n">
        <v>45975</v>
      </c>
      <c r="F224" s="2" t="inlineStr">
        <is>
          <t>Karayolu</t>
        </is>
      </c>
      <c r="G224" s="2" t="inlineStr">
        <is>
          <t>40FT</t>
        </is>
      </c>
      <c r="H224" s="5" t="n">
        <v>649.41</v>
      </c>
      <c r="I224" s="5" t="n">
        <v>686.67</v>
      </c>
      <c r="J224" s="3" t="n">
        <v>895.28</v>
      </c>
      <c r="K224" s="3" t="n">
        <v>52.43</v>
      </c>
      <c r="L224" s="3" t="n">
        <v>129.77</v>
      </c>
      <c r="M224" s="3" t="n">
        <v>1077.48</v>
      </c>
      <c r="N224" s="5" t="n">
        <v>8</v>
      </c>
      <c r="O224" s="2" t="inlineStr">
        <is>
          <t>Yolda</t>
        </is>
      </c>
    </row>
    <row r="225">
      <c r="A225" s="2" t="inlineStr">
        <is>
          <t>SVK-0224</t>
        </is>
      </c>
      <c r="B225" s="2" t="inlineStr">
        <is>
          <t>SIP-0188</t>
        </is>
      </c>
      <c r="C225" s="2" t="inlineStr">
        <is>
          <t>MUS-019</t>
        </is>
      </c>
      <c r="D225" s="2" t="inlineStr">
        <is>
          <t>Suudi Arabistan</t>
        </is>
      </c>
      <c r="E225" s="6" t="n">
        <v>45962</v>
      </c>
      <c r="F225" s="2" t="inlineStr">
        <is>
          <t>Denizyolu</t>
        </is>
      </c>
      <c r="G225" s="2" t="inlineStr">
        <is>
          <t>40FT</t>
        </is>
      </c>
      <c r="H225" s="5" t="n">
        <v>486.28</v>
      </c>
      <c r="I225" s="5" t="n">
        <v>506</v>
      </c>
      <c r="J225" s="3" t="n">
        <v>2186.66</v>
      </c>
      <c r="K225" s="3" t="n">
        <v>117.46</v>
      </c>
      <c r="L225" s="3" t="n">
        <v>197.33</v>
      </c>
      <c r="M225" s="3" t="n">
        <v>2501.45</v>
      </c>
      <c r="N225" s="5" t="n">
        <v>24</v>
      </c>
      <c r="O225" s="2" t="inlineStr">
        <is>
          <t>Yolda</t>
        </is>
      </c>
    </row>
    <row r="226">
      <c r="A226" s="2" t="inlineStr">
        <is>
          <t>SVK-0225</t>
        </is>
      </c>
      <c r="B226" s="2" t="inlineStr">
        <is>
          <t>SIP-0188</t>
        </is>
      </c>
      <c r="C226" s="2" t="inlineStr">
        <is>
          <t>MUS-019</t>
        </is>
      </c>
      <c r="D226" s="2" t="inlineStr">
        <is>
          <t>Suudi Arabistan</t>
        </is>
      </c>
      <c r="E226" s="6" t="n">
        <v>45963</v>
      </c>
      <c r="F226" s="2" t="inlineStr">
        <is>
          <t>Denizyolu</t>
        </is>
      </c>
      <c r="G226" s="2" t="inlineStr">
        <is>
          <t>40FT</t>
        </is>
      </c>
      <c r="H226" s="5" t="n">
        <v>486.28</v>
      </c>
      <c r="I226" s="5" t="n">
        <v>505.2</v>
      </c>
      <c r="J226" s="3" t="n">
        <v>1929.77</v>
      </c>
      <c r="K226" s="3" t="n">
        <v>64.58</v>
      </c>
      <c r="L226" s="3" t="n">
        <v>197.95</v>
      </c>
      <c r="M226" s="3" t="n">
        <v>2192.3</v>
      </c>
      <c r="N226" s="5" t="n">
        <v>25</v>
      </c>
      <c r="O226" s="2" t="inlineStr">
        <is>
          <t>Teslim Edildi</t>
        </is>
      </c>
    </row>
    <row r="227">
      <c r="A227" s="2" t="inlineStr">
        <is>
          <t>SVK-0226</t>
        </is>
      </c>
      <c r="B227" s="2" t="inlineStr">
        <is>
          <t>SIP-0189</t>
        </is>
      </c>
      <c r="C227" s="2" t="inlineStr">
        <is>
          <t>MUS-058</t>
        </is>
      </c>
      <c r="D227" s="2" t="inlineStr">
        <is>
          <t>Polonya</t>
        </is>
      </c>
      <c r="E227" s="6" t="n">
        <v>45947</v>
      </c>
      <c r="F227" s="2" t="inlineStr">
        <is>
          <t>Karayolu</t>
        </is>
      </c>
      <c r="G227" s="2" t="inlineStr">
        <is>
          <t>40FT</t>
        </is>
      </c>
      <c r="H227" s="5" t="n">
        <v>1655.06</v>
      </c>
      <c r="I227" s="5" t="n">
        <v>1723.91</v>
      </c>
      <c r="J227" s="3" t="n">
        <v>2757.65</v>
      </c>
      <c r="K227" s="3" t="n">
        <v>108.88</v>
      </c>
      <c r="L227" s="3" t="n">
        <v>239.66</v>
      </c>
      <c r="M227" s="3" t="n">
        <v>3106.19</v>
      </c>
      <c r="N227" s="5" t="n">
        <v>12</v>
      </c>
      <c r="O227" s="2" t="inlineStr">
        <is>
          <t>Teslim Edildi</t>
        </is>
      </c>
    </row>
    <row r="228">
      <c r="A228" s="2" t="inlineStr">
        <is>
          <t>SVK-0227</t>
        </is>
      </c>
      <c r="B228" s="2" t="inlineStr">
        <is>
          <t>SIP-0190</t>
        </is>
      </c>
      <c r="C228" s="2" t="inlineStr">
        <is>
          <t>MUS-029</t>
        </is>
      </c>
      <c r="D228" s="2" t="inlineStr">
        <is>
          <t>Cezayir</t>
        </is>
      </c>
      <c r="E228" s="6" t="n">
        <v>45953</v>
      </c>
      <c r="F228" s="2" t="inlineStr">
        <is>
          <t>Denizyolu</t>
        </is>
      </c>
      <c r="G228" s="2" t="inlineStr">
        <is>
          <t>40FT</t>
        </is>
      </c>
      <c r="H228" s="5" t="n">
        <v>807.8099999999999</v>
      </c>
      <c r="I228" s="5" t="n">
        <v>854.83</v>
      </c>
      <c r="J228" s="3" t="n">
        <v>3575.11</v>
      </c>
      <c r="K228" s="3" t="n">
        <v>170.61</v>
      </c>
      <c r="L228" s="3" t="n">
        <v>561.4299999999999</v>
      </c>
      <c r="M228" s="3" t="n">
        <v>4307.15</v>
      </c>
      <c r="N228" s="5" t="n">
        <v>19</v>
      </c>
      <c r="O228" s="2" t="inlineStr">
        <is>
          <t>Teslim Edildi</t>
        </is>
      </c>
    </row>
    <row r="229">
      <c r="A229" s="2" t="inlineStr">
        <is>
          <t>SVK-0228</t>
        </is>
      </c>
      <c r="B229" s="2" t="inlineStr">
        <is>
          <t>SIP-0191</t>
        </is>
      </c>
      <c r="C229" s="2" t="inlineStr">
        <is>
          <t>MUS-049</t>
        </is>
      </c>
      <c r="D229" s="2" t="inlineStr">
        <is>
          <t>Suudi Arabistan</t>
        </is>
      </c>
      <c r="E229" s="6" t="n">
        <v>45938</v>
      </c>
      <c r="F229" s="2" t="inlineStr">
        <is>
          <t>Denizyolu</t>
        </is>
      </c>
      <c r="G229" s="2" t="inlineStr">
        <is>
          <t>40FT</t>
        </is>
      </c>
      <c r="H229" s="5" t="n">
        <v>1031.48</v>
      </c>
      <c r="I229" s="5" t="n">
        <v>1107.84</v>
      </c>
      <c r="J229" s="3" t="n">
        <v>4173</v>
      </c>
      <c r="K229" s="3" t="n">
        <v>212.3</v>
      </c>
      <c r="L229" s="3" t="n">
        <v>304.42</v>
      </c>
      <c r="M229" s="3" t="n">
        <v>4689.72</v>
      </c>
      <c r="N229" s="5" t="n">
        <v>23</v>
      </c>
      <c r="O229" s="2" t="inlineStr">
        <is>
          <t>Teslim Edildi</t>
        </is>
      </c>
    </row>
    <row r="230">
      <c r="A230" s="2" t="inlineStr">
        <is>
          <t>SVK-0229</t>
        </is>
      </c>
      <c r="B230" s="2" t="inlineStr">
        <is>
          <t>SIP-0192</t>
        </is>
      </c>
      <c r="C230" s="2" t="inlineStr">
        <is>
          <t>MUS-020</t>
        </is>
      </c>
      <c r="D230" s="2" t="inlineStr">
        <is>
          <t>Cezayir</t>
        </is>
      </c>
      <c r="E230" s="6" t="n">
        <v>45942</v>
      </c>
      <c r="F230" s="2" t="inlineStr">
        <is>
          <t>Denizyolu</t>
        </is>
      </c>
      <c r="G230" s="2" t="inlineStr">
        <is>
          <t>20FT</t>
        </is>
      </c>
      <c r="H230" s="5" t="n">
        <v>291.01</v>
      </c>
      <c r="I230" s="5" t="n">
        <v>308.4</v>
      </c>
      <c r="J230" s="3" t="n">
        <v>1743.4</v>
      </c>
      <c r="K230" s="3" t="n">
        <v>99.25</v>
      </c>
      <c r="L230" s="3" t="n">
        <v>199.32</v>
      </c>
      <c r="M230" s="3" t="n">
        <v>2041.97</v>
      </c>
      <c r="N230" s="5" t="n">
        <v>19</v>
      </c>
      <c r="O230" s="2" t="inlineStr">
        <is>
          <t>Teslim Edildi</t>
        </is>
      </c>
    </row>
    <row r="231">
      <c r="A231" s="2" t="inlineStr">
        <is>
          <t>SVK-0230</t>
        </is>
      </c>
      <c r="B231" s="2" t="inlineStr">
        <is>
          <t>SIP-0192</t>
        </is>
      </c>
      <c r="C231" s="2" t="inlineStr">
        <is>
          <t>MUS-020</t>
        </is>
      </c>
      <c r="D231" s="2" t="inlineStr">
        <is>
          <t>Cezayir</t>
        </is>
      </c>
      <c r="E231" s="6" t="n">
        <v>45943</v>
      </c>
      <c r="F231" s="2" t="inlineStr">
        <is>
          <t>Denizyolu</t>
        </is>
      </c>
      <c r="G231" s="2" t="inlineStr">
        <is>
          <t>20FT</t>
        </is>
      </c>
      <c r="H231" s="5" t="n">
        <v>291.01</v>
      </c>
      <c r="I231" s="5" t="n">
        <v>309.9</v>
      </c>
      <c r="J231" s="3" t="n">
        <v>1637.66</v>
      </c>
      <c r="K231" s="3" t="n">
        <v>74</v>
      </c>
      <c r="L231" s="3" t="n">
        <v>323.54</v>
      </c>
      <c r="M231" s="3" t="n">
        <v>2035.2</v>
      </c>
      <c r="N231" s="5" t="n">
        <v>21</v>
      </c>
      <c r="O231" s="2" t="inlineStr">
        <is>
          <t>Yolda</t>
        </is>
      </c>
    </row>
    <row r="232">
      <c r="A232" s="2" t="inlineStr">
        <is>
          <t>SVK-0231</t>
        </is>
      </c>
      <c r="B232" s="2" t="inlineStr">
        <is>
          <t>SIP-0193</t>
        </is>
      </c>
      <c r="C232" s="2" t="inlineStr">
        <is>
          <t>MUS-006</t>
        </is>
      </c>
      <c r="D232" s="2" t="inlineStr">
        <is>
          <t>Azerbaycan</t>
        </is>
      </c>
      <c r="E232" s="6" t="n">
        <v>45945</v>
      </c>
      <c r="F232" s="2" t="inlineStr">
        <is>
          <t>Denizyolu</t>
        </is>
      </c>
      <c r="G232" s="2" t="inlineStr">
        <is>
          <t>Open Top 40FT</t>
        </is>
      </c>
      <c r="H232" s="5" t="n">
        <v>3255.21</v>
      </c>
      <c r="I232" s="5" t="n">
        <v>3446.87</v>
      </c>
      <c r="J232" s="3" t="n">
        <v>2223.21</v>
      </c>
      <c r="K232" s="3" t="n">
        <v>118.5</v>
      </c>
      <c r="L232" s="3" t="n">
        <v>458.51</v>
      </c>
      <c r="M232" s="3" t="n">
        <v>2800.22</v>
      </c>
      <c r="N232" s="5" t="n">
        <v>8</v>
      </c>
      <c r="O232" s="2" t="inlineStr">
        <is>
          <t>Gumrukte</t>
        </is>
      </c>
    </row>
    <row r="233">
      <c r="A233" s="2" t="inlineStr">
        <is>
          <t>SVK-0232</t>
        </is>
      </c>
      <c r="B233" s="2" t="inlineStr">
        <is>
          <t>SIP-0194</t>
        </is>
      </c>
      <c r="C233" s="2" t="inlineStr">
        <is>
          <t>MUS-026</t>
        </is>
      </c>
      <c r="D233" s="2" t="inlineStr">
        <is>
          <t>Romanya</t>
        </is>
      </c>
      <c r="E233" s="6" t="n">
        <v>45938</v>
      </c>
      <c r="F233" s="2" t="inlineStr">
        <is>
          <t>Karayolu</t>
        </is>
      </c>
      <c r="G233" s="2" t="inlineStr">
        <is>
          <t>Open Top 40FT</t>
        </is>
      </c>
      <c r="H233" s="5" t="n">
        <v>2000.9</v>
      </c>
      <c r="I233" s="5" t="n">
        <v>2082.62</v>
      </c>
      <c r="J233" s="3" t="n">
        <v>1515.24</v>
      </c>
      <c r="K233" s="3" t="n">
        <v>87.78</v>
      </c>
      <c r="L233" s="3" t="n">
        <v>335.61</v>
      </c>
      <c r="M233" s="3" t="n">
        <v>1938.63</v>
      </c>
      <c r="N233" s="5" t="n">
        <v>3</v>
      </c>
      <c r="O233" s="2" t="inlineStr">
        <is>
          <t>Teslim Edildi</t>
        </is>
      </c>
    </row>
    <row r="234">
      <c r="A234" s="2" t="inlineStr">
        <is>
          <t>SVK-0233</t>
        </is>
      </c>
      <c r="B234" s="2" t="inlineStr">
        <is>
          <t>SIP-0195</t>
        </is>
      </c>
      <c r="C234" s="2" t="inlineStr">
        <is>
          <t>MUS-036</t>
        </is>
      </c>
      <c r="D234" s="2" t="inlineStr">
        <is>
          <t>Cezayir</t>
        </is>
      </c>
      <c r="E234" s="6" t="n">
        <v>46020</v>
      </c>
      <c r="F234" s="2" t="inlineStr">
        <is>
          <t>Denizyolu</t>
        </is>
      </c>
      <c r="G234" s="2" t="inlineStr">
        <is>
          <t>Open Top 40FT</t>
        </is>
      </c>
      <c r="H234" s="5" t="n">
        <v>2029.66</v>
      </c>
      <c r="I234" s="5" t="n">
        <v>2165.13</v>
      </c>
      <c r="J234" s="3" t="n">
        <v>3514.96</v>
      </c>
      <c r="K234" s="3" t="n">
        <v>133.14</v>
      </c>
      <c r="L234" s="3" t="n">
        <v>454.37</v>
      </c>
      <c r="M234" s="3" t="n">
        <v>4102.47</v>
      </c>
      <c r="N234" s="5" t="n">
        <v>18</v>
      </c>
      <c r="O234" s="2" t="inlineStr">
        <is>
          <t>Gumrukte</t>
        </is>
      </c>
    </row>
    <row r="235">
      <c r="A235" s="2" t="inlineStr">
        <is>
          <t>SVK-0234</t>
        </is>
      </c>
      <c r="B235" s="2" t="inlineStr">
        <is>
          <t>SIP-0196</t>
        </is>
      </c>
      <c r="C235" s="2" t="inlineStr">
        <is>
          <t>MUS-068</t>
        </is>
      </c>
      <c r="D235" s="2" t="inlineStr">
        <is>
          <t>Hollanda</t>
        </is>
      </c>
      <c r="E235" s="6" t="n">
        <v>45978</v>
      </c>
      <c r="F235" s="2" t="inlineStr">
        <is>
          <t>Karayolu</t>
        </is>
      </c>
      <c r="G235" s="2" t="inlineStr">
        <is>
          <t>40FT</t>
        </is>
      </c>
      <c r="H235" s="5" t="n">
        <v>1399.97</v>
      </c>
      <c r="I235" s="5" t="n">
        <v>1486.44</v>
      </c>
      <c r="J235" s="3" t="n">
        <v>3118.24</v>
      </c>
      <c r="K235" s="3" t="n">
        <v>183.81</v>
      </c>
      <c r="L235" s="3" t="n">
        <v>302.34</v>
      </c>
      <c r="M235" s="3" t="n">
        <v>3604.39</v>
      </c>
      <c r="N235" s="5" t="n">
        <v>12</v>
      </c>
      <c r="O235" s="2" t="inlineStr">
        <is>
          <t>Teslim Edildi</t>
        </is>
      </c>
    </row>
    <row r="236">
      <c r="A236" s="2" t="inlineStr">
        <is>
          <t>SVK-0235</t>
        </is>
      </c>
      <c r="B236" s="2" t="inlineStr">
        <is>
          <t>SIP-0197</t>
        </is>
      </c>
      <c r="C236" s="2" t="inlineStr">
        <is>
          <t>MUS-007</t>
        </is>
      </c>
      <c r="D236" s="2" t="inlineStr">
        <is>
          <t>BAE</t>
        </is>
      </c>
      <c r="E236" s="6" t="n">
        <v>46003</v>
      </c>
      <c r="F236" s="2" t="inlineStr">
        <is>
          <t>Karayolu</t>
        </is>
      </c>
      <c r="G236" s="2" t="inlineStr">
        <is>
          <t>20FT</t>
        </is>
      </c>
      <c r="H236" s="5" t="n">
        <v>399.92</v>
      </c>
      <c r="I236" s="5" t="n">
        <v>412.74</v>
      </c>
      <c r="J236" s="3" t="n">
        <v>4348.52</v>
      </c>
      <c r="K236" s="3" t="n">
        <v>137.89</v>
      </c>
      <c r="L236" s="3" t="n">
        <v>412.66</v>
      </c>
      <c r="M236" s="3" t="n">
        <v>4899.07</v>
      </c>
      <c r="N236" s="5" t="n">
        <v>17</v>
      </c>
      <c r="O236" s="2" t="inlineStr">
        <is>
          <t>Teslim Edildi</t>
        </is>
      </c>
    </row>
    <row r="237">
      <c r="A237" s="2" t="inlineStr">
        <is>
          <t>SVK-0236</t>
        </is>
      </c>
      <c r="B237" s="2" t="inlineStr">
        <is>
          <t>SIP-0198</t>
        </is>
      </c>
      <c r="C237" s="2" t="inlineStr">
        <is>
          <t>MUS-021</t>
        </is>
      </c>
      <c r="D237" s="2" t="inlineStr">
        <is>
          <t>Hollanda</t>
        </is>
      </c>
      <c r="E237" s="6" t="n">
        <v>46010</v>
      </c>
      <c r="F237" s="2" t="inlineStr">
        <is>
          <t>Karayolu</t>
        </is>
      </c>
      <c r="G237" s="2" t="inlineStr">
        <is>
          <t>Open Top 40FT</t>
        </is>
      </c>
      <c r="H237" s="5" t="n">
        <v>2373.24</v>
      </c>
      <c r="I237" s="5" t="n">
        <v>2526.3</v>
      </c>
      <c r="J237" s="3" t="n">
        <v>2641.09</v>
      </c>
      <c r="K237" s="3" t="n">
        <v>132.57</v>
      </c>
      <c r="L237" s="3" t="n">
        <v>281.72</v>
      </c>
      <c r="M237" s="3" t="n">
        <v>3055.38</v>
      </c>
      <c r="N237" s="5" t="n">
        <v>16</v>
      </c>
      <c r="O237" s="2" t="inlineStr">
        <is>
          <t>Yolda</t>
        </is>
      </c>
    </row>
    <row r="238">
      <c r="A238" s="2" t="inlineStr">
        <is>
          <t>SVK-0237</t>
        </is>
      </c>
      <c r="B238" s="2" t="inlineStr">
        <is>
          <t>SIP-0199</t>
        </is>
      </c>
      <c r="C238" s="2" t="inlineStr">
        <is>
          <t>MUS-040</t>
        </is>
      </c>
      <c r="D238" s="2" t="inlineStr">
        <is>
          <t>Suudi Arabistan</t>
        </is>
      </c>
      <c r="E238" s="6" t="n">
        <v>45971</v>
      </c>
      <c r="F238" s="2" t="inlineStr">
        <is>
          <t>Denizyolu</t>
        </is>
      </c>
      <c r="G238" s="2" t="inlineStr">
        <is>
          <t>Open Top 40FT</t>
        </is>
      </c>
      <c r="H238" s="5" t="n">
        <v>1998.53</v>
      </c>
      <c r="I238" s="5" t="n">
        <v>2145.29</v>
      </c>
      <c r="J238" s="3" t="n">
        <v>3710.2</v>
      </c>
      <c r="K238" s="3" t="n">
        <v>175.65</v>
      </c>
      <c r="L238" s="3" t="n">
        <v>379.55</v>
      </c>
      <c r="M238" s="3" t="n">
        <v>4265.4</v>
      </c>
      <c r="N238" s="5" t="n">
        <v>20</v>
      </c>
      <c r="O238" s="2" t="inlineStr">
        <is>
          <t>Teslim Edildi</t>
        </is>
      </c>
    </row>
    <row r="239">
      <c r="A239" s="2" t="inlineStr">
        <is>
          <t>SVK-0238</t>
        </is>
      </c>
      <c r="B239" s="2" t="inlineStr">
        <is>
          <t>SIP-0200</t>
        </is>
      </c>
      <c r="C239" s="2" t="inlineStr">
        <is>
          <t>MUS-053</t>
        </is>
      </c>
      <c r="D239" s="2" t="inlineStr">
        <is>
          <t>Hollanda</t>
        </is>
      </c>
      <c r="E239" s="6" t="n">
        <v>46002</v>
      </c>
      <c r="F239" s="2" t="inlineStr">
        <is>
          <t>Karayolu</t>
        </is>
      </c>
      <c r="G239" s="2" t="inlineStr">
        <is>
          <t>Open Top 40FT</t>
        </is>
      </c>
      <c r="H239" s="5" t="n">
        <v>5001.73</v>
      </c>
      <c r="I239" s="5" t="n">
        <v>5245.39</v>
      </c>
      <c r="J239" s="3" t="n">
        <v>2505.54</v>
      </c>
      <c r="K239" s="3" t="n">
        <v>75.25</v>
      </c>
      <c r="L239" s="3" t="n">
        <v>195.61</v>
      </c>
      <c r="M239" s="3" t="n">
        <v>2776.4</v>
      </c>
      <c r="N239" s="5" t="n">
        <v>16</v>
      </c>
      <c r="O239" s="2" t="inlineStr">
        <is>
          <t>Teslim Edildi</t>
        </is>
      </c>
    </row>
    <row r="240">
      <c r="A240" s="2" t="inlineStr">
        <is>
          <t>SVK-0239</t>
        </is>
      </c>
      <c r="B240" s="2" t="inlineStr">
        <is>
          <t>SIP-0201</t>
        </is>
      </c>
      <c r="C240" s="2" t="inlineStr">
        <is>
          <t>MUS-051</t>
        </is>
      </c>
      <c r="D240" s="2" t="inlineStr">
        <is>
          <t>Hollanda</t>
        </is>
      </c>
      <c r="E240" s="6" t="n">
        <v>45975</v>
      </c>
      <c r="F240" s="2" t="inlineStr">
        <is>
          <t>Denizyolu</t>
        </is>
      </c>
      <c r="G240" s="2" t="inlineStr">
        <is>
          <t>40FT</t>
        </is>
      </c>
      <c r="H240" s="5" t="n">
        <v>875.3</v>
      </c>
      <c r="I240" s="5" t="n">
        <v>916.83</v>
      </c>
      <c r="J240" s="3" t="n">
        <v>2373.67</v>
      </c>
      <c r="K240" s="3" t="n">
        <v>89.59999999999999</v>
      </c>
      <c r="L240" s="3" t="n">
        <v>211.58</v>
      </c>
      <c r="M240" s="3" t="n">
        <v>2674.85</v>
      </c>
      <c r="N240" s="5" t="n">
        <v>9</v>
      </c>
      <c r="O240" s="2" t="inlineStr">
        <is>
          <t>Yolda</t>
        </is>
      </c>
    </row>
    <row r="241">
      <c r="A241" s="2" t="inlineStr">
        <is>
          <t>SVK-0240</t>
        </is>
      </c>
      <c r="B241" s="2" t="inlineStr">
        <is>
          <t>SIP-0202</t>
        </is>
      </c>
      <c r="C241" s="2" t="inlineStr">
        <is>
          <t>MUS-035</t>
        </is>
      </c>
      <c r="D241" s="2" t="inlineStr">
        <is>
          <t>Romanya</t>
        </is>
      </c>
      <c r="E241" s="6" t="n">
        <v>45970</v>
      </c>
      <c r="F241" s="2" t="inlineStr">
        <is>
          <t>Denizyolu</t>
        </is>
      </c>
      <c r="G241" s="2" t="inlineStr">
        <is>
          <t>40FT</t>
        </is>
      </c>
      <c r="H241" s="5" t="n">
        <v>746.4400000000001</v>
      </c>
      <c r="I241" s="5" t="n">
        <v>804.04</v>
      </c>
      <c r="J241" s="3" t="n">
        <v>859</v>
      </c>
      <c r="K241" s="3" t="n">
        <v>47.14</v>
      </c>
      <c r="L241" s="3" t="n">
        <v>101.08</v>
      </c>
      <c r="M241" s="3" t="n">
        <v>1007.22</v>
      </c>
      <c r="N241" s="5" t="n">
        <v>5</v>
      </c>
      <c r="O241" s="2" t="inlineStr">
        <is>
          <t>Gumrukte</t>
        </is>
      </c>
    </row>
    <row r="242">
      <c r="A242" s="2" t="inlineStr">
        <is>
          <t>SVK-0241</t>
        </is>
      </c>
      <c r="B242" s="2" t="inlineStr">
        <is>
          <t>SIP-0202</t>
        </is>
      </c>
      <c r="C242" s="2" t="inlineStr">
        <is>
          <t>MUS-035</t>
        </is>
      </c>
      <c r="D242" s="2" t="inlineStr">
        <is>
          <t>Romanya</t>
        </is>
      </c>
      <c r="E242" s="6" t="n">
        <v>45971</v>
      </c>
      <c r="F242" s="2" t="inlineStr">
        <is>
          <t>Denizyolu</t>
        </is>
      </c>
      <c r="G242" s="2" t="inlineStr">
        <is>
          <t>40FT</t>
        </is>
      </c>
      <c r="H242" s="5" t="n">
        <v>746.4400000000001</v>
      </c>
      <c r="I242" s="5" t="n">
        <v>775.27</v>
      </c>
      <c r="J242" s="3" t="n">
        <v>894.89</v>
      </c>
      <c r="K242" s="3" t="n">
        <v>48.82</v>
      </c>
      <c r="L242" s="3" t="n">
        <v>144.89</v>
      </c>
      <c r="M242" s="3" t="n">
        <v>1088.6</v>
      </c>
      <c r="N242" s="5" t="n">
        <v>8</v>
      </c>
      <c r="O242" s="2" t="inlineStr">
        <is>
          <t>Teslim Edildi</t>
        </is>
      </c>
    </row>
    <row r="243">
      <c r="A243" s="2" t="inlineStr">
        <is>
          <t>SVK-0242</t>
        </is>
      </c>
      <c r="B243" s="2" t="inlineStr">
        <is>
          <t>SIP-0203</t>
        </is>
      </c>
      <c r="C243" s="2" t="inlineStr">
        <is>
          <t>MUS-008</t>
        </is>
      </c>
      <c r="D243" s="2" t="inlineStr">
        <is>
          <t>Azerbaycan</t>
        </is>
      </c>
      <c r="E243" s="6" t="n">
        <v>45972</v>
      </c>
      <c r="F243" s="2" t="inlineStr">
        <is>
          <t>Karayolu</t>
        </is>
      </c>
      <c r="G243" s="2" t="inlineStr">
        <is>
          <t>40FT</t>
        </is>
      </c>
      <c r="H243" s="5" t="n">
        <v>757.3200000000001</v>
      </c>
      <c r="I243" s="5" t="n">
        <v>792.9</v>
      </c>
      <c r="J243" s="3" t="n">
        <v>1184.41</v>
      </c>
      <c r="K243" s="3" t="n">
        <v>52.3</v>
      </c>
      <c r="L243" s="3" t="n">
        <v>188.52</v>
      </c>
      <c r="M243" s="3" t="n">
        <v>1425.23</v>
      </c>
      <c r="N243" s="5" t="n">
        <v>10</v>
      </c>
      <c r="O243" s="2" t="inlineStr">
        <is>
          <t>Teslim Edildi</t>
        </is>
      </c>
    </row>
    <row r="244">
      <c r="A244" s="2" t="inlineStr">
        <is>
          <t>SVK-0243</t>
        </is>
      </c>
      <c r="B244" s="2" t="inlineStr">
        <is>
          <t>SIP-0203</t>
        </is>
      </c>
      <c r="C244" s="2" t="inlineStr">
        <is>
          <t>MUS-008</t>
        </is>
      </c>
      <c r="D244" s="2" t="inlineStr">
        <is>
          <t>Azerbaycan</t>
        </is>
      </c>
      <c r="E244" s="6" t="n">
        <v>45973</v>
      </c>
      <c r="F244" s="2" t="inlineStr">
        <is>
          <t>Karayolu</t>
        </is>
      </c>
      <c r="G244" s="2" t="inlineStr">
        <is>
          <t>40FT</t>
        </is>
      </c>
      <c r="H244" s="5" t="n">
        <v>757.3200000000001</v>
      </c>
      <c r="I244" s="5" t="n">
        <v>804.48</v>
      </c>
      <c r="J244" s="3" t="n">
        <v>1253.14</v>
      </c>
      <c r="K244" s="3" t="n">
        <v>65.91</v>
      </c>
      <c r="L244" s="3" t="n">
        <v>183.08</v>
      </c>
      <c r="M244" s="3" t="n">
        <v>1502.13</v>
      </c>
      <c r="N244" s="5" t="n">
        <v>7</v>
      </c>
      <c r="O244" s="2" t="inlineStr">
        <is>
          <t>Teslim Edildi</t>
        </is>
      </c>
    </row>
    <row r="245">
      <c r="A245" s="2" t="inlineStr">
        <is>
          <t>SVK-0244</t>
        </is>
      </c>
      <c r="B245" s="2" t="inlineStr">
        <is>
          <t>SIP-0204</t>
        </is>
      </c>
      <c r="C245" s="2" t="inlineStr">
        <is>
          <t>MUS-053</t>
        </is>
      </c>
      <c r="D245" s="2" t="inlineStr">
        <is>
          <t>Hollanda</t>
        </is>
      </c>
      <c r="E245" s="6" t="n">
        <v>45963</v>
      </c>
      <c r="F245" s="2" t="inlineStr">
        <is>
          <t>Denizyolu</t>
        </is>
      </c>
      <c r="G245" s="2" t="inlineStr">
        <is>
          <t>Open Top 40FT</t>
        </is>
      </c>
      <c r="H245" s="5" t="n">
        <v>2263.67</v>
      </c>
      <c r="I245" s="5" t="n">
        <v>2404.11</v>
      </c>
      <c r="J245" s="3" t="n">
        <v>2300.64</v>
      </c>
      <c r="K245" s="3" t="n">
        <v>73.84999999999999</v>
      </c>
      <c r="L245" s="3" t="n">
        <v>222.21</v>
      </c>
      <c r="M245" s="3" t="n">
        <v>2596.7</v>
      </c>
      <c r="N245" s="5" t="n">
        <v>16</v>
      </c>
      <c r="O245" s="2" t="inlineStr">
        <is>
          <t>Gumrukte</t>
        </is>
      </c>
    </row>
    <row r="246">
      <c r="A246" s="2" t="inlineStr">
        <is>
          <t>SVK-0245</t>
        </is>
      </c>
      <c r="B246" s="2" t="inlineStr">
        <is>
          <t>SIP-0205</t>
        </is>
      </c>
      <c r="C246" s="2" t="inlineStr">
        <is>
          <t>MUS-048</t>
        </is>
      </c>
      <c r="D246" s="2" t="inlineStr">
        <is>
          <t>Hollanda</t>
        </is>
      </c>
      <c r="E246" s="6" t="n">
        <v>45977</v>
      </c>
      <c r="F246" s="2" t="inlineStr">
        <is>
          <t>Denizyolu</t>
        </is>
      </c>
      <c r="G246" s="2" t="inlineStr">
        <is>
          <t>40FT</t>
        </is>
      </c>
      <c r="H246" s="5" t="n">
        <v>1772.59</v>
      </c>
      <c r="I246" s="5" t="n">
        <v>1881.21</v>
      </c>
      <c r="J246" s="3" t="n">
        <v>3050.69</v>
      </c>
      <c r="K246" s="3" t="n">
        <v>135.03</v>
      </c>
      <c r="L246" s="3" t="n">
        <v>284.33</v>
      </c>
      <c r="M246" s="3" t="n">
        <v>3470.05</v>
      </c>
      <c r="N246" s="5" t="n">
        <v>13</v>
      </c>
      <c r="O246" s="2" t="inlineStr">
        <is>
          <t>Teslim Edildi</t>
        </is>
      </c>
    </row>
    <row r="247">
      <c r="A247" s="2" t="inlineStr">
        <is>
          <t>SVK-0246</t>
        </is>
      </c>
      <c r="B247" s="2" t="inlineStr">
        <is>
          <t>SIP-0206</t>
        </is>
      </c>
      <c r="C247" s="2" t="inlineStr">
        <is>
          <t>MUS-016</t>
        </is>
      </c>
      <c r="D247" s="2" t="inlineStr">
        <is>
          <t>Italya</t>
        </is>
      </c>
      <c r="E247" s="6" t="n">
        <v>45975</v>
      </c>
      <c r="F247" s="2" t="inlineStr">
        <is>
          <t>Karayolu</t>
        </is>
      </c>
      <c r="G247" s="2" t="inlineStr">
        <is>
          <t>40FT</t>
        </is>
      </c>
      <c r="H247" s="5" t="n">
        <v>795.84</v>
      </c>
      <c r="I247" s="5" t="n">
        <v>828.2</v>
      </c>
      <c r="J247" s="3" t="n">
        <v>2434.92</v>
      </c>
      <c r="K247" s="3" t="n">
        <v>129.5</v>
      </c>
      <c r="L247" s="3" t="n">
        <v>265.51</v>
      </c>
      <c r="M247" s="3" t="n">
        <v>2829.93</v>
      </c>
      <c r="N247" s="5" t="n">
        <v>8</v>
      </c>
      <c r="O247" s="2" t="inlineStr">
        <is>
          <t>Yolda</t>
        </is>
      </c>
    </row>
    <row r="248">
      <c r="A248" s="2" t="inlineStr">
        <is>
          <t>SVK-0247</t>
        </is>
      </c>
      <c r="B248" s="2" t="inlineStr">
        <is>
          <t>SIP-0207</t>
        </is>
      </c>
      <c r="C248" s="2" t="inlineStr">
        <is>
          <t>MUS-034</t>
        </is>
      </c>
      <c r="D248" s="2" t="inlineStr">
        <is>
          <t>Italya</t>
        </is>
      </c>
      <c r="E248" s="6" t="n">
        <v>45978</v>
      </c>
      <c r="F248" s="2" t="inlineStr">
        <is>
          <t>Karayolu</t>
        </is>
      </c>
      <c r="G248" s="2" t="inlineStr">
        <is>
          <t>Open Top 40FT</t>
        </is>
      </c>
      <c r="H248" s="5" t="n">
        <v>2204.98</v>
      </c>
      <c r="I248" s="5" t="n">
        <v>2369.44</v>
      </c>
      <c r="J248" s="3" t="n">
        <v>2601.25</v>
      </c>
      <c r="K248" s="3" t="n">
        <v>149.51</v>
      </c>
      <c r="L248" s="3" t="n">
        <v>271.44</v>
      </c>
      <c r="M248" s="3" t="n">
        <v>3022.2</v>
      </c>
      <c r="N248" s="5" t="n">
        <v>10</v>
      </c>
      <c r="O248" s="2" t="inlineStr">
        <is>
          <t>Gumrukte</t>
        </is>
      </c>
    </row>
    <row r="249">
      <c r="A249" s="2" t="inlineStr">
        <is>
          <t>SVK-0248</t>
        </is>
      </c>
      <c r="B249" s="2" t="inlineStr">
        <is>
          <t>SIP-0208</t>
        </is>
      </c>
      <c r="C249" s="2" t="inlineStr">
        <is>
          <t>MUS-033</t>
        </is>
      </c>
      <c r="D249" s="2" t="inlineStr">
        <is>
          <t>Cezayir</t>
        </is>
      </c>
      <c r="E249" s="6" t="n">
        <v>45983</v>
      </c>
      <c r="F249" s="2" t="inlineStr">
        <is>
          <t>Denizyolu</t>
        </is>
      </c>
      <c r="G249" s="2" t="inlineStr">
        <is>
          <t>40FT</t>
        </is>
      </c>
      <c r="H249" s="5" t="n">
        <v>1219.53</v>
      </c>
      <c r="I249" s="5" t="n">
        <v>1312.49</v>
      </c>
      <c r="J249" s="3" t="n">
        <v>3361.97</v>
      </c>
      <c r="K249" s="3" t="n">
        <v>125.22</v>
      </c>
      <c r="L249" s="3" t="n">
        <v>628.97</v>
      </c>
      <c r="M249" s="3" t="n">
        <v>4116.16</v>
      </c>
      <c r="N249" s="5" t="n">
        <v>17</v>
      </c>
      <c r="O249" s="2" t="inlineStr">
        <is>
          <t>Yolda</t>
        </is>
      </c>
    </row>
    <row r="250">
      <c r="A250" s="2" t="inlineStr">
        <is>
          <t>SVK-0249</t>
        </is>
      </c>
      <c r="B250" s="2" t="inlineStr">
        <is>
          <t>SIP-0209</t>
        </is>
      </c>
      <c r="C250" s="2" t="inlineStr">
        <is>
          <t>MUS-043</t>
        </is>
      </c>
      <c r="D250" s="2" t="inlineStr">
        <is>
          <t>Polonya</t>
        </is>
      </c>
      <c r="E250" s="6" t="n">
        <v>46004</v>
      </c>
      <c r="F250" s="2" t="inlineStr">
        <is>
          <t>Karayolu</t>
        </is>
      </c>
      <c r="G250" s="2" t="inlineStr">
        <is>
          <t>Open Top 40FT</t>
        </is>
      </c>
      <c r="H250" s="5" t="n">
        <v>4961.11</v>
      </c>
      <c r="I250" s="5" t="n">
        <v>5274.17</v>
      </c>
      <c r="J250" s="3" t="n">
        <v>2530.42</v>
      </c>
      <c r="K250" s="3" t="n">
        <v>125.98</v>
      </c>
      <c r="L250" s="3" t="n">
        <v>255.89</v>
      </c>
      <c r="M250" s="3" t="n">
        <v>2912.29</v>
      </c>
      <c r="N250" s="5" t="n">
        <v>8</v>
      </c>
      <c r="O250" s="2" t="inlineStr">
        <is>
          <t>Yolda</t>
        </is>
      </c>
    </row>
    <row r="251">
      <c r="A251" s="2" t="inlineStr">
        <is>
          <t>SVK-0250</t>
        </is>
      </c>
      <c r="B251" s="2" t="inlineStr">
        <is>
          <t>SIP-0210</t>
        </is>
      </c>
      <c r="C251" s="2" t="inlineStr">
        <is>
          <t>MUS-084</t>
        </is>
      </c>
      <c r="D251" s="2" t="inlineStr">
        <is>
          <t>Polonya</t>
        </is>
      </c>
      <c r="E251" s="6" t="n">
        <v>45991</v>
      </c>
      <c r="F251" s="2" t="inlineStr">
        <is>
          <t>Denizyolu</t>
        </is>
      </c>
      <c r="G251" s="2" t="inlineStr">
        <is>
          <t>Open Top 40FT</t>
        </is>
      </c>
      <c r="H251" s="5" t="n">
        <v>1878.11</v>
      </c>
      <c r="I251" s="5" t="n">
        <v>1986.64</v>
      </c>
      <c r="J251" s="3" t="n">
        <v>2960.13</v>
      </c>
      <c r="K251" s="3" t="n">
        <v>175.18</v>
      </c>
      <c r="L251" s="3" t="n">
        <v>224.84</v>
      </c>
      <c r="M251" s="3" t="n">
        <v>3360.15</v>
      </c>
      <c r="N251" s="5" t="n">
        <v>9</v>
      </c>
      <c r="O251" s="2" t="inlineStr">
        <is>
          <t>Gumrukte</t>
        </is>
      </c>
    </row>
    <row r="252">
      <c r="A252" s="2" t="inlineStr">
        <is>
          <t>SVK-0251</t>
        </is>
      </c>
      <c r="B252" s="2" t="inlineStr">
        <is>
          <t>SIP-0211</t>
        </is>
      </c>
      <c r="C252" s="2" t="inlineStr">
        <is>
          <t>MUS-015</t>
        </is>
      </c>
      <c r="D252" s="2" t="inlineStr">
        <is>
          <t>Polonya</t>
        </is>
      </c>
      <c r="E252" s="6" t="n">
        <v>45993</v>
      </c>
      <c r="F252" s="2" t="inlineStr">
        <is>
          <t>Karayolu</t>
        </is>
      </c>
      <c r="G252" s="2" t="inlineStr">
        <is>
          <t>Open Top 40FT</t>
        </is>
      </c>
      <c r="H252" s="5" t="n">
        <v>1897.56</v>
      </c>
      <c r="I252" s="5" t="n">
        <v>2041.72</v>
      </c>
      <c r="J252" s="3" t="n">
        <v>2942.62</v>
      </c>
      <c r="K252" s="3" t="n">
        <v>158.82</v>
      </c>
      <c r="L252" s="3" t="n">
        <v>263.71</v>
      </c>
      <c r="M252" s="3" t="n">
        <v>3365.15</v>
      </c>
      <c r="N252" s="5" t="n">
        <v>11</v>
      </c>
      <c r="O252" s="2" t="inlineStr">
        <is>
          <t>Teslim Edildi</t>
        </is>
      </c>
    </row>
    <row r="253">
      <c r="A253" s="2" t="inlineStr">
        <is>
          <t>SVK-0252</t>
        </is>
      </c>
      <c r="B253" s="2" t="inlineStr">
        <is>
          <t>SIP-0212</t>
        </is>
      </c>
      <c r="C253" s="2" t="inlineStr">
        <is>
          <t>MUS-054</t>
        </is>
      </c>
      <c r="D253" s="2" t="inlineStr">
        <is>
          <t>Katar</t>
        </is>
      </c>
      <c r="E253" s="6" t="n">
        <v>46013</v>
      </c>
      <c r="F253" s="2" t="inlineStr">
        <is>
          <t>Havayolu</t>
        </is>
      </c>
      <c r="G253" s="2" t="inlineStr">
        <is>
          <t>20FT</t>
        </is>
      </c>
      <c r="H253" s="5" t="n">
        <v>129.02</v>
      </c>
      <c r="I253" s="5" t="n">
        <v>137.89</v>
      </c>
      <c r="J253" s="3" t="n">
        <v>1883.68</v>
      </c>
      <c r="K253" s="3" t="n">
        <v>57.42</v>
      </c>
      <c r="L253" s="3" t="n">
        <v>246.49</v>
      </c>
      <c r="M253" s="3" t="n">
        <v>2187.59</v>
      </c>
      <c r="N253" s="5" t="n">
        <v>21</v>
      </c>
      <c r="O253" s="2" t="inlineStr">
        <is>
          <t>Teslim Edildi</t>
        </is>
      </c>
    </row>
    <row r="254">
      <c r="A254" s="2" t="inlineStr">
        <is>
          <t>SVK-0253</t>
        </is>
      </c>
      <c r="B254" s="2" t="inlineStr">
        <is>
          <t>SIP-0212</t>
        </is>
      </c>
      <c r="C254" s="2" t="inlineStr">
        <is>
          <t>MUS-054</t>
        </is>
      </c>
      <c r="D254" s="2" t="inlineStr">
        <is>
          <t>Katar</t>
        </is>
      </c>
      <c r="E254" s="6" t="n">
        <v>46014</v>
      </c>
      <c r="F254" s="2" t="inlineStr">
        <is>
          <t>Havayolu</t>
        </is>
      </c>
      <c r="G254" s="2" t="inlineStr">
        <is>
          <t>20FT</t>
        </is>
      </c>
      <c r="H254" s="5" t="n">
        <v>129.02</v>
      </c>
      <c r="I254" s="5" t="n">
        <v>135.74</v>
      </c>
      <c r="J254" s="3" t="n">
        <v>2351.17</v>
      </c>
      <c r="K254" s="3" t="n">
        <v>115.19</v>
      </c>
      <c r="L254" s="3" t="n">
        <v>194.75</v>
      </c>
      <c r="M254" s="3" t="n">
        <v>2661.11</v>
      </c>
      <c r="N254" s="5" t="n">
        <v>24</v>
      </c>
      <c r="O254" s="2" t="inlineStr">
        <is>
          <t>Teslim Edildi</t>
        </is>
      </c>
    </row>
    <row r="255">
      <c r="A255" s="2" t="inlineStr">
        <is>
          <t>SVK-0254</t>
        </is>
      </c>
      <c r="B255" s="2" t="inlineStr">
        <is>
          <t>SIP-0213</t>
        </is>
      </c>
      <c r="C255" s="2" t="inlineStr">
        <is>
          <t>MUS-023</t>
        </is>
      </c>
      <c r="D255" s="2" t="inlineStr">
        <is>
          <t>Katar</t>
        </is>
      </c>
      <c r="E255" s="6" t="n">
        <v>46019</v>
      </c>
      <c r="F255" s="2" t="inlineStr">
        <is>
          <t>Denizyolu</t>
        </is>
      </c>
      <c r="G255" s="2" t="inlineStr">
        <is>
          <t>40FT</t>
        </is>
      </c>
      <c r="H255" s="5" t="n">
        <v>1693.19</v>
      </c>
      <c r="I255" s="5" t="n">
        <v>1794.51</v>
      </c>
      <c r="J255" s="3" t="n">
        <v>4206.83</v>
      </c>
      <c r="K255" s="3" t="n">
        <v>199.43</v>
      </c>
      <c r="L255" s="3" t="n">
        <v>482.29</v>
      </c>
      <c r="M255" s="3" t="n">
        <v>4888.55</v>
      </c>
      <c r="N255" s="5" t="n">
        <v>25</v>
      </c>
      <c r="O255" s="2" t="inlineStr">
        <is>
          <t>Teslim Edildi</t>
        </is>
      </c>
    </row>
    <row r="256">
      <c r="A256" s="2" t="inlineStr">
        <is>
          <t>SVK-0255</t>
        </is>
      </c>
      <c r="B256" s="2" t="inlineStr">
        <is>
          <t>SIP-0214</t>
        </is>
      </c>
      <c r="C256" s="2" t="inlineStr">
        <is>
          <t>MUS-060</t>
        </is>
      </c>
      <c r="D256" s="2" t="inlineStr">
        <is>
          <t>Italya</t>
        </is>
      </c>
      <c r="E256" s="6" t="n">
        <v>45991</v>
      </c>
      <c r="F256" s="2" t="inlineStr">
        <is>
          <t>Havayolu</t>
        </is>
      </c>
      <c r="G256" s="2" t="inlineStr">
        <is>
          <t>Open Top 40FT</t>
        </is>
      </c>
      <c r="H256" s="5" t="n">
        <v>2042.41</v>
      </c>
      <c r="I256" s="5" t="n">
        <v>2178.33</v>
      </c>
      <c r="J256" s="3" t="n">
        <v>2404.81</v>
      </c>
      <c r="K256" s="3" t="n">
        <v>128.88</v>
      </c>
      <c r="L256" s="3" t="n">
        <v>204.29</v>
      </c>
      <c r="M256" s="3" t="n">
        <v>2737.98</v>
      </c>
      <c r="N256" s="5" t="n">
        <v>13</v>
      </c>
      <c r="O256" s="2" t="inlineStr">
        <is>
          <t>Teslim Edildi</t>
        </is>
      </c>
    </row>
    <row r="257">
      <c r="A257" s="2" t="inlineStr">
        <is>
          <t>SVK-0256</t>
        </is>
      </c>
      <c r="B257" s="2" t="inlineStr">
        <is>
          <t>SIP-0215</t>
        </is>
      </c>
      <c r="C257" s="2" t="inlineStr">
        <is>
          <t>MUS-039</t>
        </is>
      </c>
      <c r="D257" s="2" t="inlineStr">
        <is>
          <t>BAE</t>
        </is>
      </c>
      <c r="E257" s="6" t="n">
        <v>46033</v>
      </c>
      <c r="F257" s="2" t="inlineStr">
        <is>
          <t>Denizyolu</t>
        </is>
      </c>
      <c r="G257" s="2" t="inlineStr">
        <is>
          <t>Open Top 40FT</t>
        </is>
      </c>
      <c r="H257" s="5" t="n">
        <v>2078.46</v>
      </c>
      <c r="I257" s="5" t="n">
        <v>2233.91</v>
      </c>
      <c r="J257" s="3" t="n">
        <v>4184.18</v>
      </c>
      <c r="K257" s="3" t="n">
        <v>231.09</v>
      </c>
      <c r="L257" s="3" t="n">
        <v>469.75</v>
      </c>
      <c r="M257" s="3" t="n">
        <v>4885.02</v>
      </c>
      <c r="N257" s="5" t="n">
        <v>16</v>
      </c>
      <c r="O257" s="2" t="inlineStr">
        <is>
          <t>Teslim Edildi</t>
        </is>
      </c>
    </row>
    <row r="258">
      <c r="A258" s="2" t="inlineStr">
        <is>
          <t>SVK-0257</t>
        </is>
      </c>
      <c r="B258" s="2" t="inlineStr">
        <is>
          <t>SIP-0216</t>
        </is>
      </c>
      <c r="C258" s="2" t="inlineStr">
        <is>
          <t>MUS-032</t>
        </is>
      </c>
      <c r="D258" s="2" t="inlineStr">
        <is>
          <t>BAE</t>
        </is>
      </c>
      <c r="E258" s="6" t="n">
        <v>46040</v>
      </c>
      <c r="F258" s="2" t="inlineStr">
        <is>
          <t>Denizyolu</t>
        </is>
      </c>
      <c r="G258" s="2" t="inlineStr">
        <is>
          <t>40FT</t>
        </is>
      </c>
      <c r="H258" s="5" t="n">
        <v>327.31</v>
      </c>
      <c r="I258" s="5" t="n">
        <v>344.95</v>
      </c>
      <c r="J258" s="3" t="n">
        <v>2066.32</v>
      </c>
      <c r="K258" s="3" t="n">
        <v>116.12</v>
      </c>
      <c r="L258" s="3" t="n">
        <v>147.2</v>
      </c>
      <c r="M258" s="3" t="n">
        <v>2329.64</v>
      </c>
      <c r="N258" s="5" t="n">
        <v>17</v>
      </c>
      <c r="O258" s="2" t="inlineStr">
        <is>
          <t>Teslim Edildi</t>
        </is>
      </c>
    </row>
    <row r="259">
      <c r="A259" s="2" t="inlineStr">
        <is>
          <t>SVK-0258</t>
        </is>
      </c>
      <c r="B259" s="2" t="inlineStr">
        <is>
          <t>SIP-0216</t>
        </is>
      </c>
      <c r="C259" s="2" t="inlineStr">
        <is>
          <t>MUS-032</t>
        </is>
      </c>
      <c r="D259" s="2" t="inlineStr">
        <is>
          <t>BAE</t>
        </is>
      </c>
      <c r="E259" s="6" t="n">
        <v>46041</v>
      </c>
      <c r="F259" s="2" t="inlineStr">
        <is>
          <t>Denizyolu</t>
        </is>
      </c>
      <c r="G259" s="2" t="inlineStr">
        <is>
          <t>40FT</t>
        </is>
      </c>
      <c r="H259" s="5" t="n">
        <v>327.31</v>
      </c>
      <c r="I259" s="5" t="n">
        <v>350.18</v>
      </c>
      <c r="J259" s="3" t="n">
        <v>1852.87</v>
      </c>
      <c r="K259" s="3" t="n">
        <v>106.66</v>
      </c>
      <c r="L259" s="3" t="n">
        <v>210.64</v>
      </c>
      <c r="M259" s="3" t="n">
        <v>2170.17</v>
      </c>
      <c r="N259" s="5" t="n">
        <v>22</v>
      </c>
      <c r="O259" s="2" t="inlineStr">
        <is>
          <t>Yolda</t>
        </is>
      </c>
    </row>
    <row r="260">
      <c r="A260" s="2" t="inlineStr">
        <is>
          <t>SVK-0259</t>
        </is>
      </c>
      <c r="B260" s="2" t="inlineStr">
        <is>
          <t>SIP-0217</t>
        </is>
      </c>
      <c r="C260" s="2" t="inlineStr">
        <is>
          <t>MUS-056</t>
        </is>
      </c>
      <c r="D260" s="2" t="inlineStr">
        <is>
          <t>Italya</t>
        </is>
      </c>
      <c r="E260" s="6" t="n">
        <v>46018</v>
      </c>
      <c r="F260" s="2" t="inlineStr">
        <is>
          <t>Karayolu</t>
        </is>
      </c>
      <c r="G260" s="2" t="inlineStr">
        <is>
          <t>40FT</t>
        </is>
      </c>
      <c r="H260" s="5" t="n">
        <v>729.45</v>
      </c>
      <c r="I260" s="5" t="n">
        <v>783.77</v>
      </c>
      <c r="J260" s="3" t="n">
        <v>2850.29</v>
      </c>
      <c r="K260" s="3" t="n">
        <v>91.54000000000001</v>
      </c>
      <c r="L260" s="3" t="n">
        <v>322.45</v>
      </c>
      <c r="M260" s="3" t="n">
        <v>3264.28</v>
      </c>
      <c r="N260" s="5" t="n">
        <v>11</v>
      </c>
      <c r="O260" s="2" t="inlineStr">
        <is>
          <t>Yolda</t>
        </is>
      </c>
    </row>
    <row r="261">
      <c r="A261" s="2" t="inlineStr">
        <is>
          <t>SVK-0260</t>
        </is>
      </c>
      <c r="B261" s="2" t="inlineStr">
        <is>
          <t>SIP-0218</t>
        </is>
      </c>
      <c r="C261" s="2" t="inlineStr">
        <is>
          <t>MUS-003</t>
        </is>
      </c>
      <c r="D261" s="2" t="inlineStr">
        <is>
          <t>BAE</t>
        </is>
      </c>
      <c r="E261" s="6" t="n">
        <v>46007</v>
      </c>
      <c r="F261" s="2" t="inlineStr">
        <is>
          <t>Denizyolu</t>
        </is>
      </c>
      <c r="G261" s="2" t="inlineStr">
        <is>
          <t>Open Top 40FT</t>
        </is>
      </c>
      <c r="H261" s="5" t="n">
        <v>2167.37</v>
      </c>
      <c r="I261" s="5" t="n">
        <v>2336.61</v>
      </c>
      <c r="J261" s="3" t="n">
        <v>3586.87</v>
      </c>
      <c r="K261" s="3" t="n">
        <v>158.41</v>
      </c>
      <c r="L261" s="3" t="n">
        <v>403.18</v>
      </c>
      <c r="M261" s="3" t="n">
        <v>4148.46</v>
      </c>
      <c r="N261" s="5" t="n">
        <v>20</v>
      </c>
      <c r="O261" s="2" t="inlineStr">
        <is>
          <t>Teslim Edildi</t>
        </is>
      </c>
    </row>
    <row r="262">
      <c r="A262" s="2" t="inlineStr">
        <is>
          <t>SVK-0261</t>
        </is>
      </c>
      <c r="B262" s="2" t="inlineStr">
        <is>
          <t>SIP-0219</t>
        </is>
      </c>
      <c r="C262" s="2" t="inlineStr">
        <is>
          <t>MUS-029</t>
        </is>
      </c>
      <c r="D262" s="2" t="inlineStr">
        <is>
          <t>Cezayir</t>
        </is>
      </c>
      <c r="E262" s="6" t="n">
        <v>46049</v>
      </c>
      <c r="F262" s="2" t="inlineStr">
        <is>
          <t>Karayolu</t>
        </is>
      </c>
      <c r="G262" s="2" t="inlineStr">
        <is>
          <t>Open Top 40FT</t>
        </is>
      </c>
      <c r="H262" s="5" t="n">
        <v>3039.86</v>
      </c>
      <c r="I262" s="5" t="n">
        <v>3222.06</v>
      </c>
      <c r="J262" s="3" t="n">
        <v>3838.29</v>
      </c>
      <c r="K262" s="3" t="n">
        <v>123.59</v>
      </c>
      <c r="L262" s="3" t="n">
        <v>571.35</v>
      </c>
      <c r="M262" s="3" t="n">
        <v>4533.23</v>
      </c>
      <c r="N262" s="5" t="n">
        <v>20</v>
      </c>
      <c r="O262" s="2" t="inlineStr">
        <is>
          <t>Teslim Edildi</t>
        </is>
      </c>
    </row>
    <row r="263">
      <c r="A263" s="2" t="inlineStr">
        <is>
          <t>SVK-0262</t>
        </is>
      </c>
      <c r="B263" s="2" t="inlineStr">
        <is>
          <t>SIP-0220</t>
        </is>
      </c>
      <c r="C263" s="2" t="inlineStr">
        <is>
          <t>MUS-068</t>
        </is>
      </c>
      <c r="D263" s="2" t="inlineStr">
        <is>
          <t>Hollanda</t>
        </is>
      </c>
      <c r="E263" s="6" t="n">
        <v>45999</v>
      </c>
      <c r="F263" s="2" t="inlineStr">
        <is>
          <t>Denizyolu</t>
        </is>
      </c>
      <c r="G263" s="2" t="inlineStr">
        <is>
          <t>40FT</t>
        </is>
      </c>
      <c r="H263" s="5" t="n">
        <v>1626.55</v>
      </c>
      <c r="I263" s="5" t="n">
        <v>1750.55</v>
      </c>
      <c r="J263" s="3" t="n">
        <v>2297.83</v>
      </c>
      <c r="K263" s="3" t="n">
        <v>69.7</v>
      </c>
      <c r="L263" s="3" t="n">
        <v>236.7</v>
      </c>
      <c r="M263" s="3" t="n">
        <v>2604.23</v>
      </c>
      <c r="N263" s="5" t="n">
        <v>10</v>
      </c>
      <c r="O263" s="2" t="inlineStr">
        <is>
          <t>Teslim Edildi</t>
        </is>
      </c>
    </row>
    <row r="264">
      <c r="A264" s="2" t="inlineStr">
        <is>
          <t>SVK-0263</t>
        </is>
      </c>
      <c r="B264" s="2" t="inlineStr">
        <is>
          <t>SIP-0221</t>
        </is>
      </c>
      <c r="C264" s="2" t="inlineStr">
        <is>
          <t>MUS-062</t>
        </is>
      </c>
      <c r="D264" s="2" t="inlineStr">
        <is>
          <t>Azerbaycan</t>
        </is>
      </c>
      <c r="E264" s="6" t="n">
        <v>46014</v>
      </c>
      <c r="F264" s="2" t="inlineStr">
        <is>
          <t>Karayolu</t>
        </is>
      </c>
      <c r="G264" s="2" t="inlineStr">
        <is>
          <t>20FT</t>
        </is>
      </c>
      <c r="H264" s="5" t="n">
        <v>141.42</v>
      </c>
      <c r="I264" s="5" t="n">
        <v>147.63</v>
      </c>
      <c r="J264" s="3" t="n">
        <v>1113.89</v>
      </c>
      <c r="K264" s="3" t="n">
        <v>52.26</v>
      </c>
      <c r="L264" s="3" t="n">
        <v>201.56</v>
      </c>
      <c r="M264" s="3" t="n">
        <v>1367.71</v>
      </c>
      <c r="N264" s="5" t="n">
        <v>12</v>
      </c>
      <c r="O264" s="2" t="inlineStr">
        <is>
          <t>Teslim Edildi</t>
        </is>
      </c>
    </row>
    <row r="265">
      <c r="A265" s="2" t="inlineStr">
        <is>
          <t>SVK-0264</t>
        </is>
      </c>
      <c r="B265" s="2" t="inlineStr">
        <is>
          <t>SIP-0221</t>
        </is>
      </c>
      <c r="C265" s="2" t="inlineStr">
        <is>
          <t>MUS-062</t>
        </is>
      </c>
      <c r="D265" s="2" t="inlineStr">
        <is>
          <t>Azerbaycan</t>
        </is>
      </c>
      <c r="E265" s="6" t="n">
        <v>46015</v>
      </c>
      <c r="F265" s="2" t="inlineStr">
        <is>
          <t>Karayolu</t>
        </is>
      </c>
      <c r="G265" s="2" t="inlineStr">
        <is>
          <t>20FT</t>
        </is>
      </c>
      <c r="H265" s="5" t="n">
        <v>141.42</v>
      </c>
      <c r="I265" s="5" t="n">
        <v>149.58</v>
      </c>
      <c r="J265" s="3" t="n">
        <v>1315.32</v>
      </c>
      <c r="K265" s="3" t="n">
        <v>57.02</v>
      </c>
      <c r="L265" s="3" t="n">
        <v>165.69</v>
      </c>
      <c r="M265" s="3" t="n">
        <v>1538.03</v>
      </c>
      <c r="N265" s="5" t="n">
        <v>11</v>
      </c>
      <c r="O265" s="2" t="inlineStr">
        <is>
          <t>Yolda</t>
        </is>
      </c>
    </row>
    <row r="266">
      <c r="A266" s="2" t="inlineStr">
        <is>
          <t>SVK-0265</t>
        </is>
      </c>
      <c r="B266" s="2" t="inlineStr">
        <is>
          <t>SIP-0222</t>
        </is>
      </c>
      <c r="C266" s="2" t="inlineStr">
        <is>
          <t>MUS-046</t>
        </is>
      </c>
      <c r="D266" s="2" t="inlineStr">
        <is>
          <t>Romanya</t>
        </is>
      </c>
      <c r="E266" s="6" t="n">
        <v>46029</v>
      </c>
      <c r="F266" s="2" t="inlineStr">
        <is>
          <t>Karayolu</t>
        </is>
      </c>
      <c r="G266" s="2" t="inlineStr">
        <is>
          <t>40FT</t>
        </is>
      </c>
      <c r="H266" s="5" t="n">
        <v>879.52</v>
      </c>
      <c r="I266" s="5" t="n">
        <v>946.53</v>
      </c>
      <c r="J266" s="3" t="n">
        <v>921.37</v>
      </c>
      <c r="K266" s="3" t="n">
        <v>42.25</v>
      </c>
      <c r="L266" s="3" t="n">
        <v>122.15</v>
      </c>
      <c r="M266" s="3" t="n">
        <v>1085.77</v>
      </c>
      <c r="N266" s="5" t="n">
        <v>4</v>
      </c>
      <c r="O266" s="2" t="inlineStr">
        <is>
          <t>Yolda</t>
        </is>
      </c>
    </row>
    <row r="267">
      <c r="A267" s="2" t="inlineStr">
        <is>
          <t>SVK-0266</t>
        </is>
      </c>
      <c r="B267" s="2" t="inlineStr">
        <is>
          <t>SIP-0222</t>
        </is>
      </c>
      <c r="C267" s="2" t="inlineStr">
        <is>
          <t>MUS-046</t>
        </is>
      </c>
      <c r="D267" s="2" t="inlineStr">
        <is>
          <t>Romanya</t>
        </is>
      </c>
      <c r="E267" s="6" t="n">
        <v>46030</v>
      </c>
      <c r="F267" s="2" t="inlineStr">
        <is>
          <t>Karayolu</t>
        </is>
      </c>
      <c r="G267" s="2" t="inlineStr">
        <is>
          <t>40FT</t>
        </is>
      </c>
      <c r="H267" s="5" t="n">
        <v>879.52</v>
      </c>
      <c r="I267" s="5" t="n">
        <v>926.86</v>
      </c>
      <c r="J267" s="3" t="n">
        <v>726.09</v>
      </c>
      <c r="K267" s="3" t="n">
        <v>26.28</v>
      </c>
      <c r="L267" s="3" t="n">
        <v>143.02</v>
      </c>
      <c r="M267" s="3" t="n">
        <v>895.39</v>
      </c>
      <c r="N267" s="5" t="n">
        <v>3</v>
      </c>
      <c r="O267" s="2" t="inlineStr">
        <is>
          <t>Gumrukte</t>
        </is>
      </c>
    </row>
    <row r="268">
      <c r="A268" s="2" t="inlineStr">
        <is>
          <t>SVK-0267</t>
        </is>
      </c>
      <c r="B268" s="2" t="inlineStr">
        <is>
          <t>SIP-0223</t>
        </is>
      </c>
      <c r="C268" s="2" t="inlineStr">
        <is>
          <t>MUS-064</t>
        </is>
      </c>
      <c r="D268" s="2" t="inlineStr">
        <is>
          <t>Romanya</t>
        </is>
      </c>
      <c r="E268" s="6" t="n">
        <v>46048</v>
      </c>
      <c r="F268" s="2" t="inlineStr">
        <is>
          <t>Havayolu</t>
        </is>
      </c>
      <c r="G268" s="2" t="inlineStr">
        <is>
          <t>40FT</t>
        </is>
      </c>
      <c r="H268" s="5" t="n">
        <v>1277.13</v>
      </c>
      <c r="I268" s="5" t="n">
        <v>1328.58</v>
      </c>
      <c r="J268" s="3" t="n">
        <v>1912.92</v>
      </c>
      <c r="K268" s="3" t="n">
        <v>66.62</v>
      </c>
      <c r="L268" s="3" t="n">
        <v>224.61</v>
      </c>
      <c r="M268" s="3" t="n">
        <v>2204.15</v>
      </c>
      <c r="N268" s="5" t="n">
        <v>5</v>
      </c>
      <c r="O268" s="2" t="inlineStr">
        <is>
          <t>Teslim Edildi</t>
        </is>
      </c>
    </row>
    <row r="269">
      <c r="A269" s="2" t="inlineStr">
        <is>
          <t>SVK-0268</t>
        </is>
      </c>
      <c r="B269" s="2" t="inlineStr">
        <is>
          <t>SIP-0224</t>
        </is>
      </c>
      <c r="C269" s="2" t="inlineStr">
        <is>
          <t>MUS-067</t>
        </is>
      </c>
      <c r="D269" s="2" t="inlineStr">
        <is>
          <t>Katar</t>
        </is>
      </c>
      <c r="E269" s="6" t="n">
        <v>46053</v>
      </c>
      <c r="F269" s="2" t="inlineStr">
        <is>
          <t>Denizyolu</t>
        </is>
      </c>
      <c r="G269" s="2" t="inlineStr">
        <is>
          <t>40FT</t>
        </is>
      </c>
      <c r="H269" s="5" t="n">
        <v>496.98</v>
      </c>
      <c r="I269" s="5" t="n">
        <v>524.99</v>
      </c>
      <c r="J269" s="3" t="n">
        <v>2373.6</v>
      </c>
      <c r="K269" s="3" t="n">
        <v>139.46</v>
      </c>
      <c r="L269" s="3" t="n">
        <v>230.44</v>
      </c>
      <c r="M269" s="3" t="n">
        <v>2743.5</v>
      </c>
      <c r="N269" s="5" t="n">
        <v>25</v>
      </c>
      <c r="O269" s="2" t="inlineStr">
        <is>
          <t>Teslim Edildi</t>
        </is>
      </c>
    </row>
    <row r="270">
      <c r="A270" s="2" t="inlineStr">
        <is>
          <t>SVK-0269</t>
        </is>
      </c>
      <c r="B270" s="2" t="inlineStr">
        <is>
          <t>SIP-0224</t>
        </is>
      </c>
      <c r="C270" s="2" t="inlineStr">
        <is>
          <t>MUS-067</t>
        </is>
      </c>
      <c r="D270" s="2" t="inlineStr">
        <is>
          <t>Katar</t>
        </is>
      </c>
      <c r="E270" s="6" t="n">
        <v>46054</v>
      </c>
      <c r="F270" s="2" t="inlineStr">
        <is>
          <t>Denizyolu</t>
        </is>
      </c>
      <c r="G270" s="2" t="inlineStr">
        <is>
          <t>40FT</t>
        </is>
      </c>
      <c r="H270" s="5" t="n">
        <v>496.98</v>
      </c>
      <c r="I270" s="5" t="n">
        <v>525.2</v>
      </c>
      <c r="J270" s="3" t="n">
        <v>2201.04</v>
      </c>
      <c r="K270" s="3" t="n">
        <v>104.87</v>
      </c>
      <c r="L270" s="3" t="n">
        <v>246.58</v>
      </c>
      <c r="M270" s="3" t="n">
        <v>2552.49</v>
      </c>
      <c r="N270" s="5" t="n">
        <v>25</v>
      </c>
      <c r="O270" s="2" t="inlineStr">
        <is>
          <t>Teslim Edildi</t>
        </is>
      </c>
    </row>
    <row r="271">
      <c r="A271" s="2" t="inlineStr">
        <is>
          <t>SVK-0270</t>
        </is>
      </c>
      <c r="B271" s="2" t="inlineStr">
        <is>
          <t>SIP-0225</t>
        </is>
      </c>
      <c r="C271" s="2" t="inlineStr">
        <is>
          <t>MUS-044</t>
        </is>
      </c>
      <c r="D271" s="2" t="inlineStr">
        <is>
          <t>Hollanda</t>
        </is>
      </c>
      <c r="E271" s="6" t="n">
        <v>46026</v>
      </c>
      <c r="F271" s="2" t="inlineStr">
        <is>
          <t>Karayolu</t>
        </is>
      </c>
      <c r="G271" s="2" t="inlineStr">
        <is>
          <t>20FT</t>
        </is>
      </c>
      <c r="H271" s="5" t="n">
        <v>423.88</v>
      </c>
      <c r="I271" s="5" t="n">
        <v>437.11</v>
      </c>
      <c r="J271" s="3" t="n">
        <v>2807.71</v>
      </c>
      <c r="K271" s="3" t="n">
        <v>113.76</v>
      </c>
      <c r="L271" s="3" t="n">
        <v>230.11</v>
      </c>
      <c r="M271" s="3" t="n">
        <v>3151.58</v>
      </c>
      <c r="N271" s="5" t="n">
        <v>13</v>
      </c>
      <c r="O271" s="2" t="inlineStr">
        <is>
          <t>Teslim Edildi</t>
        </is>
      </c>
    </row>
    <row r="272">
      <c r="A272" s="2" t="inlineStr">
        <is>
          <t>SVK-0271</t>
        </is>
      </c>
      <c r="B272" s="2" t="inlineStr">
        <is>
          <t>SIP-0226</t>
        </is>
      </c>
      <c r="C272" s="2" t="inlineStr">
        <is>
          <t>MUS-015</t>
        </is>
      </c>
      <c r="D272" s="2" t="inlineStr">
        <is>
          <t>Polonya</t>
        </is>
      </c>
      <c r="E272" s="6" t="n">
        <v>46029</v>
      </c>
      <c r="F272" s="2" t="inlineStr">
        <is>
          <t>Karayolu</t>
        </is>
      </c>
      <c r="G272" s="2" t="inlineStr">
        <is>
          <t>40FT</t>
        </is>
      </c>
      <c r="H272" s="5" t="n">
        <v>1371.84</v>
      </c>
      <c r="I272" s="5" t="n">
        <v>1440.53</v>
      </c>
      <c r="J272" s="3" t="n">
        <v>2473.6</v>
      </c>
      <c r="K272" s="3" t="n">
        <v>132.42</v>
      </c>
      <c r="L272" s="3" t="n">
        <v>258.82</v>
      </c>
      <c r="M272" s="3" t="n">
        <v>2864.84</v>
      </c>
      <c r="N272" s="5" t="n">
        <v>8</v>
      </c>
      <c r="O272" s="2" t="inlineStr">
        <is>
          <t>Teslim Edildi</t>
        </is>
      </c>
    </row>
    <row r="273">
      <c r="A273" s="2" t="inlineStr">
        <is>
          <t>SVK-0272</t>
        </is>
      </c>
      <c r="B273" s="2" t="inlineStr">
        <is>
          <t>SIP-0227</t>
        </is>
      </c>
      <c r="C273" s="2" t="inlineStr">
        <is>
          <t>MUS-083</t>
        </is>
      </c>
      <c r="D273" s="2" t="inlineStr">
        <is>
          <t>Polonya</t>
        </is>
      </c>
      <c r="E273" s="6" t="n">
        <v>46013</v>
      </c>
      <c r="F273" s="2" t="inlineStr">
        <is>
          <t>Denizyolu</t>
        </is>
      </c>
      <c r="G273" s="2" t="inlineStr">
        <is>
          <t>Open Top 40FT</t>
        </is>
      </c>
      <c r="H273" s="5" t="n">
        <v>4703.55</v>
      </c>
      <c r="I273" s="5" t="n">
        <v>5073.14</v>
      </c>
      <c r="J273" s="3" t="n">
        <v>2442.25</v>
      </c>
      <c r="K273" s="3" t="n">
        <v>96.11</v>
      </c>
      <c r="L273" s="3" t="n">
        <v>218.1</v>
      </c>
      <c r="M273" s="3" t="n">
        <v>2756.46</v>
      </c>
      <c r="N273" s="5" t="n">
        <v>7</v>
      </c>
      <c r="O273" s="2" t="inlineStr">
        <is>
          <t>Teslim Edildi</t>
        </is>
      </c>
    </row>
    <row r="274">
      <c r="A274" s="2" t="inlineStr">
        <is>
          <t>SVK-0273</t>
        </is>
      </c>
      <c r="B274" s="2" t="inlineStr">
        <is>
          <t>SIP-0228</t>
        </is>
      </c>
      <c r="C274" s="2" t="inlineStr">
        <is>
          <t>MUS-039</t>
        </is>
      </c>
      <c r="D274" s="2" t="inlineStr">
        <is>
          <t>BAE</t>
        </is>
      </c>
      <c r="E274" s="6" t="n">
        <v>46030</v>
      </c>
      <c r="F274" s="2" t="inlineStr">
        <is>
          <t>Denizyolu</t>
        </is>
      </c>
      <c r="G274" s="2" t="inlineStr">
        <is>
          <t>40FT</t>
        </is>
      </c>
      <c r="H274" s="5" t="n">
        <v>817.6</v>
      </c>
      <c r="I274" s="5" t="n">
        <v>856.77</v>
      </c>
      <c r="J274" s="3" t="n">
        <v>3304.98</v>
      </c>
      <c r="K274" s="3" t="n">
        <v>109.05</v>
      </c>
      <c r="L274" s="3" t="n">
        <v>355.63</v>
      </c>
      <c r="M274" s="3" t="n">
        <v>3769.66</v>
      </c>
      <c r="N274" s="5" t="n">
        <v>22</v>
      </c>
      <c r="O274" s="2" t="inlineStr">
        <is>
          <t>Teslim Edildi</t>
        </is>
      </c>
    </row>
    <row r="275">
      <c r="A275" s="2" t="inlineStr">
        <is>
          <t>SVK-0274</t>
        </is>
      </c>
      <c r="B275" s="2" t="inlineStr">
        <is>
          <t>SIP-0229</t>
        </is>
      </c>
      <c r="C275" s="2" t="inlineStr">
        <is>
          <t>MUS-022</t>
        </is>
      </c>
      <c r="D275" s="2" t="inlineStr">
        <is>
          <t>Hollanda</t>
        </is>
      </c>
      <c r="E275" s="6" t="n">
        <v>46051</v>
      </c>
      <c r="F275" s="2" t="inlineStr">
        <is>
          <t>Karayolu</t>
        </is>
      </c>
      <c r="G275" s="2" t="inlineStr">
        <is>
          <t>20FT</t>
        </is>
      </c>
      <c r="H275" s="5" t="n">
        <v>547.88</v>
      </c>
      <c r="I275" s="5" t="n">
        <v>582.67</v>
      </c>
      <c r="J275" s="3" t="n">
        <v>2565.24</v>
      </c>
      <c r="K275" s="3" t="n">
        <v>100.7</v>
      </c>
      <c r="L275" s="3" t="n">
        <v>194.93</v>
      </c>
      <c r="M275" s="3" t="n">
        <v>2860.87</v>
      </c>
      <c r="N275" s="5" t="n">
        <v>11</v>
      </c>
      <c r="O275" s="2" t="inlineStr">
        <is>
          <t>Teslim Edildi</t>
        </is>
      </c>
    </row>
    <row r="276">
      <c r="A276" s="2" t="inlineStr">
        <is>
          <t>SVK-0275</t>
        </is>
      </c>
      <c r="B276" s="2" t="inlineStr">
        <is>
          <t>SIP-0230</t>
        </is>
      </c>
      <c r="C276" s="2" t="inlineStr">
        <is>
          <t>MUS-067</t>
        </is>
      </c>
      <c r="D276" s="2" t="inlineStr">
        <is>
          <t>Katar</t>
        </is>
      </c>
      <c r="E276" s="6" t="n">
        <v>46061</v>
      </c>
      <c r="F276" s="2" t="inlineStr">
        <is>
          <t>Denizyolu</t>
        </is>
      </c>
      <c r="G276" s="2" t="inlineStr">
        <is>
          <t>Open Top 40FT</t>
        </is>
      </c>
      <c r="H276" s="5" t="n">
        <v>1902.67</v>
      </c>
      <c r="I276" s="5" t="n">
        <v>2052.3</v>
      </c>
      <c r="J276" s="3" t="n">
        <v>4027.86</v>
      </c>
      <c r="K276" s="3" t="n">
        <v>199.32</v>
      </c>
      <c r="L276" s="3" t="n">
        <v>455.17</v>
      </c>
      <c r="M276" s="3" t="n">
        <v>4682.35</v>
      </c>
      <c r="N276" s="5" t="n">
        <v>20</v>
      </c>
      <c r="O276" s="2" t="inlineStr">
        <is>
          <t>Teslim Edildi</t>
        </is>
      </c>
    </row>
    <row r="277">
      <c r="A277" s="2" t="inlineStr">
        <is>
          <t>SVK-0276</t>
        </is>
      </c>
      <c r="B277" s="2" t="inlineStr">
        <is>
          <t>SIP-0231</t>
        </is>
      </c>
      <c r="C277" s="2" t="inlineStr">
        <is>
          <t>MUS-042</t>
        </is>
      </c>
      <c r="D277" s="2" t="inlineStr">
        <is>
          <t>Cezayir</t>
        </is>
      </c>
      <c r="E277" s="6" t="n">
        <v>46023</v>
      </c>
      <c r="F277" s="2" t="inlineStr">
        <is>
          <t>Havayolu</t>
        </is>
      </c>
      <c r="G277" s="2" t="inlineStr">
        <is>
          <t>40FT</t>
        </is>
      </c>
      <c r="H277" s="5" t="n">
        <v>1019.83</v>
      </c>
      <c r="I277" s="5" t="n">
        <v>1059.84</v>
      </c>
      <c r="J277" s="3" t="n">
        <v>3936.72</v>
      </c>
      <c r="K277" s="3" t="n">
        <v>164.56</v>
      </c>
      <c r="L277" s="3" t="n">
        <v>568.48</v>
      </c>
      <c r="M277" s="3" t="n">
        <v>4669.76</v>
      </c>
      <c r="N277" s="5" t="n">
        <v>21</v>
      </c>
      <c r="O277" s="2" t="inlineStr">
        <is>
          <t>Teslim Edildi</t>
        </is>
      </c>
    </row>
    <row r="278">
      <c r="A278" s="2" t="inlineStr">
        <is>
          <t>SVK-0277</t>
        </is>
      </c>
      <c r="B278" s="2" t="inlineStr">
        <is>
          <t>SIP-0232</t>
        </is>
      </c>
      <c r="C278" s="2" t="inlineStr">
        <is>
          <t>MUS-069</t>
        </is>
      </c>
      <c r="D278" s="2" t="inlineStr">
        <is>
          <t>Romanya</t>
        </is>
      </c>
      <c r="E278" s="6" t="n">
        <v>46077</v>
      </c>
      <c r="F278" s="2" t="inlineStr">
        <is>
          <t>Karayolu</t>
        </is>
      </c>
      <c r="G278" s="2" t="inlineStr">
        <is>
          <t>Open Top 40FT</t>
        </is>
      </c>
      <c r="H278" s="5" t="n">
        <v>3066.63</v>
      </c>
      <c r="I278" s="5" t="n">
        <v>3293.63</v>
      </c>
      <c r="J278" s="3" t="n">
        <v>1519.92</v>
      </c>
      <c r="K278" s="3" t="n">
        <v>70.02</v>
      </c>
      <c r="L278" s="3" t="n">
        <v>281.27</v>
      </c>
      <c r="M278" s="3" t="n">
        <v>1871.21</v>
      </c>
      <c r="N278" s="5" t="n">
        <v>9</v>
      </c>
      <c r="O278" s="2" t="inlineStr">
        <is>
          <t>Yolda</t>
        </is>
      </c>
    </row>
    <row r="279">
      <c r="A279" s="2" t="inlineStr">
        <is>
          <t>SVK-0278</t>
        </is>
      </c>
      <c r="B279" s="2" t="inlineStr">
        <is>
          <t>SIP-0233</t>
        </is>
      </c>
      <c r="C279" s="2" t="inlineStr">
        <is>
          <t>MUS-015</t>
        </is>
      </c>
      <c r="D279" s="2" t="inlineStr">
        <is>
          <t>Polonya</t>
        </is>
      </c>
      <c r="E279" s="6" t="n">
        <v>46017</v>
      </c>
      <c r="F279" s="2" t="inlineStr">
        <is>
          <t>Karayolu</t>
        </is>
      </c>
      <c r="G279" s="2" t="inlineStr">
        <is>
          <t>40FT</t>
        </is>
      </c>
      <c r="H279" s="5" t="n">
        <v>912.63</v>
      </c>
      <c r="I279" s="5" t="n">
        <v>962.58</v>
      </c>
      <c r="J279" s="3" t="n">
        <v>2275.45</v>
      </c>
      <c r="K279" s="3" t="n">
        <v>99.81</v>
      </c>
      <c r="L279" s="3" t="n">
        <v>195.49</v>
      </c>
      <c r="M279" s="3" t="n">
        <v>2570.75</v>
      </c>
      <c r="N279" s="5" t="n">
        <v>13</v>
      </c>
      <c r="O279" s="2" t="inlineStr">
        <is>
          <t>Yolda</t>
        </is>
      </c>
    </row>
    <row r="280">
      <c r="A280" s="2" t="inlineStr">
        <is>
          <t>SVK-0279</t>
        </is>
      </c>
      <c r="B280" s="2" t="inlineStr">
        <is>
          <t>SIP-0234</t>
        </is>
      </c>
      <c r="C280" s="2" t="inlineStr">
        <is>
          <t>MUS-052</t>
        </is>
      </c>
      <c r="D280" s="2" t="inlineStr">
        <is>
          <t>Kazakistan</t>
        </is>
      </c>
      <c r="E280" s="6" t="n">
        <v>46075</v>
      </c>
      <c r="F280" s="2" t="inlineStr">
        <is>
          <t>Karayolu</t>
        </is>
      </c>
      <c r="G280" s="2" t="inlineStr">
        <is>
          <t>Open Top 40FT</t>
        </is>
      </c>
      <c r="H280" s="5" t="n">
        <v>4418.82</v>
      </c>
      <c r="I280" s="5" t="n">
        <v>4722.48</v>
      </c>
      <c r="J280" s="3" t="n">
        <v>3439.69</v>
      </c>
      <c r="K280" s="3" t="n">
        <v>204.07</v>
      </c>
      <c r="L280" s="3" t="n">
        <v>421.59</v>
      </c>
      <c r="M280" s="3" t="n">
        <v>4065.35</v>
      </c>
      <c r="N280" s="5" t="n">
        <v>14</v>
      </c>
      <c r="O280" s="2" t="inlineStr">
        <is>
          <t>Teslim Edildi</t>
        </is>
      </c>
    </row>
    <row r="281">
      <c r="A281" s="2" t="inlineStr">
        <is>
          <t>SVK-0280</t>
        </is>
      </c>
      <c r="B281" s="2" t="inlineStr">
        <is>
          <t>SIP-0235</t>
        </is>
      </c>
      <c r="C281" s="2" t="inlineStr">
        <is>
          <t>MUS-003</t>
        </is>
      </c>
      <c r="D281" s="2" t="inlineStr">
        <is>
          <t>BAE</t>
        </is>
      </c>
      <c r="E281" s="6" t="n">
        <v>46080</v>
      </c>
      <c r="F281" s="2" t="inlineStr">
        <is>
          <t>Denizyolu</t>
        </is>
      </c>
      <c r="G281" s="2" t="inlineStr">
        <is>
          <t>Open Top 40FT</t>
        </is>
      </c>
      <c r="H281" s="5" t="n">
        <v>5414.96</v>
      </c>
      <c r="I281" s="5" t="n">
        <v>5596.33</v>
      </c>
      <c r="J281" s="3" t="n">
        <v>4294.16</v>
      </c>
      <c r="K281" s="3" t="n">
        <v>208.27</v>
      </c>
      <c r="L281" s="3" t="n">
        <v>433.83</v>
      </c>
      <c r="M281" s="3" t="n">
        <v>4936.26</v>
      </c>
      <c r="N281" s="5" t="n">
        <v>20</v>
      </c>
      <c r="O281" s="2" t="inlineStr">
        <is>
          <t>Yolda</t>
        </is>
      </c>
    </row>
    <row r="282">
      <c r="A282" s="2" t="inlineStr">
        <is>
          <t>SVK-0281</t>
        </is>
      </c>
      <c r="B282" s="2" t="inlineStr">
        <is>
          <t>SIP-0236</t>
        </is>
      </c>
      <c r="C282" s="2" t="inlineStr">
        <is>
          <t>MUS-021</t>
        </is>
      </c>
      <c r="D282" s="2" t="inlineStr">
        <is>
          <t>Hollanda</t>
        </is>
      </c>
      <c r="E282" s="6" t="n">
        <v>46063</v>
      </c>
      <c r="F282" s="2" t="inlineStr">
        <is>
          <t>Karayolu</t>
        </is>
      </c>
      <c r="G282" s="2" t="inlineStr">
        <is>
          <t>Open Top 40FT</t>
        </is>
      </c>
      <c r="H282" s="5" t="n">
        <v>2112.73</v>
      </c>
      <c r="I282" s="5" t="n">
        <v>2185.69</v>
      </c>
      <c r="J282" s="3" t="n">
        <v>2792.4</v>
      </c>
      <c r="K282" s="3" t="n">
        <v>166.36</v>
      </c>
      <c r="L282" s="3" t="n">
        <v>247.73</v>
      </c>
      <c r="M282" s="3" t="n">
        <v>3206.49</v>
      </c>
      <c r="N282" s="5" t="n">
        <v>15</v>
      </c>
      <c r="O282" s="2" t="inlineStr">
        <is>
          <t>Teslim Edildi</t>
        </is>
      </c>
    </row>
    <row r="283">
      <c r="A283" s="2" t="inlineStr">
        <is>
          <t>SVK-0282</t>
        </is>
      </c>
      <c r="B283" s="2" t="inlineStr">
        <is>
          <t>SIP-0237</t>
        </is>
      </c>
      <c r="C283" s="2" t="inlineStr">
        <is>
          <t>MUS-008</t>
        </is>
      </c>
      <c r="D283" s="2" t="inlineStr">
        <is>
          <t>Azerbaycan</t>
        </is>
      </c>
      <c r="E283" s="6" t="n">
        <v>46072</v>
      </c>
      <c r="F283" s="2" t="inlineStr">
        <is>
          <t>Havayolu</t>
        </is>
      </c>
      <c r="G283" s="2" t="inlineStr">
        <is>
          <t>Open Top 40FT</t>
        </is>
      </c>
      <c r="H283" s="5" t="n">
        <v>7066.04</v>
      </c>
      <c r="I283" s="5" t="n">
        <v>7595.02</v>
      </c>
      <c r="J283" s="3" t="n">
        <v>2049.85</v>
      </c>
      <c r="K283" s="3" t="n">
        <v>120.44</v>
      </c>
      <c r="L283" s="3" t="n">
        <v>387.36</v>
      </c>
      <c r="M283" s="3" t="n">
        <v>2557.65</v>
      </c>
      <c r="N283" s="5" t="n">
        <v>13</v>
      </c>
      <c r="O283" s="2" t="inlineStr">
        <is>
          <t>Teslim Edildi</t>
        </is>
      </c>
    </row>
    <row r="284">
      <c r="A284" s="2" t="inlineStr">
        <is>
          <t>SVK-0283</t>
        </is>
      </c>
      <c r="B284" s="2" t="inlineStr">
        <is>
          <t>SIP-0238</t>
        </is>
      </c>
      <c r="C284" s="2" t="inlineStr">
        <is>
          <t>MUS-001</t>
        </is>
      </c>
      <c r="D284" s="2" t="inlineStr">
        <is>
          <t>Misir</t>
        </is>
      </c>
      <c r="E284" s="6" t="n">
        <v>46025</v>
      </c>
      <c r="F284" s="2" t="inlineStr">
        <is>
          <t>Karayolu</t>
        </is>
      </c>
      <c r="G284" s="2" t="inlineStr">
        <is>
          <t>20FT</t>
        </is>
      </c>
      <c r="H284" s="5" t="n">
        <v>344.89</v>
      </c>
      <c r="I284" s="5" t="n">
        <v>372.46</v>
      </c>
      <c r="J284" s="3" t="n">
        <v>2991.26</v>
      </c>
      <c r="K284" s="3" t="n">
        <v>151.98</v>
      </c>
      <c r="L284" s="3" t="n">
        <v>644.64</v>
      </c>
      <c r="M284" s="3" t="n">
        <v>3787.88</v>
      </c>
      <c r="N284" s="5" t="n">
        <v>17</v>
      </c>
      <c r="O284" s="2" t="inlineStr">
        <is>
          <t>Teslim Edildi</t>
        </is>
      </c>
    </row>
    <row r="285">
      <c r="A285" s="2" t="inlineStr">
        <is>
          <t>SVK-0284</t>
        </is>
      </c>
      <c r="B285" s="2" t="inlineStr">
        <is>
          <t>SIP-0239</t>
        </is>
      </c>
      <c r="C285" s="2" t="inlineStr">
        <is>
          <t>MUS-053</t>
        </is>
      </c>
      <c r="D285" s="2" t="inlineStr">
        <is>
          <t>Hollanda</t>
        </is>
      </c>
      <c r="E285" s="6" t="n">
        <v>46043</v>
      </c>
      <c r="F285" s="2" t="inlineStr">
        <is>
          <t>Denizyolu</t>
        </is>
      </c>
      <c r="G285" s="2" t="inlineStr">
        <is>
          <t>40FT</t>
        </is>
      </c>
      <c r="H285" s="5" t="n">
        <v>1512.19</v>
      </c>
      <c r="I285" s="5" t="n">
        <v>1597.86</v>
      </c>
      <c r="J285" s="3" t="n">
        <v>2642.32</v>
      </c>
      <c r="K285" s="3" t="n">
        <v>108.01</v>
      </c>
      <c r="L285" s="3" t="n">
        <v>237.33</v>
      </c>
      <c r="M285" s="3" t="n">
        <v>2987.66</v>
      </c>
      <c r="N285" s="5" t="n">
        <v>9</v>
      </c>
      <c r="O285" s="2" t="inlineStr">
        <is>
          <t>Teslim Edildi</t>
        </is>
      </c>
    </row>
    <row r="286">
      <c r="A286" s="2" t="inlineStr">
        <is>
          <t>SVK-0285</t>
        </is>
      </c>
      <c r="B286" s="2" t="inlineStr">
        <is>
          <t>SIP-0240</t>
        </is>
      </c>
      <c r="C286" s="2" t="inlineStr">
        <is>
          <t>MUS-063</t>
        </is>
      </c>
      <c r="D286" s="2" t="inlineStr">
        <is>
          <t>Polonya</t>
        </is>
      </c>
      <c r="E286" s="6" t="n">
        <v>46059</v>
      </c>
      <c r="F286" s="2" t="inlineStr">
        <is>
          <t>Karayolu</t>
        </is>
      </c>
      <c r="G286" s="2" t="inlineStr">
        <is>
          <t>Open Top 40FT</t>
        </is>
      </c>
      <c r="H286" s="5" t="n">
        <v>3915.81</v>
      </c>
      <c r="I286" s="5" t="n">
        <v>4069.66</v>
      </c>
      <c r="J286" s="3" t="n">
        <v>2418.79</v>
      </c>
      <c r="K286" s="3" t="n">
        <v>98.63</v>
      </c>
      <c r="L286" s="3" t="n">
        <v>203.54</v>
      </c>
      <c r="M286" s="3" t="n">
        <v>2720.96</v>
      </c>
      <c r="N286" s="5" t="n">
        <v>12</v>
      </c>
      <c r="O286" s="2" t="inlineStr">
        <is>
          <t>Teslim Edildi</t>
        </is>
      </c>
    </row>
    <row r="287">
      <c r="A287" s="2" t="inlineStr">
        <is>
          <t>SVK-0286</t>
        </is>
      </c>
      <c r="B287" s="2" t="inlineStr">
        <is>
          <t>SIP-0241</t>
        </is>
      </c>
      <c r="C287" s="2" t="inlineStr">
        <is>
          <t>MUS-033</t>
        </is>
      </c>
      <c r="D287" s="2" t="inlineStr">
        <is>
          <t>Cezayir</t>
        </is>
      </c>
      <c r="E287" s="6" t="n">
        <v>46065</v>
      </c>
      <c r="F287" s="2" t="inlineStr">
        <is>
          <t>Denizyolu</t>
        </is>
      </c>
      <c r="G287" s="2" t="inlineStr">
        <is>
          <t>20FT</t>
        </is>
      </c>
      <c r="H287" s="5" t="n">
        <v>583.1</v>
      </c>
      <c r="I287" s="5" t="n">
        <v>606.58</v>
      </c>
      <c r="J287" s="3" t="n">
        <v>3289.1</v>
      </c>
      <c r="K287" s="3" t="n">
        <v>102.07</v>
      </c>
      <c r="L287" s="3" t="n">
        <v>590.8</v>
      </c>
      <c r="M287" s="3" t="n">
        <v>3981.97</v>
      </c>
      <c r="N287" s="5" t="n">
        <v>18</v>
      </c>
      <c r="O287" s="2" t="inlineStr">
        <is>
          <t>Yolda</t>
        </is>
      </c>
    </row>
    <row r="288">
      <c r="A288" s="2" t="inlineStr">
        <is>
          <t>SVK-0287</t>
        </is>
      </c>
      <c r="B288" s="2" t="inlineStr">
        <is>
          <t>SIP-0242</t>
        </is>
      </c>
      <c r="C288" s="2" t="inlineStr">
        <is>
          <t>MUS-039</t>
        </is>
      </c>
      <c r="D288" s="2" t="inlineStr">
        <is>
          <t>BAE</t>
        </is>
      </c>
      <c r="E288" s="6" t="n">
        <v>46083</v>
      </c>
      <c r="F288" s="2" t="inlineStr">
        <is>
          <t>Denizyolu</t>
        </is>
      </c>
      <c r="G288" s="2" t="inlineStr">
        <is>
          <t>40FT</t>
        </is>
      </c>
      <c r="H288" s="5" t="n">
        <v>1531.68</v>
      </c>
      <c r="I288" s="5" t="n">
        <v>1603.6</v>
      </c>
      <c r="J288" s="3" t="n">
        <v>3828.43</v>
      </c>
      <c r="K288" s="3" t="n">
        <v>139.04</v>
      </c>
      <c r="L288" s="3" t="n">
        <v>437.89</v>
      </c>
      <c r="M288" s="3" t="n">
        <v>4405.36</v>
      </c>
      <c r="N288" s="5" t="n">
        <v>20</v>
      </c>
      <c r="O288" s="2" t="inlineStr">
        <is>
          <t>Yolda</t>
        </is>
      </c>
    </row>
    <row r="289">
      <c r="A289" s="2" t="inlineStr">
        <is>
          <t>SVK-0288</t>
        </is>
      </c>
      <c r="B289" s="2" t="inlineStr">
        <is>
          <t>SIP-0243</t>
        </is>
      </c>
      <c r="C289" s="2" t="inlineStr">
        <is>
          <t>MUS-029</t>
        </is>
      </c>
      <c r="D289" s="2" t="inlineStr">
        <is>
          <t>Cezayir</t>
        </is>
      </c>
      <c r="E289" s="6" t="n">
        <v>46055</v>
      </c>
      <c r="F289" s="2" t="inlineStr">
        <is>
          <t>Denizyolu</t>
        </is>
      </c>
      <c r="G289" s="2" t="inlineStr">
        <is>
          <t>Open Top 40FT</t>
        </is>
      </c>
      <c r="H289" s="5" t="n">
        <v>1959.47</v>
      </c>
      <c r="I289" s="5" t="n">
        <v>2114.02</v>
      </c>
      <c r="J289" s="3" t="n">
        <v>1511.8</v>
      </c>
      <c r="K289" s="3" t="n">
        <v>74.04000000000001</v>
      </c>
      <c r="L289" s="3" t="n">
        <v>251.02</v>
      </c>
      <c r="M289" s="3" t="n">
        <v>1836.86</v>
      </c>
      <c r="N289" s="5" t="n">
        <v>17</v>
      </c>
      <c r="O289" s="2" t="inlineStr">
        <is>
          <t>Yolda</t>
        </is>
      </c>
    </row>
    <row r="290">
      <c r="A290" s="2" t="inlineStr">
        <is>
          <t>SVK-0289</t>
        </is>
      </c>
      <c r="B290" s="2" t="inlineStr">
        <is>
          <t>SIP-0243</t>
        </is>
      </c>
      <c r="C290" s="2" t="inlineStr">
        <is>
          <t>MUS-029</t>
        </is>
      </c>
      <c r="D290" s="2" t="inlineStr">
        <is>
          <t>Cezayir</t>
        </is>
      </c>
      <c r="E290" s="6" t="n">
        <v>46056</v>
      </c>
      <c r="F290" s="2" t="inlineStr">
        <is>
          <t>Denizyolu</t>
        </is>
      </c>
      <c r="G290" s="2" t="inlineStr">
        <is>
          <t>Open Top 40FT</t>
        </is>
      </c>
      <c r="H290" s="5" t="n">
        <v>1959.47</v>
      </c>
      <c r="I290" s="5" t="n">
        <v>2068.87</v>
      </c>
      <c r="J290" s="3" t="n">
        <v>1843.32</v>
      </c>
      <c r="K290" s="3" t="n">
        <v>100.71</v>
      </c>
      <c r="L290" s="3" t="n">
        <v>255.75</v>
      </c>
      <c r="M290" s="3" t="n">
        <v>2199.78</v>
      </c>
      <c r="N290" s="5" t="n">
        <v>21</v>
      </c>
      <c r="O290" s="2" t="inlineStr">
        <is>
          <t>Yolda</t>
        </is>
      </c>
    </row>
    <row r="291">
      <c r="A291" s="2" t="inlineStr">
        <is>
          <t>SVK-0290</t>
        </is>
      </c>
      <c r="B291" s="2" t="inlineStr">
        <is>
          <t>SIP-0244</t>
        </is>
      </c>
      <c r="C291" s="2" t="inlineStr">
        <is>
          <t>MUS-073</t>
        </is>
      </c>
      <c r="D291" s="2" t="inlineStr">
        <is>
          <t>BAE</t>
        </is>
      </c>
      <c r="E291" s="6" t="n">
        <v>46059</v>
      </c>
      <c r="F291" s="2" t="inlineStr">
        <is>
          <t>Denizyolu</t>
        </is>
      </c>
      <c r="G291" s="2" t="inlineStr">
        <is>
          <t>Open Top 40FT</t>
        </is>
      </c>
      <c r="H291" s="5" t="n">
        <v>5206.7</v>
      </c>
      <c r="I291" s="5" t="n">
        <v>5419.64</v>
      </c>
      <c r="J291" s="3" t="n">
        <v>4206.94</v>
      </c>
      <c r="K291" s="3" t="n">
        <v>158.19</v>
      </c>
      <c r="L291" s="3" t="n">
        <v>333.86</v>
      </c>
      <c r="M291" s="3" t="n">
        <v>4698.99</v>
      </c>
      <c r="N291" s="5" t="n">
        <v>18</v>
      </c>
      <c r="O291" s="2" t="inlineStr">
        <is>
          <t>Teslim Edildi</t>
        </is>
      </c>
    </row>
    <row r="292">
      <c r="A292" s="2" t="inlineStr">
        <is>
          <t>SVK-0291</t>
        </is>
      </c>
      <c r="B292" s="2" t="inlineStr">
        <is>
          <t>SIP-0245</t>
        </is>
      </c>
      <c r="C292" s="2" t="inlineStr">
        <is>
          <t>MUS-037</t>
        </is>
      </c>
      <c r="D292" s="2" t="inlineStr">
        <is>
          <t>Italya</t>
        </is>
      </c>
      <c r="E292" s="6" t="n">
        <v>46083</v>
      </c>
      <c r="F292" s="2" t="inlineStr">
        <is>
          <t>Denizyolu</t>
        </is>
      </c>
      <c r="G292" s="2" t="inlineStr">
        <is>
          <t>Open Top 40FT</t>
        </is>
      </c>
      <c r="H292" s="5" t="n">
        <v>2340.59</v>
      </c>
      <c r="I292" s="5" t="n">
        <v>2456.96</v>
      </c>
      <c r="J292" s="3" t="n">
        <v>2205.25</v>
      </c>
      <c r="K292" s="3" t="n">
        <v>80.41</v>
      </c>
      <c r="L292" s="3" t="n">
        <v>240.59</v>
      </c>
      <c r="M292" s="3" t="n">
        <v>2526.25</v>
      </c>
      <c r="N292" s="5" t="n">
        <v>11</v>
      </c>
      <c r="O292" s="2" t="inlineStr">
        <is>
          <t>Teslim Edildi</t>
        </is>
      </c>
    </row>
    <row r="293">
      <c r="A293" s="2" t="inlineStr">
        <is>
          <t>SVK-0292</t>
        </is>
      </c>
      <c r="B293" s="2" t="inlineStr">
        <is>
          <t>SIP-0246</t>
        </is>
      </c>
      <c r="C293" s="2" t="inlineStr">
        <is>
          <t>MUS-056</t>
        </is>
      </c>
      <c r="D293" s="2" t="inlineStr">
        <is>
          <t>Italya</t>
        </is>
      </c>
      <c r="E293" s="6" t="n">
        <v>46090</v>
      </c>
      <c r="F293" s="2" t="inlineStr">
        <is>
          <t>Karayolu</t>
        </is>
      </c>
      <c r="G293" s="2" t="inlineStr">
        <is>
          <t>Open Top 40FT</t>
        </is>
      </c>
      <c r="H293" s="5" t="n">
        <v>5934.37</v>
      </c>
      <c r="I293" s="5" t="n">
        <v>6397.82</v>
      </c>
      <c r="J293" s="3" t="n">
        <v>2858.94</v>
      </c>
      <c r="K293" s="3" t="n">
        <v>126.2</v>
      </c>
      <c r="L293" s="3" t="n">
        <v>304.52</v>
      </c>
      <c r="M293" s="3" t="n">
        <v>3289.66</v>
      </c>
      <c r="N293" s="5" t="n">
        <v>10</v>
      </c>
      <c r="O293" s="2" t="inlineStr">
        <is>
          <t>Teslim Edildi</t>
        </is>
      </c>
    </row>
    <row r="294">
      <c r="A294" s="2" t="inlineStr">
        <is>
          <t>SVK-0293</t>
        </is>
      </c>
      <c r="B294" s="2" t="inlineStr">
        <is>
          <t>SIP-0247</t>
        </is>
      </c>
      <c r="C294" s="2" t="inlineStr">
        <is>
          <t>MUS-032</t>
        </is>
      </c>
      <c r="D294" s="2" t="inlineStr">
        <is>
          <t>BAE</t>
        </is>
      </c>
      <c r="E294" s="6" t="n">
        <v>46083</v>
      </c>
      <c r="F294" s="2" t="inlineStr">
        <is>
          <t>Denizyolu</t>
        </is>
      </c>
      <c r="G294" s="2" t="inlineStr">
        <is>
          <t>Open Top 40FT</t>
        </is>
      </c>
      <c r="H294" s="5" t="n">
        <v>3319.21</v>
      </c>
      <c r="I294" s="5" t="n">
        <v>3548.02</v>
      </c>
      <c r="J294" s="3" t="n">
        <v>3577.43</v>
      </c>
      <c r="K294" s="3" t="n">
        <v>153.26</v>
      </c>
      <c r="L294" s="3" t="n">
        <v>360.31</v>
      </c>
      <c r="M294" s="3" t="n">
        <v>4091</v>
      </c>
      <c r="N294" s="5" t="n">
        <v>22</v>
      </c>
      <c r="O294" s="2" t="inlineStr">
        <is>
          <t>Teslim Edildi</t>
        </is>
      </c>
    </row>
    <row r="295">
      <c r="A295" s="2" t="inlineStr">
        <is>
          <t>SVK-0294</t>
        </is>
      </c>
      <c r="B295" s="2" t="inlineStr">
        <is>
          <t>SIP-0248</t>
        </is>
      </c>
      <c r="C295" s="2" t="inlineStr">
        <is>
          <t>MUS-081</t>
        </is>
      </c>
      <c r="D295" s="2" t="inlineStr">
        <is>
          <t>Suudi Arabistan</t>
        </is>
      </c>
      <c r="E295" s="6" t="n">
        <v>46071</v>
      </c>
      <c r="F295" s="2" t="inlineStr">
        <is>
          <t>Karayolu</t>
        </is>
      </c>
      <c r="G295" s="2" t="inlineStr">
        <is>
          <t>40FT</t>
        </is>
      </c>
      <c r="H295" s="5" t="n">
        <v>925.55</v>
      </c>
      <c r="I295" s="5" t="n">
        <v>970.86</v>
      </c>
      <c r="J295" s="3" t="n">
        <v>3682.16</v>
      </c>
      <c r="K295" s="3" t="n">
        <v>111.34</v>
      </c>
      <c r="L295" s="3" t="n">
        <v>440.51</v>
      </c>
      <c r="M295" s="3" t="n">
        <v>4234.01</v>
      </c>
      <c r="N295" s="5" t="n">
        <v>21</v>
      </c>
      <c r="O295" s="2" t="inlineStr">
        <is>
          <t>Teslim Edildi</t>
        </is>
      </c>
    </row>
    <row r="296">
      <c r="A296" s="2" t="inlineStr">
        <is>
          <t>SVK-0295</t>
        </is>
      </c>
      <c r="B296" s="2" t="inlineStr">
        <is>
          <t>SIP-0249</t>
        </is>
      </c>
      <c r="C296" s="2" t="inlineStr">
        <is>
          <t>MUS-011</t>
        </is>
      </c>
      <c r="D296" s="2" t="inlineStr">
        <is>
          <t>Suudi Arabistan</t>
        </is>
      </c>
      <c r="E296" s="6" t="n">
        <v>46111</v>
      </c>
      <c r="F296" s="2" t="inlineStr">
        <is>
          <t>Denizyolu</t>
        </is>
      </c>
      <c r="G296" s="2" t="inlineStr">
        <is>
          <t>Open Top 40FT</t>
        </is>
      </c>
      <c r="H296" s="5" t="n">
        <v>3245.57</v>
      </c>
      <c r="I296" s="5" t="n">
        <v>3414.38</v>
      </c>
      <c r="J296" s="3" t="n">
        <v>4266.77</v>
      </c>
      <c r="K296" s="3" t="n">
        <v>184.22</v>
      </c>
      <c r="L296" s="3" t="n">
        <v>498.32</v>
      </c>
      <c r="M296" s="3" t="n">
        <v>4949.31</v>
      </c>
      <c r="N296" s="5" t="n">
        <v>24</v>
      </c>
      <c r="O296" s="2" t="inlineStr">
        <is>
          <t>Teslim Edildi</t>
        </is>
      </c>
    </row>
    <row r="297">
      <c r="A297" s="2" t="inlineStr">
        <is>
          <t>SVK-0296</t>
        </is>
      </c>
      <c r="B297" s="2" t="inlineStr">
        <is>
          <t>SIP-0250</t>
        </is>
      </c>
      <c r="C297" s="2" t="inlineStr">
        <is>
          <t>MUS-008</t>
        </is>
      </c>
      <c r="D297" s="2" t="inlineStr">
        <is>
          <t>Azerbaycan</t>
        </is>
      </c>
      <c r="E297" s="6" t="n">
        <v>46158</v>
      </c>
      <c r="F297" s="2" t="inlineStr">
        <is>
          <t>Karayolu</t>
        </is>
      </c>
      <c r="G297" s="2" t="inlineStr">
        <is>
          <t>Open Top 40FT</t>
        </is>
      </c>
      <c r="H297" s="5" t="n">
        <v>1917.06</v>
      </c>
      <c r="I297" s="5" t="n">
        <v>2012.68</v>
      </c>
      <c r="J297" s="3" t="n">
        <v>2551.67</v>
      </c>
      <c r="K297" s="3" t="n">
        <v>137.29</v>
      </c>
      <c r="L297" s="3" t="n">
        <v>446.63</v>
      </c>
      <c r="M297" s="3" t="n">
        <v>3135.59</v>
      </c>
      <c r="N297" s="5" t="n">
        <v>12</v>
      </c>
      <c r="O297" s="2" t="inlineStr">
        <is>
          <t>Teslim Edildi</t>
        </is>
      </c>
    </row>
    <row r="298">
      <c r="A298" s="2" t="inlineStr">
        <is>
          <t>SVK-0297</t>
        </is>
      </c>
      <c r="B298" s="2" t="inlineStr">
        <is>
          <t>SIP-0251</t>
        </is>
      </c>
      <c r="C298" s="2" t="inlineStr">
        <is>
          <t>MUS-064</t>
        </is>
      </c>
      <c r="D298" s="2" t="inlineStr">
        <is>
          <t>Romanya</t>
        </is>
      </c>
      <c r="E298" s="6" t="n">
        <v>46132</v>
      </c>
      <c r="F298" s="2" t="inlineStr">
        <is>
          <t>Karayolu</t>
        </is>
      </c>
      <c r="G298" s="2" t="inlineStr">
        <is>
          <t>Open Top 40FT</t>
        </is>
      </c>
      <c r="H298" s="5" t="n">
        <v>4393.98</v>
      </c>
      <c r="I298" s="5" t="n">
        <v>4613.49</v>
      </c>
      <c r="J298" s="3" t="n">
        <v>1918.16</v>
      </c>
      <c r="K298" s="3" t="n">
        <v>73.8</v>
      </c>
      <c r="L298" s="3" t="n">
        <v>311.15</v>
      </c>
      <c r="M298" s="3" t="n">
        <v>2303.11</v>
      </c>
      <c r="N298" s="5" t="n">
        <v>10</v>
      </c>
      <c r="O298" s="2" t="inlineStr">
        <is>
          <t>Teslim Edildi</t>
        </is>
      </c>
    </row>
    <row r="299">
      <c r="A299" s="2" t="inlineStr">
        <is>
          <t>SVK-0298</t>
        </is>
      </c>
      <c r="B299" s="2" t="inlineStr">
        <is>
          <t>SIP-0252</t>
        </is>
      </c>
      <c r="C299" s="2" t="inlineStr">
        <is>
          <t>MUS-044</t>
        </is>
      </c>
      <c r="D299" s="2" t="inlineStr">
        <is>
          <t>Hollanda</t>
        </is>
      </c>
      <c r="E299" s="6" t="n">
        <v>46088</v>
      </c>
      <c r="F299" s="2" t="inlineStr">
        <is>
          <t>Karayolu</t>
        </is>
      </c>
      <c r="G299" s="2" t="inlineStr">
        <is>
          <t>20FT</t>
        </is>
      </c>
      <c r="H299" s="5" t="n">
        <v>476.58</v>
      </c>
      <c r="I299" s="5" t="n">
        <v>513.72</v>
      </c>
      <c r="J299" s="3" t="n">
        <v>2373.28</v>
      </c>
      <c r="K299" s="3" t="n">
        <v>129.58</v>
      </c>
      <c r="L299" s="3" t="n">
        <v>304.78</v>
      </c>
      <c r="M299" s="3" t="n">
        <v>2807.64</v>
      </c>
      <c r="N299" s="5" t="n">
        <v>13</v>
      </c>
      <c r="O299" s="2" t="inlineStr">
        <is>
          <t>Teslim Edildi</t>
        </is>
      </c>
    </row>
    <row r="300">
      <c r="A300" s="2" t="inlineStr">
        <is>
          <t>SVK-0299</t>
        </is>
      </c>
      <c r="B300" s="2" t="inlineStr">
        <is>
          <t>SIP-0253</t>
        </is>
      </c>
      <c r="C300" s="2" t="inlineStr">
        <is>
          <t>MUS-039</t>
        </is>
      </c>
      <c r="D300" s="2" t="inlineStr">
        <is>
          <t>BAE</t>
        </is>
      </c>
      <c r="E300" s="6" t="n">
        <v>46120</v>
      </c>
      <c r="F300" s="2" t="inlineStr">
        <is>
          <t>Denizyolu</t>
        </is>
      </c>
      <c r="G300" s="2" t="inlineStr">
        <is>
          <t>40FT</t>
        </is>
      </c>
      <c r="H300" s="5" t="n">
        <v>1074.33</v>
      </c>
      <c r="I300" s="5" t="n">
        <v>1119.15</v>
      </c>
      <c r="J300" s="3" t="n">
        <v>4426.39</v>
      </c>
      <c r="K300" s="3" t="n">
        <v>202.67</v>
      </c>
      <c r="L300" s="3" t="n">
        <v>470.21</v>
      </c>
      <c r="M300" s="3" t="n">
        <v>5099.27</v>
      </c>
      <c r="N300" s="5" t="n">
        <v>20</v>
      </c>
      <c r="O300" s="2" t="inlineStr">
        <is>
          <t>Teslim Edildi</t>
        </is>
      </c>
    </row>
    <row r="301">
      <c r="A301" s="2" t="inlineStr">
        <is>
          <t>SVK-0300</t>
        </is>
      </c>
      <c r="B301" s="2" t="inlineStr">
        <is>
          <t>SIP-0254</t>
        </is>
      </c>
      <c r="C301" s="2" t="inlineStr">
        <is>
          <t>MUS-030</t>
        </is>
      </c>
      <c r="D301" s="2" t="inlineStr">
        <is>
          <t>Polonya</t>
        </is>
      </c>
      <c r="E301" s="6" t="n">
        <v>46100</v>
      </c>
      <c r="F301" s="2" t="inlineStr">
        <is>
          <t>Karayolu</t>
        </is>
      </c>
      <c r="G301" s="2" t="inlineStr">
        <is>
          <t>Open Top 40FT</t>
        </is>
      </c>
      <c r="H301" s="5" t="n">
        <v>2788.01</v>
      </c>
      <c r="I301" s="5" t="n">
        <v>2953.5</v>
      </c>
      <c r="J301" s="3" t="n">
        <v>2398.21</v>
      </c>
      <c r="K301" s="3" t="n">
        <v>135.07</v>
      </c>
      <c r="L301" s="3" t="n">
        <v>310.59</v>
      </c>
      <c r="M301" s="3" t="n">
        <v>2843.87</v>
      </c>
      <c r="N301" s="5" t="n">
        <v>12</v>
      </c>
      <c r="O301" s="2" t="inlineStr">
        <is>
          <t>Teslim Edildi</t>
        </is>
      </c>
    </row>
    <row r="302">
      <c r="A302" s="2" t="inlineStr">
        <is>
          <t>SVK-0301</t>
        </is>
      </c>
      <c r="B302" s="2" t="inlineStr">
        <is>
          <t>SIP-0255</t>
        </is>
      </c>
      <c r="C302" s="2" t="inlineStr">
        <is>
          <t>MUS-017</t>
        </is>
      </c>
      <c r="D302" s="2" t="inlineStr">
        <is>
          <t>Polonya</t>
        </is>
      </c>
      <c r="E302" s="6" t="n">
        <v>46104</v>
      </c>
      <c r="F302" s="2" t="inlineStr">
        <is>
          <t>Havayolu</t>
        </is>
      </c>
      <c r="G302" s="2" t="inlineStr">
        <is>
          <t>Open Top 40FT</t>
        </is>
      </c>
      <c r="H302" s="5" t="n">
        <v>3191.68</v>
      </c>
      <c r="I302" s="5" t="n">
        <v>3389.12</v>
      </c>
      <c r="J302" s="3" t="n">
        <v>2521.63</v>
      </c>
      <c r="K302" s="3" t="n">
        <v>98.88</v>
      </c>
      <c r="L302" s="3" t="n">
        <v>293.25</v>
      </c>
      <c r="M302" s="3" t="n">
        <v>2913.76</v>
      </c>
      <c r="N302" s="5" t="n">
        <v>9</v>
      </c>
      <c r="O302" s="2" t="inlineStr">
        <is>
          <t>Teslim Edildi</t>
        </is>
      </c>
    </row>
    <row r="303">
      <c r="A303" s="2" t="inlineStr">
        <is>
          <t>SVK-0302</t>
        </is>
      </c>
      <c r="B303" s="2" t="inlineStr">
        <is>
          <t>SIP-0256</t>
        </is>
      </c>
      <c r="C303" s="2" t="inlineStr">
        <is>
          <t>MUS-034</t>
        </is>
      </c>
      <c r="D303" s="2" t="inlineStr">
        <is>
          <t>Italya</t>
        </is>
      </c>
      <c r="E303" s="6" t="n">
        <v>46111</v>
      </c>
      <c r="F303" s="2" t="inlineStr">
        <is>
          <t>Karayolu</t>
        </is>
      </c>
      <c r="G303" s="2" t="inlineStr">
        <is>
          <t>Open Top 40FT</t>
        </is>
      </c>
      <c r="H303" s="5" t="n">
        <v>3330.06</v>
      </c>
      <c r="I303" s="5" t="n">
        <v>3493.2</v>
      </c>
      <c r="J303" s="3" t="n">
        <v>2727.49</v>
      </c>
      <c r="K303" s="3" t="n">
        <v>127.15</v>
      </c>
      <c r="L303" s="3" t="n">
        <v>226.99</v>
      </c>
      <c r="M303" s="3" t="n">
        <v>3081.63</v>
      </c>
      <c r="N303" s="5" t="n">
        <v>13</v>
      </c>
      <c r="O303" s="2" t="inlineStr">
        <is>
          <t>Teslim Edildi</t>
        </is>
      </c>
    </row>
    <row r="304">
      <c r="A304" s="2" t="inlineStr">
        <is>
          <t>SVK-0303</t>
        </is>
      </c>
      <c r="B304" s="2" t="inlineStr">
        <is>
          <t>SIP-0257</t>
        </is>
      </c>
      <c r="C304" s="2" t="inlineStr">
        <is>
          <t>MUS-016</t>
        </is>
      </c>
      <c r="D304" s="2" t="inlineStr">
        <is>
          <t>Italya</t>
        </is>
      </c>
      <c r="E304" s="6" t="n">
        <v>46088</v>
      </c>
      <c r="F304" s="2" t="inlineStr">
        <is>
          <t>Denizyolu</t>
        </is>
      </c>
      <c r="G304" s="2" t="inlineStr">
        <is>
          <t>Open Top 40FT</t>
        </is>
      </c>
      <c r="H304" s="5" t="n">
        <v>918.25</v>
      </c>
      <c r="I304" s="5" t="n">
        <v>972.61</v>
      </c>
      <c r="J304" s="3" t="n">
        <v>1056.78</v>
      </c>
      <c r="K304" s="3" t="n">
        <v>58.27</v>
      </c>
      <c r="L304" s="3" t="n">
        <v>164.59</v>
      </c>
      <c r="M304" s="3" t="n">
        <v>1279.64</v>
      </c>
      <c r="N304" s="5" t="n">
        <v>7</v>
      </c>
      <c r="O304" s="2" t="inlineStr">
        <is>
          <t>Teslim Edildi</t>
        </is>
      </c>
    </row>
    <row r="305">
      <c r="A305" s="2" t="inlineStr">
        <is>
          <t>SVK-0304</t>
        </is>
      </c>
      <c r="B305" s="2" t="inlineStr">
        <is>
          <t>SIP-0257</t>
        </is>
      </c>
      <c r="C305" s="2" t="inlineStr">
        <is>
          <t>MUS-016</t>
        </is>
      </c>
      <c r="D305" s="2" t="inlineStr">
        <is>
          <t>Italya</t>
        </is>
      </c>
      <c r="E305" s="6" t="n">
        <v>46089</v>
      </c>
      <c r="F305" s="2" t="inlineStr">
        <is>
          <t>Denizyolu</t>
        </is>
      </c>
      <c r="G305" s="2" t="inlineStr">
        <is>
          <t>Open Top 40FT</t>
        </is>
      </c>
      <c r="H305" s="5" t="n">
        <v>918.25</v>
      </c>
      <c r="I305" s="5" t="n">
        <v>956.34</v>
      </c>
      <c r="J305" s="3" t="n">
        <v>1241.56</v>
      </c>
      <c r="K305" s="3" t="n">
        <v>54.74</v>
      </c>
      <c r="L305" s="3" t="n">
        <v>166.4</v>
      </c>
      <c r="M305" s="3" t="n">
        <v>1462.7</v>
      </c>
      <c r="N305" s="5" t="n">
        <v>13</v>
      </c>
      <c r="O305" s="2" t="inlineStr">
        <is>
          <t>Teslim Edildi</t>
        </is>
      </c>
    </row>
    <row r="306">
      <c r="A306" s="2" t="inlineStr">
        <is>
          <t>SVK-0305</t>
        </is>
      </c>
      <c r="B306" s="2" t="inlineStr">
        <is>
          <t>SIP-0258</t>
        </is>
      </c>
      <c r="C306" s="2" t="inlineStr">
        <is>
          <t>MUS-084</t>
        </is>
      </c>
      <c r="D306" s="2" t="inlineStr">
        <is>
          <t>Polonya</t>
        </is>
      </c>
      <c r="E306" s="6" t="n">
        <v>46112</v>
      </c>
      <c r="F306" s="2" t="inlineStr">
        <is>
          <t>Karayolu</t>
        </is>
      </c>
      <c r="G306" s="2" t="inlineStr">
        <is>
          <t>40FT</t>
        </is>
      </c>
      <c r="H306" s="5" t="n">
        <v>1134.27</v>
      </c>
      <c r="I306" s="5" t="n">
        <v>1205.58</v>
      </c>
      <c r="J306" s="3" t="n">
        <v>2697.01</v>
      </c>
      <c r="K306" s="3" t="n">
        <v>109.91</v>
      </c>
      <c r="L306" s="3" t="n">
        <v>198.55</v>
      </c>
      <c r="M306" s="3" t="n">
        <v>3005.47</v>
      </c>
      <c r="N306" s="5" t="n">
        <v>14</v>
      </c>
      <c r="O306" s="2" t="inlineStr">
        <is>
          <t>Teslim Edildi</t>
        </is>
      </c>
    </row>
    <row r="307">
      <c r="A307" s="2" t="inlineStr">
        <is>
          <t>SVK-0306</t>
        </is>
      </c>
      <c r="B307" s="2" t="inlineStr">
        <is>
          <t>SIP-0259</t>
        </is>
      </c>
      <c r="C307" s="2" t="inlineStr">
        <is>
          <t>MUS-066</t>
        </is>
      </c>
      <c r="D307" s="2" t="inlineStr">
        <is>
          <t>Kazakistan</t>
        </is>
      </c>
      <c r="E307" s="6" t="n">
        <v>46117</v>
      </c>
      <c r="F307" s="2" t="inlineStr">
        <is>
          <t>Karayolu</t>
        </is>
      </c>
      <c r="G307" s="2" t="inlineStr">
        <is>
          <t>Parsiyel</t>
        </is>
      </c>
      <c r="H307" s="5" t="n">
        <v>74.45999999999999</v>
      </c>
      <c r="I307" s="5" t="n">
        <v>80.29000000000001</v>
      </c>
      <c r="J307" s="3" t="n">
        <v>1969.6</v>
      </c>
      <c r="K307" s="3" t="n">
        <v>80.45999999999999</v>
      </c>
      <c r="L307" s="3" t="n">
        <v>256.37</v>
      </c>
      <c r="M307" s="3" t="n">
        <v>2306.43</v>
      </c>
      <c r="N307" s="5" t="n">
        <v>17</v>
      </c>
      <c r="O307" s="2" t="inlineStr">
        <is>
          <t>Teslim Edildi</t>
        </is>
      </c>
    </row>
    <row r="308">
      <c r="A308" s="2" t="inlineStr">
        <is>
          <t>SVK-0307</t>
        </is>
      </c>
      <c r="B308" s="2" t="inlineStr">
        <is>
          <t>SIP-0259</t>
        </is>
      </c>
      <c r="C308" s="2" t="inlineStr">
        <is>
          <t>MUS-066</t>
        </is>
      </c>
      <c r="D308" s="2" t="inlineStr">
        <is>
          <t>Kazakistan</t>
        </is>
      </c>
      <c r="E308" s="6" t="n">
        <v>46118</v>
      </c>
      <c r="F308" s="2" t="inlineStr">
        <is>
          <t>Karayolu</t>
        </is>
      </c>
      <c r="G308" s="2" t="inlineStr">
        <is>
          <t>Parsiyel</t>
        </is>
      </c>
      <c r="H308" s="5" t="n">
        <v>74.45999999999999</v>
      </c>
      <c r="I308" s="5" t="n">
        <v>77.8</v>
      </c>
      <c r="J308" s="3" t="n">
        <v>1944.53</v>
      </c>
      <c r="K308" s="3" t="n">
        <v>109.99</v>
      </c>
      <c r="L308" s="3" t="n">
        <v>283.14</v>
      </c>
      <c r="M308" s="3" t="n">
        <v>2337.66</v>
      </c>
      <c r="N308" s="5" t="n">
        <v>16</v>
      </c>
      <c r="O308" s="2" t="inlineStr">
        <is>
          <t>Teslim Edildi</t>
        </is>
      </c>
    </row>
    <row r="309">
      <c r="A309" s="2" t="inlineStr">
        <is>
          <t>SVK-0308</t>
        </is>
      </c>
      <c r="B309" s="2" t="inlineStr">
        <is>
          <t>SIP-0260</t>
        </is>
      </c>
      <c r="C309" s="2" t="inlineStr">
        <is>
          <t>MUS-041</t>
        </is>
      </c>
      <c r="D309" s="2" t="inlineStr">
        <is>
          <t>Hollanda</t>
        </is>
      </c>
      <c r="E309" s="6" t="n">
        <v>46126</v>
      </c>
      <c r="F309" s="2" t="inlineStr">
        <is>
          <t>Denizyolu</t>
        </is>
      </c>
      <c r="G309" s="2" t="inlineStr">
        <is>
          <t>Open Top 40FT</t>
        </is>
      </c>
      <c r="H309" s="5" t="n">
        <v>1938.19</v>
      </c>
      <c r="I309" s="5" t="n">
        <v>2074.23</v>
      </c>
      <c r="J309" s="3" t="n">
        <v>2335.89</v>
      </c>
      <c r="K309" s="3" t="n">
        <v>72.01000000000001</v>
      </c>
      <c r="L309" s="3" t="n">
        <v>302.58</v>
      </c>
      <c r="M309" s="3" t="n">
        <v>2710.48</v>
      </c>
      <c r="N309" s="5" t="n">
        <v>16</v>
      </c>
      <c r="O309" s="2" t="inlineStr">
        <is>
          <t>Yolda</t>
        </is>
      </c>
    </row>
    <row r="310">
      <c r="A310" s="2" t="inlineStr">
        <is>
          <t>SVK-0309</t>
        </is>
      </c>
      <c r="B310" s="2" t="inlineStr">
        <is>
          <t>SIP-0261</t>
        </is>
      </c>
      <c r="C310" s="2" t="inlineStr">
        <is>
          <t>MUS-072</t>
        </is>
      </c>
      <c r="D310" s="2" t="inlineStr">
        <is>
          <t>Polonya</t>
        </is>
      </c>
      <c r="E310" s="6" t="n">
        <v>46141</v>
      </c>
      <c r="F310" s="2" t="inlineStr">
        <is>
          <t>Karayolu</t>
        </is>
      </c>
      <c r="G310" s="2" t="inlineStr">
        <is>
          <t>40FT</t>
        </is>
      </c>
      <c r="H310" s="5" t="n">
        <v>1489.41</v>
      </c>
      <c r="I310" s="5" t="n">
        <v>1603.39</v>
      </c>
      <c r="J310" s="3" t="n">
        <v>2867.99</v>
      </c>
      <c r="K310" s="3" t="n">
        <v>123.05</v>
      </c>
      <c r="L310" s="3" t="n">
        <v>285.68</v>
      </c>
      <c r="M310" s="3" t="n">
        <v>3276.72</v>
      </c>
      <c r="N310" s="5" t="n">
        <v>12</v>
      </c>
      <c r="O310" s="2" t="inlineStr">
        <is>
          <t>Teslim Edildi</t>
        </is>
      </c>
    </row>
    <row r="311">
      <c r="A311" s="2" t="inlineStr">
        <is>
          <t>SVK-0310</t>
        </is>
      </c>
      <c r="B311" s="2" t="inlineStr">
        <is>
          <t>SIP-0262</t>
        </is>
      </c>
      <c r="C311" s="2" t="inlineStr">
        <is>
          <t>MUS-058</t>
        </is>
      </c>
      <c r="D311" s="2" t="inlineStr">
        <is>
          <t>Polonya</t>
        </is>
      </c>
      <c r="E311" s="6" t="n">
        <v>46107</v>
      </c>
      <c r="F311" s="2" t="inlineStr">
        <is>
          <t>Karayolu</t>
        </is>
      </c>
      <c r="G311" s="2" t="inlineStr">
        <is>
          <t>20FT</t>
        </is>
      </c>
      <c r="H311" s="5" t="n">
        <v>486.38</v>
      </c>
      <c r="I311" s="5" t="n">
        <v>514.49</v>
      </c>
      <c r="J311" s="3" t="n">
        <v>2747.52</v>
      </c>
      <c r="K311" s="3" t="n">
        <v>104.78</v>
      </c>
      <c r="L311" s="3" t="n">
        <v>289.08</v>
      </c>
      <c r="M311" s="3" t="n">
        <v>3141.38</v>
      </c>
      <c r="N311" s="5" t="n">
        <v>10</v>
      </c>
      <c r="O311" s="2" t="inlineStr">
        <is>
          <t>Yolda</t>
        </is>
      </c>
    </row>
    <row r="312">
      <c r="A312" s="2" t="inlineStr">
        <is>
          <t>SVK-0311</t>
        </is>
      </c>
      <c r="B312" s="2" t="inlineStr">
        <is>
          <t>SIP-0263</t>
        </is>
      </c>
      <c r="C312" s="2" t="inlineStr">
        <is>
          <t>MUS-001</t>
        </is>
      </c>
      <c r="D312" s="2" t="inlineStr">
        <is>
          <t>Misir</t>
        </is>
      </c>
      <c r="E312" s="6" t="n">
        <v>46113</v>
      </c>
      <c r="F312" s="2" t="inlineStr">
        <is>
          <t>Denizyolu</t>
        </is>
      </c>
      <c r="G312" s="2" t="inlineStr">
        <is>
          <t>Open Top 40FT</t>
        </is>
      </c>
      <c r="H312" s="5" t="n">
        <v>2854.34</v>
      </c>
      <c r="I312" s="5" t="n">
        <v>2989.08</v>
      </c>
      <c r="J312" s="3" t="n">
        <v>3394.28</v>
      </c>
      <c r="K312" s="3" t="n">
        <v>130.78</v>
      </c>
      <c r="L312" s="3" t="n">
        <v>478.31</v>
      </c>
      <c r="M312" s="3" t="n">
        <v>4003.37</v>
      </c>
      <c r="N312" s="5" t="n">
        <v>18</v>
      </c>
      <c r="O312" s="2" t="inlineStr">
        <is>
          <t>Teslim Edildi</t>
        </is>
      </c>
    </row>
    <row r="313">
      <c r="A313" s="2" t="inlineStr">
        <is>
          <t>SVK-0312</t>
        </is>
      </c>
      <c r="B313" s="2" t="inlineStr">
        <is>
          <t>SIP-0264</t>
        </is>
      </c>
      <c r="C313" s="2" t="inlineStr">
        <is>
          <t>MUS-046</t>
        </is>
      </c>
      <c r="D313" s="2" t="inlineStr">
        <is>
          <t>Romanya</t>
        </is>
      </c>
      <c r="E313" s="6" t="n">
        <v>46118</v>
      </c>
      <c r="F313" s="2" t="inlineStr">
        <is>
          <t>Havayolu</t>
        </is>
      </c>
      <c r="G313" s="2" t="inlineStr">
        <is>
          <t>40FT</t>
        </is>
      </c>
      <c r="H313" s="5" t="n">
        <v>832.48</v>
      </c>
      <c r="I313" s="5" t="n">
        <v>890.16</v>
      </c>
      <c r="J313" s="3" t="n">
        <v>883.38</v>
      </c>
      <c r="K313" s="3" t="n">
        <v>30.94</v>
      </c>
      <c r="L313" s="3" t="n">
        <v>126.2</v>
      </c>
      <c r="M313" s="3" t="n">
        <v>1040.52</v>
      </c>
      <c r="N313" s="5" t="n">
        <v>6</v>
      </c>
      <c r="O313" s="2" t="inlineStr">
        <is>
          <t>Teslim Edildi</t>
        </is>
      </c>
    </row>
    <row r="314">
      <c r="A314" s="2" t="inlineStr">
        <is>
          <t>SVK-0313</t>
        </is>
      </c>
      <c r="B314" s="2" t="inlineStr">
        <is>
          <t>SIP-0264</t>
        </is>
      </c>
      <c r="C314" s="2" t="inlineStr">
        <is>
          <t>MUS-046</t>
        </is>
      </c>
      <c r="D314" s="2" t="inlineStr">
        <is>
          <t>Romanya</t>
        </is>
      </c>
      <c r="E314" s="6" t="n">
        <v>46119</v>
      </c>
      <c r="F314" s="2" t="inlineStr">
        <is>
          <t>Havayolu</t>
        </is>
      </c>
      <c r="G314" s="2" t="inlineStr">
        <is>
          <t>40FT</t>
        </is>
      </c>
      <c r="H314" s="5" t="n">
        <v>832.48</v>
      </c>
      <c r="I314" s="5" t="n">
        <v>891.21</v>
      </c>
      <c r="J314" s="3" t="n">
        <v>940.41</v>
      </c>
      <c r="K314" s="3" t="n">
        <v>32.63</v>
      </c>
      <c r="L314" s="3" t="n">
        <v>136.57</v>
      </c>
      <c r="M314" s="3" t="n">
        <v>1109.61</v>
      </c>
      <c r="N314" s="5" t="n">
        <v>6</v>
      </c>
      <c r="O314" s="2" t="inlineStr">
        <is>
          <t>Teslim Edildi</t>
        </is>
      </c>
    </row>
    <row r="315">
      <c r="A315" s="2" t="inlineStr">
        <is>
          <t>SVK-0314</t>
        </is>
      </c>
      <c r="B315" s="2" t="inlineStr">
        <is>
          <t>SIP-0265</t>
        </is>
      </c>
      <c r="C315" s="2" t="inlineStr">
        <is>
          <t>MUS-007</t>
        </is>
      </c>
      <c r="D315" s="2" t="inlineStr">
        <is>
          <t>BAE</t>
        </is>
      </c>
      <c r="E315" s="6" t="n">
        <v>46156</v>
      </c>
      <c r="F315" s="2" t="inlineStr">
        <is>
          <t>Denizyolu</t>
        </is>
      </c>
      <c r="G315" s="2" t="inlineStr">
        <is>
          <t>40FT</t>
        </is>
      </c>
      <c r="H315" s="5" t="n">
        <v>1676.26</v>
      </c>
      <c r="I315" s="5" t="n">
        <v>1779.64</v>
      </c>
      <c r="J315" s="3" t="n">
        <v>3351.91</v>
      </c>
      <c r="K315" s="3" t="n">
        <v>156.42</v>
      </c>
      <c r="L315" s="3" t="n">
        <v>376.41</v>
      </c>
      <c r="M315" s="3" t="n">
        <v>3884.74</v>
      </c>
      <c r="N315" s="5" t="n">
        <v>18</v>
      </c>
      <c r="O315" s="2" t="inlineStr">
        <is>
          <t>Teslim Edildi</t>
        </is>
      </c>
    </row>
    <row r="316">
      <c r="A316" s="2" t="inlineStr">
        <is>
          <t>SVK-0315</t>
        </is>
      </c>
      <c r="B316" s="2" t="inlineStr">
        <is>
          <t>SIP-0266</t>
        </is>
      </c>
      <c r="C316" s="2" t="inlineStr">
        <is>
          <t>MUS-017</t>
        </is>
      </c>
      <c r="D316" s="2" t="inlineStr">
        <is>
          <t>Polonya</t>
        </is>
      </c>
      <c r="E316" s="6" t="n">
        <v>46146</v>
      </c>
      <c r="F316" s="2" t="inlineStr">
        <is>
          <t>Karayolu</t>
        </is>
      </c>
      <c r="G316" s="2" t="inlineStr">
        <is>
          <t>40FT</t>
        </is>
      </c>
      <c r="H316" s="5" t="n">
        <v>1782.33</v>
      </c>
      <c r="I316" s="5" t="n">
        <v>1906.93</v>
      </c>
      <c r="J316" s="3" t="n">
        <v>2340.39</v>
      </c>
      <c r="K316" s="3" t="n">
        <v>129.55</v>
      </c>
      <c r="L316" s="3" t="n">
        <v>196.11</v>
      </c>
      <c r="M316" s="3" t="n">
        <v>2666.05</v>
      </c>
      <c r="N316" s="5" t="n">
        <v>12</v>
      </c>
      <c r="O316" s="2" t="inlineStr">
        <is>
          <t>Teslim Edildi</t>
        </is>
      </c>
    </row>
    <row r="317">
      <c r="A317" s="2" t="inlineStr">
        <is>
          <t>SVK-0316</t>
        </is>
      </c>
      <c r="B317" s="2" t="inlineStr">
        <is>
          <t>SIP-0267</t>
        </is>
      </c>
      <c r="C317" s="2" t="inlineStr">
        <is>
          <t>MUS-036</t>
        </is>
      </c>
      <c r="D317" s="2" t="inlineStr">
        <is>
          <t>Cezayir</t>
        </is>
      </c>
      <c r="E317" s="6" t="n">
        <v>46118</v>
      </c>
      <c r="F317" s="2" t="inlineStr">
        <is>
          <t>Denizyolu</t>
        </is>
      </c>
      <c r="G317" s="2" t="inlineStr">
        <is>
          <t>40FT</t>
        </is>
      </c>
      <c r="H317" s="5" t="n">
        <v>600.0700000000001</v>
      </c>
      <c r="I317" s="5" t="n">
        <v>621.33</v>
      </c>
      <c r="J317" s="3" t="n">
        <v>1893.03</v>
      </c>
      <c r="K317" s="3" t="n">
        <v>58.03</v>
      </c>
      <c r="L317" s="3" t="n">
        <v>307.58</v>
      </c>
      <c r="M317" s="3" t="n">
        <v>2258.64</v>
      </c>
      <c r="N317" s="5" t="n">
        <v>17</v>
      </c>
      <c r="O317" s="2" t="inlineStr">
        <is>
          <t>Teslim Edildi</t>
        </is>
      </c>
    </row>
    <row r="318">
      <c r="A318" s="2" t="inlineStr">
        <is>
          <t>SVK-0317</t>
        </is>
      </c>
      <c r="B318" s="2" t="inlineStr">
        <is>
          <t>SIP-0267</t>
        </is>
      </c>
      <c r="C318" s="2" t="inlineStr">
        <is>
          <t>MUS-036</t>
        </is>
      </c>
      <c r="D318" s="2" t="inlineStr">
        <is>
          <t>Cezayir</t>
        </is>
      </c>
      <c r="E318" s="6" t="n">
        <v>46119</v>
      </c>
      <c r="F318" s="2" t="inlineStr">
        <is>
          <t>Denizyolu</t>
        </is>
      </c>
      <c r="G318" s="2" t="inlineStr">
        <is>
          <t>40FT</t>
        </is>
      </c>
      <c r="H318" s="5" t="n">
        <v>600.0700000000001</v>
      </c>
      <c r="I318" s="5" t="n">
        <v>632.67</v>
      </c>
      <c r="J318" s="3" t="n">
        <v>1578.06</v>
      </c>
      <c r="K318" s="3" t="n">
        <v>66.17</v>
      </c>
      <c r="L318" s="3" t="n">
        <v>223.35</v>
      </c>
      <c r="M318" s="3" t="n">
        <v>1867.58</v>
      </c>
      <c r="N318" s="5" t="n">
        <v>20</v>
      </c>
      <c r="O318" s="2" t="inlineStr">
        <is>
          <t>Teslim Edildi</t>
        </is>
      </c>
    </row>
    <row r="319">
      <c r="A319" s="2" t="inlineStr">
        <is>
          <t>SVK-0318</t>
        </is>
      </c>
      <c r="B319" s="2" t="inlineStr">
        <is>
          <t>SIP-0268</t>
        </is>
      </c>
      <c r="C319" s="2" t="inlineStr">
        <is>
          <t>MUS-047</t>
        </is>
      </c>
      <c r="D319" s="2" t="inlineStr">
        <is>
          <t>Misir</t>
        </is>
      </c>
      <c r="E319" s="6" t="n">
        <v>46137</v>
      </c>
      <c r="F319" s="2" t="inlineStr">
        <is>
          <t>Denizyolu</t>
        </is>
      </c>
      <c r="G319" s="2" t="inlineStr">
        <is>
          <t>40FT</t>
        </is>
      </c>
      <c r="H319" s="5" t="n">
        <v>1274.33</v>
      </c>
      <c r="I319" s="5" t="n">
        <v>1362.72</v>
      </c>
      <c r="J319" s="3" t="n">
        <v>3585.32</v>
      </c>
      <c r="K319" s="3" t="n">
        <v>113.46</v>
      </c>
      <c r="L319" s="3" t="n">
        <v>592.65</v>
      </c>
      <c r="M319" s="3" t="n">
        <v>4291.43</v>
      </c>
      <c r="N319" s="5" t="n">
        <v>17</v>
      </c>
      <c r="O319" s="2" t="inlineStr">
        <is>
          <t>Yolda</t>
        </is>
      </c>
    </row>
    <row r="320">
      <c r="A320" s="2" t="inlineStr">
        <is>
          <t>SVK-0319</t>
        </is>
      </c>
      <c r="B320" s="2" t="inlineStr">
        <is>
          <t>SIP-0269</t>
        </is>
      </c>
      <c r="C320" s="2" t="inlineStr">
        <is>
          <t>MUS-039</t>
        </is>
      </c>
      <c r="D320" s="2" t="inlineStr">
        <is>
          <t>BAE</t>
        </is>
      </c>
      <c r="E320" s="6" t="n">
        <v>46140</v>
      </c>
      <c r="F320" s="2" t="inlineStr">
        <is>
          <t>Karayolu</t>
        </is>
      </c>
      <c r="G320" s="2" t="inlineStr">
        <is>
          <t>40FT</t>
        </is>
      </c>
      <c r="H320" s="5" t="n">
        <v>1745.3</v>
      </c>
      <c r="I320" s="5" t="n">
        <v>1803.7</v>
      </c>
      <c r="J320" s="3" t="n">
        <v>4162.56</v>
      </c>
      <c r="K320" s="3" t="n">
        <v>178.69</v>
      </c>
      <c r="L320" s="3" t="n">
        <v>355.35</v>
      </c>
      <c r="M320" s="3" t="n">
        <v>4696.6</v>
      </c>
      <c r="N320" s="5" t="n">
        <v>21</v>
      </c>
      <c r="O320" s="2" t="inlineStr">
        <is>
          <t>Teslim Edildi</t>
        </is>
      </c>
    </row>
    <row r="321">
      <c r="A321" s="2" t="inlineStr">
        <is>
          <t>SVK-0320</t>
        </is>
      </c>
      <c r="B321" s="2" t="inlineStr">
        <is>
          <t>SIP-0270</t>
        </is>
      </c>
      <c r="C321" s="2" t="inlineStr">
        <is>
          <t>MUS-081</t>
        </is>
      </c>
      <c r="D321" s="2" t="inlineStr">
        <is>
          <t>Suudi Arabistan</t>
        </is>
      </c>
      <c r="E321" s="6" t="n">
        <v>46149</v>
      </c>
      <c r="F321" s="2" t="inlineStr">
        <is>
          <t>Denizyolu</t>
        </is>
      </c>
      <c r="G321" s="2" t="inlineStr">
        <is>
          <t>40FT</t>
        </is>
      </c>
      <c r="H321" s="5" t="n">
        <v>1552.53</v>
      </c>
      <c r="I321" s="5" t="n">
        <v>1658.17</v>
      </c>
      <c r="J321" s="3" t="n">
        <v>4435.69</v>
      </c>
      <c r="K321" s="3" t="n">
        <v>246.39</v>
      </c>
      <c r="L321" s="3" t="n">
        <v>399.96</v>
      </c>
      <c r="M321" s="3" t="n">
        <v>5082.04</v>
      </c>
      <c r="N321" s="5" t="n">
        <v>23</v>
      </c>
      <c r="O321" s="2" t="inlineStr">
        <is>
          <t>Teslim Edildi</t>
        </is>
      </c>
    </row>
    <row r="322">
      <c r="A322" s="2" t="inlineStr">
        <is>
          <t>SVK-0321</t>
        </is>
      </c>
      <c r="B322" s="2" t="inlineStr">
        <is>
          <t>SIP-0271</t>
        </is>
      </c>
      <c r="C322" s="2" t="inlineStr">
        <is>
          <t>MUS-033</t>
        </is>
      </c>
      <c r="D322" s="2" t="inlineStr">
        <is>
          <t>Cezayir</t>
        </is>
      </c>
      <c r="E322" s="6" t="n">
        <v>46192</v>
      </c>
      <c r="F322" s="2" t="inlineStr">
        <is>
          <t>Denizyolu</t>
        </is>
      </c>
      <c r="G322" s="2" t="inlineStr">
        <is>
          <t>Open Top 40FT</t>
        </is>
      </c>
      <c r="H322" s="5" t="n">
        <v>3250.68</v>
      </c>
      <c r="I322" s="5" t="n">
        <v>3356.19</v>
      </c>
      <c r="J322" s="3" t="n">
        <v>3128.82</v>
      </c>
      <c r="K322" s="3" t="n">
        <v>120.65</v>
      </c>
      <c r="L322" s="3" t="n">
        <v>394.9</v>
      </c>
      <c r="M322" s="3" t="n">
        <v>3644.37</v>
      </c>
      <c r="N322" s="5" t="n">
        <v>19</v>
      </c>
      <c r="O322" s="2" t="inlineStr">
        <is>
          <t>Teslim Edildi</t>
        </is>
      </c>
    </row>
    <row r="323">
      <c r="A323" s="2" t="inlineStr">
        <is>
          <t>SVK-0322</t>
        </is>
      </c>
      <c r="B323" s="2" t="inlineStr">
        <is>
          <t>SIP-0272</t>
        </is>
      </c>
      <c r="C323" s="2" t="inlineStr">
        <is>
          <t>MUS-078</t>
        </is>
      </c>
      <c r="D323" s="2" t="inlineStr">
        <is>
          <t>Italya</t>
        </is>
      </c>
      <c r="E323" s="6" t="n">
        <v>46166</v>
      </c>
      <c r="F323" s="2" t="inlineStr">
        <is>
          <t>Karayolu</t>
        </is>
      </c>
      <c r="G323" s="2" t="inlineStr">
        <is>
          <t>40FT</t>
        </is>
      </c>
      <c r="H323" s="5" t="n">
        <v>1220.39</v>
      </c>
      <c r="I323" s="5" t="n">
        <v>1270.44</v>
      </c>
      <c r="J323" s="3" t="n">
        <v>2327.05</v>
      </c>
      <c r="K323" s="3" t="n">
        <v>92.64</v>
      </c>
      <c r="L323" s="3" t="n">
        <v>327.85</v>
      </c>
      <c r="M323" s="3" t="n">
        <v>2747.54</v>
      </c>
      <c r="N323" s="5" t="n">
        <v>9</v>
      </c>
      <c r="O323" s="2" t="inlineStr">
        <is>
          <t>Teslim Edildi</t>
        </is>
      </c>
    </row>
    <row r="324">
      <c r="A324" s="2" t="inlineStr">
        <is>
          <t>SVK-0323</t>
        </is>
      </c>
      <c r="B324" s="2" t="inlineStr">
        <is>
          <t>SIP-0273</t>
        </is>
      </c>
      <c r="C324" s="2" t="inlineStr">
        <is>
          <t>MUS-078</t>
        </is>
      </c>
      <c r="D324" s="2" t="inlineStr">
        <is>
          <t>Italya</t>
        </is>
      </c>
      <c r="E324" s="6" t="n">
        <v>46147</v>
      </c>
      <c r="F324" s="2" t="inlineStr">
        <is>
          <t>Karayolu</t>
        </is>
      </c>
      <c r="G324" s="2" t="inlineStr">
        <is>
          <t>20FT</t>
        </is>
      </c>
      <c r="H324" s="5" t="n">
        <v>266.35</v>
      </c>
      <c r="I324" s="5" t="n">
        <v>283.77</v>
      </c>
      <c r="J324" s="3" t="n">
        <v>2217.66</v>
      </c>
      <c r="K324" s="3" t="n">
        <v>72.5</v>
      </c>
      <c r="L324" s="3" t="n">
        <v>226.91</v>
      </c>
      <c r="M324" s="3" t="n">
        <v>2517.07</v>
      </c>
      <c r="N324" s="5" t="n">
        <v>12</v>
      </c>
      <c r="O324" s="2" t="inlineStr">
        <is>
          <t>Teslim Edildi</t>
        </is>
      </c>
    </row>
    <row r="325">
      <c r="A325" s="2" t="inlineStr">
        <is>
          <t>SVK-0324</t>
        </is>
      </c>
      <c r="B325" s="2" t="inlineStr">
        <is>
          <t>SIP-0274</t>
        </is>
      </c>
      <c r="C325" s="2" t="inlineStr">
        <is>
          <t>MUS-019</t>
        </is>
      </c>
      <c r="D325" s="2" t="inlineStr">
        <is>
          <t>Suudi Arabistan</t>
        </is>
      </c>
      <c r="E325" s="6" t="n">
        <v>46150</v>
      </c>
      <c r="F325" s="2" t="inlineStr">
        <is>
          <t>Karayolu</t>
        </is>
      </c>
      <c r="G325" s="2" t="inlineStr">
        <is>
          <t>Open Top 40FT</t>
        </is>
      </c>
      <c r="H325" s="5" t="n">
        <v>2797.62</v>
      </c>
      <c r="I325" s="5" t="n">
        <v>2954.29</v>
      </c>
      <c r="J325" s="3" t="n">
        <v>4191.93</v>
      </c>
      <c r="K325" s="3" t="n">
        <v>250.35</v>
      </c>
      <c r="L325" s="3" t="n">
        <v>339.09</v>
      </c>
      <c r="M325" s="3" t="n">
        <v>4781.37</v>
      </c>
      <c r="N325" s="5" t="n">
        <v>22</v>
      </c>
      <c r="O325" s="2" t="inlineStr">
        <is>
          <t>Teslim Edildi</t>
        </is>
      </c>
    </row>
    <row r="326">
      <c r="A326" s="2" t="inlineStr">
        <is>
          <t>SVK-0325</t>
        </is>
      </c>
      <c r="B326" s="2" t="inlineStr">
        <is>
          <t>SIP-0275</t>
        </is>
      </c>
      <c r="C326" s="2" t="inlineStr">
        <is>
          <t>MUS-031</t>
        </is>
      </c>
      <c r="D326" s="2" t="inlineStr">
        <is>
          <t>Polonya</t>
        </is>
      </c>
      <c r="E326" s="6" t="n">
        <v>46145</v>
      </c>
      <c r="F326" s="2" t="inlineStr">
        <is>
          <t>Denizyolu</t>
        </is>
      </c>
      <c r="G326" s="2" t="inlineStr">
        <is>
          <t>20FT</t>
        </is>
      </c>
      <c r="H326" s="5" t="n">
        <v>406.22</v>
      </c>
      <c r="I326" s="5" t="n">
        <v>434.4</v>
      </c>
      <c r="J326" s="3" t="n">
        <v>2780.59</v>
      </c>
      <c r="K326" s="3" t="n">
        <v>102.98</v>
      </c>
      <c r="L326" s="3" t="n">
        <v>303.84</v>
      </c>
      <c r="M326" s="3" t="n">
        <v>3187.41</v>
      </c>
      <c r="N326" s="5" t="n">
        <v>12</v>
      </c>
      <c r="O326" s="2" t="inlineStr">
        <is>
          <t>Teslim Edildi</t>
        </is>
      </c>
    </row>
    <row r="327">
      <c r="A327" s="2" t="inlineStr">
        <is>
          <t>SVK-0326</t>
        </is>
      </c>
      <c r="B327" s="2" t="inlineStr">
        <is>
          <t>SIP-0276</t>
        </is>
      </c>
      <c r="C327" s="2" t="inlineStr">
        <is>
          <t>MUS-034</t>
        </is>
      </c>
      <c r="D327" s="2" t="inlineStr">
        <is>
          <t>Italya</t>
        </is>
      </c>
      <c r="E327" s="6" t="n">
        <v>46167</v>
      </c>
      <c r="F327" s="2" t="inlineStr">
        <is>
          <t>Karayolu</t>
        </is>
      </c>
      <c r="G327" s="2" t="inlineStr">
        <is>
          <t>20FT</t>
        </is>
      </c>
      <c r="H327" s="5" t="n">
        <v>158.73</v>
      </c>
      <c r="I327" s="5" t="n">
        <v>165.87</v>
      </c>
      <c r="J327" s="3" t="n">
        <v>1173.67</v>
      </c>
      <c r="K327" s="3" t="n">
        <v>44.06</v>
      </c>
      <c r="L327" s="3" t="n">
        <v>129.83</v>
      </c>
      <c r="M327" s="3" t="n">
        <v>1347.56</v>
      </c>
      <c r="N327" s="5" t="n">
        <v>10</v>
      </c>
      <c r="O327" s="2" t="inlineStr">
        <is>
          <t>Teslim Edildi</t>
        </is>
      </c>
    </row>
    <row r="328">
      <c r="A328" s="2" t="inlineStr">
        <is>
          <t>SVK-0327</t>
        </is>
      </c>
      <c r="B328" s="2" t="inlineStr">
        <is>
          <t>SIP-0276</t>
        </is>
      </c>
      <c r="C328" s="2" t="inlineStr">
        <is>
          <t>MUS-034</t>
        </is>
      </c>
      <c r="D328" s="2" t="inlineStr">
        <is>
          <t>Italya</t>
        </is>
      </c>
      <c r="E328" s="6" t="n">
        <v>46168</v>
      </c>
      <c r="F328" s="2" t="inlineStr">
        <is>
          <t>Karayolu</t>
        </is>
      </c>
      <c r="G328" s="2" t="inlineStr">
        <is>
          <t>20FT</t>
        </is>
      </c>
      <c r="H328" s="5" t="n">
        <v>158.73</v>
      </c>
      <c r="I328" s="5" t="n">
        <v>164.14</v>
      </c>
      <c r="J328" s="3" t="n">
        <v>1353.54</v>
      </c>
      <c r="K328" s="3" t="n">
        <v>62.08</v>
      </c>
      <c r="L328" s="3" t="n">
        <v>105.36</v>
      </c>
      <c r="M328" s="3" t="n">
        <v>1520.98</v>
      </c>
      <c r="N328" s="5" t="n">
        <v>11</v>
      </c>
      <c r="O328" s="2" t="inlineStr">
        <is>
          <t>Teslim Edildi</t>
        </is>
      </c>
    </row>
    <row r="329">
      <c r="A329" s="2" t="inlineStr">
        <is>
          <t>SVK-0328</t>
        </is>
      </c>
      <c r="B329" s="2" t="inlineStr">
        <is>
          <t>SIP-0277</t>
        </is>
      </c>
      <c r="C329" s="2" t="inlineStr">
        <is>
          <t>MUS-008</t>
        </is>
      </c>
      <c r="D329" s="2" t="inlineStr">
        <is>
          <t>Azerbaycan</t>
        </is>
      </c>
      <c r="E329" s="6" t="n">
        <v>46182</v>
      </c>
      <c r="F329" s="2" t="inlineStr">
        <is>
          <t>Karayolu</t>
        </is>
      </c>
      <c r="G329" s="2" t="inlineStr">
        <is>
          <t>40FT</t>
        </is>
      </c>
      <c r="H329" s="5" t="n">
        <v>860.09</v>
      </c>
      <c r="I329" s="5" t="n">
        <v>913.03</v>
      </c>
      <c r="J329" s="3" t="n">
        <v>2497.81</v>
      </c>
      <c r="K329" s="3" t="n">
        <v>103.08</v>
      </c>
      <c r="L329" s="3" t="n">
        <v>413.25</v>
      </c>
      <c r="M329" s="3" t="n">
        <v>3014.14</v>
      </c>
      <c r="N329" s="5" t="n">
        <v>10</v>
      </c>
      <c r="O329" s="2" t="inlineStr">
        <is>
          <t>Teslim Edildi</t>
        </is>
      </c>
    </row>
    <row r="330">
      <c r="A330" s="2" t="inlineStr">
        <is>
          <t>SVK-0329</t>
        </is>
      </c>
      <c r="B330" s="2" t="inlineStr">
        <is>
          <t>SIP-0278</t>
        </is>
      </c>
      <c r="C330" s="2" t="inlineStr">
        <is>
          <t>MUS-033</t>
        </is>
      </c>
      <c r="D330" s="2" t="inlineStr">
        <is>
          <t>Cezayir</t>
        </is>
      </c>
      <c r="E330" s="6" t="n">
        <v>46145</v>
      </c>
      <c r="F330" s="2" t="inlineStr">
        <is>
          <t>Havayolu</t>
        </is>
      </c>
      <c r="G330" s="2" t="inlineStr">
        <is>
          <t>40FT</t>
        </is>
      </c>
      <c r="H330" s="5" t="n">
        <v>1735.25</v>
      </c>
      <c r="I330" s="5" t="n">
        <v>1811.39</v>
      </c>
      <c r="J330" s="3" t="n">
        <v>2975.11</v>
      </c>
      <c r="K330" s="3" t="n">
        <v>113.94</v>
      </c>
      <c r="L330" s="3" t="n">
        <v>517.6900000000001</v>
      </c>
      <c r="M330" s="3" t="n">
        <v>3606.74</v>
      </c>
      <c r="N330" s="5" t="n">
        <v>14</v>
      </c>
      <c r="O330" s="2" t="inlineStr">
        <is>
          <t>Yolda</t>
        </is>
      </c>
    </row>
    <row r="331">
      <c r="A331" s="2" t="inlineStr">
        <is>
          <t>SVK-0330</t>
        </is>
      </c>
      <c r="B331" s="2" t="inlineStr">
        <is>
          <t>SIP-0279</t>
        </is>
      </c>
      <c r="C331" s="2" t="inlineStr">
        <is>
          <t>MUS-024</t>
        </is>
      </c>
      <c r="D331" s="2" t="inlineStr">
        <is>
          <t>Katar</t>
        </is>
      </c>
      <c r="E331" s="6" t="n">
        <v>46166</v>
      </c>
      <c r="F331" s="2" t="inlineStr">
        <is>
          <t>Denizyolu</t>
        </is>
      </c>
      <c r="G331" s="2" t="inlineStr">
        <is>
          <t>40FT</t>
        </is>
      </c>
      <c r="H331" s="5" t="n">
        <v>908.96</v>
      </c>
      <c r="I331" s="5" t="n">
        <v>970.9299999999999</v>
      </c>
      <c r="J331" s="3" t="n">
        <v>4569.22</v>
      </c>
      <c r="K331" s="3" t="n">
        <v>183.76</v>
      </c>
      <c r="L331" s="3" t="n">
        <v>331.61</v>
      </c>
      <c r="M331" s="3" t="n">
        <v>5084.59</v>
      </c>
      <c r="N331" s="5" t="n">
        <v>24</v>
      </c>
      <c r="O331" s="2" t="inlineStr">
        <is>
          <t>Teslim Edildi</t>
        </is>
      </c>
    </row>
    <row r="332">
      <c r="A332" s="2" t="inlineStr">
        <is>
          <t>SVK-0331</t>
        </is>
      </c>
      <c r="B332" s="2" t="inlineStr">
        <is>
          <t>SIP-0280</t>
        </is>
      </c>
      <c r="C332" s="2" t="inlineStr">
        <is>
          <t>MUS-058</t>
        </is>
      </c>
      <c r="D332" s="2" t="inlineStr">
        <is>
          <t>Polonya</t>
        </is>
      </c>
      <c r="E332" s="6" t="n">
        <v>46157</v>
      </c>
      <c r="F332" s="2" t="inlineStr">
        <is>
          <t>Karayolu</t>
        </is>
      </c>
      <c r="G332" s="2" t="inlineStr">
        <is>
          <t>40FT</t>
        </is>
      </c>
      <c r="H332" s="5" t="n">
        <v>1671.02</v>
      </c>
      <c r="I332" s="5" t="n">
        <v>1753.75</v>
      </c>
      <c r="J332" s="3" t="n">
        <v>2250.56</v>
      </c>
      <c r="K332" s="3" t="n">
        <v>134.06</v>
      </c>
      <c r="L332" s="3" t="n">
        <v>295.62</v>
      </c>
      <c r="M332" s="3" t="n">
        <v>2680.24</v>
      </c>
      <c r="N332" s="5" t="n">
        <v>10</v>
      </c>
      <c r="O332" s="2" t="inlineStr">
        <is>
          <t>Gumrukte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4" customWidth="1" min="4" max="4"/>
    <col width="13" customWidth="1" min="5" max="5"/>
    <col width="12" customWidth="1" min="6" max="6"/>
    <col width="26" customWidth="1" min="7" max="7"/>
    <col width="19" customWidth="1" min="8" max="8"/>
    <col width="13" customWidth="1" min="9" max="9"/>
    <col width="18" customWidth="1" min="10" max="10"/>
    <col width="19" customWidth="1" min="11" max="11"/>
    <col width="22" customWidth="1" min="12" max="12"/>
  </cols>
  <sheetData>
    <row r="1">
      <c r="A1" s="1" t="inlineStr">
        <is>
          <t>Fatura_No</t>
        </is>
      </c>
      <c r="B1" s="1" t="inlineStr">
        <is>
          <t>Fatura_Tarihi</t>
        </is>
      </c>
      <c r="C1" s="1" t="inlineStr">
        <is>
          <t>Siparis_No</t>
        </is>
      </c>
      <c r="D1" s="1" t="inlineStr">
        <is>
          <t>Musteri_Kodu</t>
        </is>
      </c>
      <c r="E1" s="1" t="inlineStr">
        <is>
          <t>Para_Birimi</t>
        </is>
      </c>
      <c r="F1" s="1" t="inlineStr">
        <is>
          <t>Kur</t>
        </is>
      </c>
      <c r="G1" s="1" t="inlineStr">
        <is>
          <t>Fatura_Tutari_Para_Birimi</t>
        </is>
      </c>
      <c r="H1" s="1" t="inlineStr">
        <is>
          <t>Fatura_Tutari_USD</t>
        </is>
      </c>
      <c r="I1" s="1" t="inlineStr">
        <is>
          <t>Vade_Tarihi</t>
        </is>
      </c>
      <c r="J1" s="1" t="inlineStr">
        <is>
          <t>Odeme_Durumu</t>
        </is>
      </c>
      <c r="K1" s="1" t="inlineStr">
        <is>
          <t>KDV_Durumu</t>
        </is>
      </c>
      <c r="L1" s="1" t="inlineStr">
        <is>
          <t>Ihracat_Istisna_Kodu</t>
        </is>
      </c>
    </row>
    <row r="2">
      <c r="A2" s="2" t="inlineStr">
        <is>
          <t>FTR-0001</t>
        </is>
      </c>
      <c r="B2" s="6" t="n">
        <v>45464</v>
      </c>
      <c r="C2" s="2" t="inlineStr">
        <is>
          <t>SIP-0001</t>
        </is>
      </c>
      <c r="D2" s="2" t="inlineStr">
        <is>
          <t>MUS-062</t>
        </is>
      </c>
      <c r="E2" s="2" t="inlineStr">
        <is>
          <t>USD</t>
        </is>
      </c>
      <c r="F2" s="5" t="n">
        <v>1</v>
      </c>
      <c r="G2" s="3" t="n">
        <v>30438.88</v>
      </c>
      <c r="H2" s="3" t="n">
        <v>30438.88</v>
      </c>
      <c r="I2" s="6" t="n">
        <v>45509</v>
      </c>
      <c r="J2" s="2" t="inlineStr">
        <is>
          <t>Acik</t>
        </is>
      </c>
      <c r="K2" s="2" t="inlineStr">
        <is>
          <t>Ihracat Istisnasi</t>
        </is>
      </c>
      <c r="L2" s="2" t="inlineStr">
        <is>
          <t>301</t>
        </is>
      </c>
    </row>
    <row r="3">
      <c r="A3" s="2" t="inlineStr">
        <is>
          <t>FTR-0002</t>
        </is>
      </c>
      <c r="B3" s="6" t="n">
        <v>45465</v>
      </c>
      <c r="C3" s="2" t="inlineStr">
        <is>
          <t>SIP-0001</t>
        </is>
      </c>
      <c r="D3" s="2" t="inlineStr">
        <is>
          <t>MUS-062</t>
        </is>
      </c>
      <c r="E3" s="2" t="inlineStr">
        <is>
          <t>USD</t>
        </is>
      </c>
      <c r="F3" s="5" t="n">
        <v>1</v>
      </c>
      <c r="G3" s="3" t="n">
        <v>28948.01</v>
      </c>
      <c r="H3" s="3" t="n">
        <v>28948.01</v>
      </c>
      <c r="I3" s="6" t="n">
        <v>45510</v>
      </c>
      <c r="J3" s="2" t="inlineStr">
        <is>
          <t>Gecikmeli Odendi</t>
        </is>
      </c>
      <c r="K3" s="2" t="inlineStr">
        <is>
          <t>Ihracat Istisnasi</t>
        </is>
      </c>
      <c r="L3" s="2" t="inlineStr">
        <is>
          <t>301</t>
        </is>
      </c>
    </row>
    <row r="4">
      <c r="A4" s="2" t="inlineStr">
        <is>
          <t>FTR-0003</t>
        </is>
      </c>
      <c r="B4" s="6" t="n">
        <v>45495</v>
      </c>
      <c r="C4" s="2" t="inlineStr">
        <is>
          <t>SIP-0002</t>
        </is>
      </c>
      <c r="D4" s="2" t="inlineStr">
        <is>
          <t>MUS-006</t>
        </is>
      </c>
      <c r="E4" s="2" t="inlineStr">
        <is>
          <t>USD</t>
        </is>
      </c>
      <c r="F4" s="5" t="n">
        <v>1</v>
      </c>
      <c r="G4" s="3" t="n">
        <v>18665.03</v>
      </c>
      <c r="H4" s="3" t="n">
        <v>18665.03</v>
      </c>
      <c r="I4" s="6" t="n">
        <v>45510</v>
      </c>
      <c r="J4" s="2" t="inlineStr">
        <is>
          <t>Acik</t>
        </is>
      </c>
      <c r="K4" s="2" t="inlineStr">
        <is>
          <t>Ihracat Istisnasi</t>
        </is>
      </c>
      <c r="L4" s="2" t="inlineStr">
        <is>
          <t>301</t>
        </is>
      </c>
    </row>
    <row r="5">
      <c r="A5" s="2" t="inlineStr">
        <is>
          <t>FTR-0004</t>
        </is>
      </c>
      <c r="B5" s="6" t="n">
        <v>45496</v>
      </c>
      <c r="C5" s="2" t="inlineStr">
        <is>
          <t>SIP-0002</t>
        </is>
      </c>
      <c r="D5" s="2" t="inlineStr">
        <is>
          <t>MUS-006</t>
        </is>
      </c>
      <c r="E5" s="2" t="inlineStr">
        <is>
          <t>USD</t>
        </is>
      </c>
      <c r="F5" s="5" t="n">
        <v>1</v>
      </c>
      <c r="G5" s="3" t="n">
        <v>25246.81</v>
      </c>
      <c r="H5" s="3" t="n">
        <v>25246.81</v>
      </c>
      <c r="I5" s="6" t="n">
        <v>45511</v>
      </c>
      <c r="J5" s="2" t="inlineStr">
        <is>
          <t>Gecikmeli Odendi</t>
        </is>
      </c>
      <c r="K5" s="2" t="inlineStr">
        <is>
          <t>Ihracat Istisnasi</t>
        </is>
      </c>
      <c r="L5" s="2" t="inlineStr">
        <is>
          <t>301</t>
        </is>
      </c>
    </row>
    <row r="6">
      <c r="A6" s="2" t="inlineStr">
        <is>
          <t>FTR-0005</t>
        </is>
      </c>
      <c r="B6" s="6" t="n">
        <v>45502</v>
      </c>
      <c r="C6" s="2" t="inlineStr">
        <is>
          <t>SIP-0003</t>
        </is>
      </c>
      <c r="D6" s="2" t="inlineStr">
        <is>
          <t>MUS-065</t>
        </is>
      </c>
      <c r="E6" s="2" t="inlineStr">
        <is>
          <t>USD</t>
        </is>
      </c>
      <c r="F6" s="5" t="n">
        <v>1</v>
      </c>
      <c r="G6" s="3" t="n">
        <v>72655.17</v>
      </c>
      <c r="H6" s="3" t="n">
        <v>72655.17</v>
      </c>
      <c r="I6" s="6" t="n">
        <v>45547</v>
      </c>
      <c r="J6" s="2" t="inlineStr">
        <is>
          <t>Odendi</t>
        </is>
      </c>
      <c r="K6" s="2" t="inlineStr">
        <is>
          <t>Ihracat Istisnasi</t>
        </is>
      </c>
      <c r="L6" s="2" t="inlineStr">
        <is>
          <t>301</t>
        </is>
      </c>
    </row>
    <row r="7">
      <c r="A7" s="2" t="inlineStr">
        <is>
          <t>FTR-0006</t>
        </is>
      </c>
      <c r="B7" s="6" t="n">
        <v>45481</v>
      </c>
      <c r="C7" s="2" t="inlineStr">
        <is>
          <t>SIP-0004</t>
        </is>
      </c>
      <c r="D7" s="2" t="inlineStr">
        <is>
          <t>MUS-036</t>
        </is>
      </c>
      <c r="E7" s="2" t="inlineStr">
        <is>
          <t>USD</t>
        </is>
      </c>
      <c r="F7" s="5" t="n">
        <v>1</v>
      </c>
      <c r="G7" s="3" t="n">
        <v>21890.57</v>
      </c>
      <c r="H7" s="3" t="n">
        <v>21890.57</v>
      </c>
      <c r="I7" s="6" t="n">
        <v>45511</v>
      </c>
      <c r="J7" s="2" t="inlineStr">
        <is>
          <t>Acik</t>
        </is>
      </c>
      <c r="K7" s="2" t="inlineStr">
        <is>
          <t>Ihracat Istisnasi</t>
        </is>
      </c>
      <c r="L7" s="2" t="inlineStr">
        <is>
          <t>301</t>
        </is>
      </c>
    </row>
    <row r="8">
      <c r="A8" s="2" t="inlineStr">
        <is>
          <t>FTR-0007</t>
        </is>
      </c>
      <c r="B8" s="6" t="n">
        <v>45479</v>
      </c>
      <c r="C8" s="2" t="inlineStr">
        <is>
          <t>SIP-0005</t>
        </is>
      </c>
      <c r="D8" s="2" t="inlineStr">
        <is>
          <t>MUS-056</t>
        </is>
      </c>
      <c r="E8" s="2" t="inlineStr">
        <is>
          <t>EUR</t>
        </is>
      </c>
      <c r="F8" s="5" t="n">
        <v>1.0763</v>
      </c>
      <c r="G8" s="3" t="n">
        <v>12681.76</v>
      </c>
      <c r="H8" s="3" t="n">
        <v>13649.38</v>
      </c>
      <c r="I8" s="6" t="n">
        <v>45494</v>
      </c>
      <c r="J8" s="2" t="inlineStr">
        <is>
          <t>Gecikmeli Odendi</t>
        </is>
      </c>
      <c r="K8" s="2" t="inlineStr">
        <is>
          <t>Ihracat Istisnasi</t>
        </is>
      </c>
      <c r="L8" s="2" t="inlineStr">
        <is>
          <t>301</t>
        </is>
      </c>
    </row>
    <row r="9">
      <c r="A9" s="2" t="inlineStr">
        <is>
          <t>FTR-0008</t>
        </is>
      </c>
      <c r="B9" s="6" t="n">
        <v>45475</v>
      </c>
      <c r="C9" s="2" t="inlineStr">
        <is>
          <t>SIP-0006</t>
        </is>
      </c>
      <c r="D9" s="2" t="inlineStr">
        <is>
          <t>MUS-048</t>
        </is>
      </c>
      <c r="E9" s="2" t="inlineStr">
        <is>
          <t>EUR</t>
        </is>
      </c>
      <c r="F9" s="5" t="n">
        <v>1.0763</v>
      </c>
      <c r="G9" s="3" t="n">
        <v>66688.60000000001</v>
      </c>
      <c r="H9" s="3" t="n">
        <v>71776.94</v>
      </c>
      <c r="I9" s="6" t="n">
        <v>45520</v>
      </c>
      <c r="J9" s="2" t="inlineStr">
        <is>
          <t>Acik</t>
        </is>
      </c>
      <c r="K9" s="2" t="inlineStr">
        <is>
          <t>Ihracat Istisnasi</t>
        </is>
      </c>
      <c r="L9" s="2" t="inlineStr">
        <is>
          <t>301</t>
        </is>
      </c>
    </row>
    <row r="10">
      <c r="A10" s="2" t="inlineStr">
        <is>
          <t>FTR-0009</t>
        </is>
      </c>
      <c r="B10" s="6" t="n">
        <v>45479</v>
      </c>
      <c r="C10" s="2" t="inlineStr">
        <is>
          <t>SIP-0007</t>
        </is>
      </c>
      <c r="D10" s="2" t="inlineStr">
        <is>
          <t>MUS-015</t>
        </is>
      </c>
      <c r="E10" s="2" t="inlineStr">
        <is>
          <t>EUR</t>
        </is>
      </c>
      <c r="F10" s="5" t="n">
        <v>1.0763</v>
      </c>
      <c r="G10" s="3" t="n">
        <v>23784.13</v>
      </c>
      <c r="H10" s="3" t="n">
        <v>25598.86</v>
      </c>
      <c r="I10" s="6" t="n">
        <v>45524</v>
      </c>
      <c r="J10" s="2" t="inlineStr">
        <is>
          <t>Gecikmeli Odendi</t>
        </is>
      </c>
      <c r="K10" s="2" t="inlineStr">
        <is>
          <t>Ihracat Istisnasi</t>
        </is>
      </c>
      <c r="L10" s="2" t="inlineStr">
        <is>
          <t>301</t>
        </is>
      </c>
    </row>
    <row r="11">
      <c r="A11" s="2" t="inlineStr">
        <is>
          <t>FTR-0010</t>
        </is>
      </c>
      <c r="B11" s="6" t="n">
        <v>45459</v>
      </c>
      <c r="C11" s="2" t="inlineStr">
        <is>
          <t>SIP-0008</t>
        </is>
      </c>
      <c r="D11" s="2" t="inlineStr">
        <is>
          <t>MUS-044</t>
        </is>
      </c>
      <c r="E11" s="2" t="inlineStr">
        <is>
          <t>EUR</t>
        </is>
      </c>
      <c r="F11" s="5" t="n">
        <v>1.0763</v>
      </c>
      <c r="G11" s="3" t="n">
        <v>31513.06</v>
      </c>
      <c r="H11" s="3" t="n">
        <v>33917.51</v>
      </c>
      <c r="I11" s="6" t="n">
        <v>45519</v>
      </c>
      <c r="J11" s="2" t="inlineStr">
        <is>
          <t>Gecikmeli Odendi</t>
        </is>
      </c>
      <c r="K11" s="2" t="inlineStr">
        <is>
          <t>Ihracat Istisnasi</t>
        </is>
      </c>
      <c r="L11" s="2" t="inlineStr">
        <is>
          <t>301</t>
        </is>
      </c>
    </row>
    <row r="12">
      <c r="A12" s="2" t="inlineStr">
        <is>
          <t>FTR-0011</t>
        </is>
      </c>
      <c r="B12" s="6" t="n">
        <v>45456</v>
      </c>
      <c r="C12" s="2" t="inlineStr">
        <is>
          <t>SIP-0009</t>
        </is>
      </c>
      <c r="D12" s="2" t="inlineStr">
        <is>
          <t>MUS-072</t>
        </is>
      </c>
      <c r="E12" s="2" t="inlineStr">
        <is>
          <t>EUR</t>
        </is>
      </c>
      <c r="F12" s="5" t="n">
        <v>1.0763</v>
      </c>
      <c r="G12" s="3" t="n">
        <v>56425.61</v>
      </c>
      <c r="H12" s="3" t="n">
        <v>60730.88</v>
      </c>
      <c r="I12" s="6" t="n">
        <v>45516</v>
      </c>
      <c r="J12" s="2" t="inlineStr">
        <is>
          <t>Odendi</t>
        </is>
      </c>
      <c r="K12" s="2" t="inlineStr">
        <is>
          <t>Ihracat Istisnasi</t>
        </is>
      </c>
      <c r="L12" s="2" t="inlineStr">
        <is>
          <t>301</t>
        </is>
      </c>
    </row>
    <row r="13">
      <c r="A13" s="2" t="inlineStr">
        <is>
          <t>FTR-0012</t>
        </is>
      </c>
      <c r="B13" s="6" t="n">
        <v>45474</v>
      </c>
      <c r="C13" s="2" t="inlineStr">
        <is>
          <t>SIP-0010</t>
        </is>
      </c>
      <c r="D13" s="2" t="inlineStr">
        <is>
          <t>MUS-066</t>
        </is>
      </c>
      <c r="E13" s="2" t="inlineStr">
        <is>
          <t>USD</t>
        </is>
      </c>
      <c r="F13" s="5" t="n">
        <v>1</v>
      </c>
      <c r="G13" s="3" t="n">
        <v>42759.84</v>
      </c>
      <c r="H13" s="3" t="n">
        <v>42759.84</v>
      </c>
      <c r="I13" s="6" t="n">
        <v>45504</v>
      </c>
      <c r="J13" s="2" t="inlineStr">
        <is>
          <t>Gecikmeli Odendi</t>
        </is>
      </c>
      <c r="K13" s="2" t="inlineStr">
        <is>
          <t>Ihracat Istisnasi</t>
        </is>
      </c>
      <c r="L13" s="2" t="inlineStr">
        <is>
          <t>301</t>
        </is>
      </c>
    </row>
    <row r="14">
      <c r="A14" s="2" t="inlineStr">
        <is>
          <t>FTR-0013</t>
        </is>
      </c>
      <c r="B14" s="6" t="n">
        <v>45465</v>
      </c>
      <c r="C14" s="2" t="inlineStr">
        <is>
          <t>SIP-0011</t>
        </is>
      </c>
      <c r="D14" s="2" t="inlineStr">
        <is>
          <t>MUS-038</t>
        </is>
      </c>
      <c r="E14" s="2" t="inlineStr">
        <is>
          <t>USD</t>
        </is>
      </c>
      <c r="F14" s="5" t="n">
        <v>1</v>
      </c>
      <c r="G14" s="3" t="n">
        <v>87957.37</v>
      </c>
      <c r="H14" s="3" t="n">
        <v>87957.37</v>
      </c>
      <c r="I14" s="6" t="n">
        <v>45555</v>
      </c>
      <c r="J14" s="2" t="inlineStr">
        <is>
          <t>Gecikmeli Odendi</t>
        </is>
      </c>
      <c r="K14" s="2" t="inlineStr">
        <is>
          <t>Ihracat Istisnasi</t>
        </is>
      </c>
      <c r="L14" s="2" t="inlineStr">
        <is>
          <t>301</t>
        </is>
      </c>
    </row>
    <row r="15">
      <c r="A15" s="2" t="inlineStr">
        <is>
          <t>FTR-0014</t>
        </is>
      </c>
      <c r="B15" s="6" t="n">
        <v>45449</v>
      </c>
      <c r="C15" s="2" t="inlineStr">
        <is>
          <t>SIP-0012</t>
        </is>
      </c>
      <c r="D15" s="2" t="inlineStr">
        <is>
          <t>MUS-064</t>
        </is>
      </c>
      <c r="E15" s="2" t="inlineStr">
        <is>
          <t>EUR</t>
        </is>
      </c>
      <c r="F15" s="5" t="n">
        <v>1.0763</v>
      </c>
      <c r="G15" s="3" t="n">
        <v>15380.9</v>
      </c>
      <c r="H15" s="3" t="n">
        <v>16554.46</v>
      </c>
      <c r="I15" s="6" t="n">
        <v>45494</v>
      </c>
      <c r="J15" s="2" t="inlineStr">
        <is>
          <t>Odendi</t>
        </is>
      </c>
      <c r="K15" s="2" t="inlineStr">
        <is>
          <t>Ihracat Istisnasi</t>
        </is>
      </c>
      <c r="L15" s="2" t="inlineStr">
        <is>
          <t>301</t>
        </is>
      </c>
    </row>
    <row r="16">
      <c r="A16" s="2" t="inlineStr">
        <is>
          <t>FTR-0015</t>
        </is>
      </c>
      <c r="B16" s="6" t="n">
        <v>45437</v>
      </c>
      <c r="C16" s="2" t="inlineStr">
        <is>
          <t>SIP-0013</t>
        </is>
      </c>
      <c r="D16" s="2" t="inlineStr">
        <is>
          <t>MUS-070</t>
        </is>
      </c>
      <c r="E16" s="2" t="inlineStr">
        <is>
          <t>EUR</t>
        </is>
      </c>
      <c r="F16" s="5" t="n">
        <v>1.0763</v>
      </c>
      <c r="G16" s="3" t="n">
        <v>13995.62</v>
      </c>
      <c r="H16" s="3" t="n">
        <v>15063.49</v>
      </c>
      <c r="I16" s="6" t="n">
        <v>45497</v>
      </c>
      <c r="J16" s="2" t="inlineStr">
        <is>
          <t>Acik</t>
        </is>
      </c>
      <c r="K16" s="2" t="inlineStr">
        <is>
          <t>Ihracat Istisnasi</t>
        </is>
      </c>
      <c r="L16" s="2" t="inlineStr">
        <is>
          <t>301</t>
        </is>
      </c>
    </row>
    <row r="17">
      <c r="A17" s="2" t="inlineStr">
        <is>
          <t>FTR-0016</t>
        </is>
      </c>
      <c r="B17" s="6" t="n">
        <v>45472</v>
      </c>
      <c r="C17" s="2" t="inlineStr">
        <is>
          <t>SIP-0014</t>
        </is>
      </c>
      <c r="D17" s="2" t="inlineStr">
        <is>
          <t>MUS-027</t>
        </is>
      </c>
      <c r="E17" s="2" t="inlineStr">
        <is>
          <t>USD</t>
        </is>
      </c>
      <c r="F17" s="5" t="n">
        <v>1</v>
      </c>
      <c r="G17" s="3" t="n">
        <v>25117.77</v>
      </c>
      <c r="H17" s="3" t="n">
        <v>25117.77</v>
      </c>
      <c r="I17" s="6" t="n">
        <v>45517</v>
      </c>
      <c r="J17" s="2" t="inlineStr">
        <is>
          <t>Odendi</t>
        </is>
      </c>
      <c r="K17" s="2" t="inlineStr">
        <is>
          <t>Ihracat Istisnasi</t>
        </is>
      </c>
      <c r="L17" s="2" t="inlineStr">
        <is>
          <t>301</t>
        </is>
      </c>
    </row>
    <row r="18">
      <c r="A18" s="2" t="inlineStr">
        <is>
          <t>FTR-0017</t>
        </is>
      </c>
      <c r="B18" s="6" t="n">
        <v>45460</v>
      </c>
      <c r="C18" s="2" t="inlineStr">
        <is>
          <t>SIP-0015</t>
        </is>
      </c>
      <c r="D18" s="2" t="inlineStr">
        <is>
          <t>MUS-017</t>
        </is>
      </c>
      <c r="E18" s="2" t="inlineStr">
        <is>
          <t>EUR</t>
        </is>
      </c>
      <c r="F18" s="5" t="n">
        <v>1.0763</v>
      </c>
      <c r="G18" s="3" t="n">
        <v>13664.94</v>
      </c>
      <c r="H18" s="3" t="n">
        <v>14707.58</v>
      </c>
      <c r="I18" s="6" t="n">
        <v>45505</v>
      </c>
      <c r="J18" s="2" t="inlineStr">
        <is>
          <t>Gecikmeli Odendi</t>
        </is>
      </c>
      <c r="K18" s="2" t="inlineStr">
        <is>
          <t>Ihracat Istisnasi</t>
        </is>
      </c>
      <c r="L18" s="2" t="inlineStr">
        <is>
          <t>301</t>
        </is>
      </c>
    </row>
    <row r="19">
      <c r="A19" s="2" t="inlineStr">
        <is>
          <t>FTR-0018</t>
        </is>
      </c>
      <c r="B19" s="6" t="n">
        <v>45461</v>
      </c>
      <c r="C19" s="2" t="inlineStr">
        <is>
          <t>SIP-0015</t>
        </is>
      </c>
      <c r="D19" s="2" t="inlineStr">
        <is>
          <t>MUS-017</t>
        </is>
      </c>
      <c r="E19" s="2" t="inlineStr">
        <is>
          <t>EUR</t>
        </is>
      </c>
      <c r="F19" s="5" t="n">
        <v>1.0763</v>
      </c>
      <c r="G19" s="3" t="n">
        <v>11232.92</v>
      </c>
      <c r="H19" s="3" t="n">
        <v>12089.99</v>
      </c>
      <c r="I19" s="6" t="n">
        <v>45506</v>
      </c>
      <c r="J19" s="2" t="inlineStr">
        <is>
          <t>Odendi</t>
        </is>
      </c>
      <c r="K19" s="2" t="inlineStr">
        <is>
          <t>Ihracat Istisnasi</t>
        </is>
      </c>
      <c r="L19" s="2" t="inlineStr">
        <is>
          <t>301</t>
        </is>
      </c>
    </row>
    <row r="20">
      <c r="A20" s="2" t="inlineStr">
        <is>
          <t>FTR-0019</t>
        </is>
      </c>
      <c r="B20" s="6" t="n">
        <v>45488</v>
      </c>
      <c r="C20" s="2" t="inlineStr">
        <is>
          <t>SIP-0016</t>
        </is>
      </c>
      <c r="D20" s="2" t="inlineStr">
        <is>
          <t>MUS-017</t>
        </is>
      </c>
      <c r="E20" s="2" t="inlineStr">
        <is>
          <t>EUR</t>
        </is>
      </c>
      <c r="F20" s="5" t="n">
        <v>1.0481</v>
      </c>
      <c r="G20" s="3" t="n">
        <v>56047.38</v>
      </c>
      <c r="H20" s="3" t="n">
        <v>58743.26</v>
      </c>
      <c r="I20" s="6" t="n">
        <v>45533</v>
      </c>
      <c r="J20" s="2" t="inlineStr">
        <is>
          <t>Gecikmeli Odendi</t>
        </is>
      </c>
      <c r="K20" s="2" t="inlineStr">
        <is>
          <t>Ihracat Istisnasi</t>
        </is>
      </c>
      <c r="L20" s="2" t="inlineStr">
        <is>
          <t>301</t>
        </is>
      </c>
    </row>
    <row r="21">
      <c r="A21" s="2" t="inlineStr">
        <is>
          <t>FTR-0020</t>
        </is>
      </c>
      <c r="B21" s="6" t="n">
        <v>45494</v>
      </c>
      <c r="C21" s="2" t="inlineStr">
        <is>
          <t>SIP-0017</t>
        </is>
      </c>
      <c r="D21" s="2" t="inlineStr">
        <is>
          <t>MUS-071</t>
        </is>
      </c>
      <c r="E21" s="2" t="inlineStr">
        <is>
          <t>USD</t>
        </is>
      </c>
      <c r="F21" s="5" t="n">
        <v>1</v>
      </c>
      <c r="G21" s="3" t="n">
        <v>38235.92</v>
      </c>
      <c r="H21" s="3" t="n">
        <v>38235.92</v>
      </c>
      <c r="I21" s="6" t="n">
        <v>45554</v>
      </c>
      <c r="J21" s="2" t="inlineStr">
        <is>
          <t>Odendi</t>
        </is>
      </c>
      <c r="K21" s="2" t="inlineStr">
        <is>
          <t>Ihracat Istisnasi</t>
        </is>
      </c>
      <c r="L21" s="2" t="inlineStr">
        <is>
          <t>301</t>
        </is>
      </c>
    </row>
    <row r="22">
      <c r="A22" s="2" t="inlineStr">
        <is>
          <t>FTR-0021</t>
        </is>
      </c>
      <c r="B22" s="6" t="n">
        <v>45477</v>
      </c>
      <c r="C22" s="2" t="inlineStr">
        <is>
          <t>SIP-0018</t>
        </is>
      </c>
      <c r="D22" s="2" t="inlineStr">
        <is>
          <t>MUS-064</t>
        </is>
      </c>
      <c r="E22" s="2" t="inlineStr">
        <is>
          <t>EUR</t>
        </is>
      </c>
      <c r="F22" s="5" t="n">
        <v>1.0481</v>
      </c>
      <c r="G22" s="3" t="n">
        <v>18888.1</v>
      </c>
      <c r="H22" s="3" t="n">
        <v>19796.62</v>
      </c>
      <c r="I22" s="6" t="n">
        <v>45522</v>
      </c>
      <c r="J22" s="2" t="inlineStr">
        <is>
          <t>Acik</t>
        </is>
      </c>
      <c r="K22" s="2" t="inlineStr">
        <is>
          <t>Ihracat Istisnasi</t>
        </is>
      </c>
      <c r="L22" s="2" t="inlineStr">
        <is>
          <t>301</t>
        </is>
      </c>
    </row>
    <row r="23">
      <c r="A23" s="2" t="inlineStr">
        <is>
          <t>FTR-0022</t>
        </is>
      </c>
      <c r="B23" s="6" t="n">
        <v>45498</v>
      </c>
      <c r="C23" s="2" t="inlineStr">
        <is>
          <t>SIP-0019</t>
        </is>
      </c>
      <c r="D23" s="2" t="inlineStr">
        <is>
          <t>MUS-042</t>
        </is>
      </c>
      <c r="E23" s="2" t="inlineStr">
        <is>
          <t>USD</t>
        </is>
      </c>
      <c r="F23" s="5" t="n">
        <v>1</v>
      </c>
      <c r="G23" s="3" t="n">
        <v>21816.1</v>
      </c>
      <c r="H23" s="3" t="n">
        <v>21816.1</v>
      </c>
      <c r="I23" s="6" t="n">
        <v>45558</v>
      </c>
      <c r="J23" s="2" t="inlineStr">
        <is>
          <t>Gecikmeli Odendi</t>
        </is>
      </c>
      <c r="K23" s="2" t="inlineStr">
        <is>
          <t>Ihracat Istisnasi</t>
        </is>
      </c>
      <c r="L23" s="2" t="inlineStr">
        <is>
          <t>301</t>
        </is>
      </c>
    </row>
    <row r="24">
      <c r="A24" s="2" t="inlineStr">
        <is>
          <t>FTR-0023</t>
        </is>
      </c>
      <c r="B24" s="6" t="n">
        <v>45492</v>
      </c>
      <c r="C24" s="2" t="inlineStr">
        <is>
          <t>SIP-0020</t>
        </is>
      </c>
      <c r="D24" s="2" t="inlineStr">
        <is>
          <t>MUS-063</t>
        </is>
      </c>
      <c r="E24" s="2" t="inlineStr">
        <is>
          <t>EUR</t>
        </is>
      </c>
      <c r="F24" s="5" t="n">
        <v>1.0481</v>
      </c>
      <c r="G24" s="3" t="n">
        <v>33083.09</v>
      </c>
      <c r="H24" s="3" t="n">
        <v>34674.39</v>
      </c>
      <c r="I24" s="6" t="n">
        <v>45582</v>
      </c>
      <c r="J24" s="2" t="inlineStr">
        <is>
          <t>Gecikmeli Odendi</t>
        </is>
      </c>
      <c r="K24" s="2" t="inlineStr">
        <is>
          <t>Ihracat Istisnasi</t>
        </is>
      </c>
      <c r="L24" s="2" t="inlineStr">
        <is>
          <t>301</t>
        </is>
      </c>
    </row>
    <row r="25">
      <c r="A25" s="2" t="inlineStr">
        <is>
          <t>FTR-0024</t>
        </is>
      </c>
      <c r="B25" s="6" t="n">
        <v>45475</v>
      </c>
      <c r="C25" s="2" t="inlineStr">
        <is>
          <t>SIP-0021</t>
        </is>
      </c>
      <c r="D25" s="2" t="inlineStr">
        <is>
          <t>MUS-028</t>
        </is>
      </c>
      <c r="E25" s="2" t="inlineStr">
        <is>
          <t>EUR</t>
        </is>
      </c>
      <c r="F25" s="5" t="n">
        <v>1.0481</v>
      </c>
      <c r="G25" s="3" t="n">
        <v>34977.88</v>
      </c>
      <c r="H25" s="3" t="n">
        <v>36660.32</v>
      </c>
      <c r="I25" s="6" t="n">
        <v>45505</v>
      </c>
      <c r="J25" s="2" t="inlineStr">
        <is>
          <t>Gecikmeli Odendi</t>
        </is>
      </c>
      <c r="K25" s="2" t="inlineStr">
        <is>
          <t>Ihracat Istisnasi</t>
        </is>
      </c>
      <c r="L25" s="2" t="inlineStr">
        <is>
          <t>301</t>
        </is>
      </c>
    </row>
    <row r="26">
      <c r="A26" s="2" t="inlineStr">
        <is>
          <t>FTR-0025</t>
        </is>
      </c>
      <c r="B26" s="6" t="n">
        <v>45497</v>
      </c>
      <c r="C26" s="2" t="inlineStr">
        <is>
          <t>SIP-0022</t>
        </is>
      </c>
      <c r="D26" s="2" t="inlineStr">
        <is>
          <t>MUS-010</t>
        </is>
      </c>
      <c r="E26" s="2" t="inlineStr">
        <is>
          <t>USD</t>
        </is>
      </c>
      <c r="F26" s="5" t="n">
        <v>1</v>
      </c>
      <c r="G26" s="3" t="n">
        <v>24966.69</v>
      </c>
      <c r="H26" s="3" t="n">
        <v>24966.69</v>
      </c>
      <c r="I26" s="6" t="n">
        <v>45512</v>
      </c>
      <c r="J26" s="2" t="inlineStr">
        <is>
          <t>Gecikmeli Odendi</t>
        </is>
      </c>
      <c r="K26" s="2" t="inlineStr">
        <is>
          <t>Ihracat Istisnasi</t>
        </is>
      </c>
      <c r="L26" s="2" t="inlineStr">
        <is>
          <t>301</t>
        </is>
      </c>
    </row>
    <row r="27">
      <c r="A27" s="2" t="inlineStr">
        <is>
          <t>FTR-0026</t>
        </is>
      </c>
      <c r="B27" s="6" t="n">
        <v>45524</v>
      </c>
      <c r="C27" s="2" t="inlineStr">
        <is>
          <t>SIP-0023</t>
        </is>
      </c>
      <c r="D27" s="2" t="inlineStr">
        <is>
          <t>MUS-048</t>
        </is>
      </c>
      <c r="E27" s="2" t="inlineStr">
        <is>
          <t>EUR</t>
        </is>
      </c>
      <c r="F27" s="5" t="n">
        <v>1.0302</v>
      </c>
      <c r="G27" s="3" t="n">
        <v>10337.14</v>
      </c>
      <c r="H27" s="3" t="n">
        <v>10649.32</v>
      </c>
      <c r="I27" s="6" t="n">
        <v>45569</v>
      </c>
      <c r="J27" s="2" t="inlineStr">
        <is>
          <t>Odendi</t>
        </is>
      </c>
      <c r="K27" s="2" t="inlineStr">
        <is>
          <t>Ihracat Istisnasi</t>
        </is>
      </c>
      <c r="L27" s="2" t="inlineStr">
        <is>
          <t>301</t>
        </is>
      </c>
    </row>
    <row r="28">
      <c r="A28" s="2" t="inlineStr">
        <is>
          <t>FTR-0027</t>
        </is>
      </c>
      <c r="B28" s="6" t="n">
        <v>45514</v>
      </c>
      <c r="C28" s="2" t="inlineStr">
        <is>
          <t>SIP-0024</t>
        </is>
      </c>
      <c r="D28" s="2" t="inlineStr">
        <is>
          <t>MUS-051</t>
        </is>
      </c>
      <c r="E28" s="2" t="inlineStr">
        <is>
          <t>EUR</t>
        </is>
      </c>
      <c r="F28" s="5" t="n">
        <v>1.0302</v>
      </c>
      <c r="G28" s="3" t="n">
        <v>3345.54</v>
      </c>
      <c r="H28" s="3" t="n">
        <v>3446.58</v>
      </c>
      <c r="I28" s="6" t="n">
        <v>45574</v>
      </c>
      <c r="J28" s="2" t="inlineStr">
        <is>
          <t>Gecikmeli Odendi</t>
        </is>
      </c>
      <c r="K28" s="2" t="inlineStr">
        <is>
          <t>Ihracat Istisnasi</t>
        </is>
      </c>
      <c r="L28" s="2" t="inlineStr">
        <is>
          <t>301</t>
        </is>
      </c>
    </row>
    <row r="29">
      <c r="A29" s="2" t="inlineStr">
        <is>
          <t>FTR-0028</t>
        </is>
      </c>
      <c r="B29" s="6" t="n">
        <v>45565</v>
      </c>
      <c r="C29" s="2" t="inlineStr">
        <is>
          <t>SIP-0025</t>
        </is>
      </c>
      <c r="D29" s="2" t="inlineStr">
        <is>
          <t>MUS-015</t>
        </is>
      </c>
      <c r="E29" s="2" t="inlineStr">
        <is>
          <t>EUR</t>
        </is>
      </c>
      <c r="F29" s="5" t="n">
        <v>1.0302</v>
      </c>
      <c r="G29" s="3" t="n">
        <v>5531.62</v>
      </c>
      <c r="H29" s="3" t="n">
        <v>5698.68</v>
      </c>
      <c r="I29" s="6" t="n">
        <v>45610</v>
      </c>
      <c r="J29" s="2" t="inlineStr">
        <is>
          <t>Odendi</t>
        </is>
      </c>
      <c r="K29" s="2" t="inlineStr">
        <is>
          <t>Ihracat Istisnasi</t>
        </is>
      </c>
      <c r="L29" s="2" t="inlineStr">
        <is>
          <t>301</t>
        </is>
      </c>
    </row>
    <row r="30">
      <c r="A30" s="2" t="inlineStr">
        <is>
          <t>FTR-0029</t>
        </is>
      </c>
      <c r="B30" s="6" t="n">
        <v>45566</v>
      </c>
      <c r="C30" s="2" t="inlineStr">
        <is>
          <t>SIP-0025</t>
        </is>
      </c>
      <c r="D30" s="2" t="inlineStr">
        <is>
          <t>MUS-015</t>
        </is>
      </c>
      <c r="E30" s="2" t="inlineStr">
        <is>
          <t>EUR</t>
        </is>
      </c>
      <c r="F30" s="5" t="n">
        <v>1.0302</v>
      </c>
      <c r="G30" s="3" t="n">
        <v>7072.38</v>
      </c>
      <c r="H30" s="3" t="n">
        <v>7285.97</v>
      </c>
      <c r="I30" s="6" t="n">
        <v>45611</v>
      </c>
      <c r="J30" s="2" t="inlineStr">
        <is>
          <t>Acik</t>
        </is>
      </c>
      <c r="K30" s="2" t="inlineStr">
        <is>
          <t>Ihracat Istisnasi</t>
        </is>
      </c>
      <c r="L30" s="2" t="inlineStr">
        <is>
          <t>301</t>
        </is>
      </c>
    </row>
    <row r="31">
      <c r="A31" s="2" t="inlineStr">
        <is>
          <t>FTR-0030</t>
        </is>
      </c>
      <c r="B31" s="6" t="n">
        <v>45534</v>
      </c>
      <c r="C31" s="2" t="inlineStr">
        <is>
          <t>SIP-0026</t>
        </is>
      </c>
      <c r="D31" s="2" t="inlineStr">
        <is>
          <t>MUS-054</t>
        </is>
      </c>
      <c r="E31" s="2" t="inlineStr">
        <is>
          <t>USD</t>
        </is>
      </c>
      <c r="F31" s="5" t="n">
        <v>1</v>
      </c>
      <c r="G31" s="3" t="n">
        <v>22130.75</v>
      </c>
      <c r="H31" s="3" t="n">
        <v>22130.75</v>
      </c>
      <c r="I31" s="6" t="n">
        <v>45624</v>
      </c>
      <c r="J31" s="2" t="inlineStr">
        <is>
          <t>Odendi</t>
        </is>
      </c>
      <c r="K31" s="2" t="inlineStr">
        <is>
          <t>Ihracat Istisnasi</t>
        </is>
      </c>
      <c r="L31" s="2" t="inlineStr">
        <is>
          <t>301</t>
        </is>
      </c>
    </row>
    <row r="32">
      <c r="A32" s="2" t="inlineStr">
        <is>
          <t>FTR-0031</t>
        </is>
      </c>
      <c r="B32" s="6" t="n">
        <v>45508</v>
      </c>
      <c r="C32" s="2" t="inlineStr">
        <is>
          <t>SIP-0027</t>
        </is>
      </c>
      <c r="D32" s="2" t="inlineStr">
        <is>
          <t>MUS-011</t>
        </is>
      </c>
      <c r="E32" s="2" t="inlineStr">
        <is>
          <t>USD</t>
        </is>
      </c>
      <c r="F32" s="5" t="n">
        <v>1</v>
      </c>
      <c r="G32" s="3" t="n">
        <v>11014.09</v>
      </c>
      <c r="H32" s="3" t="n">
        <v>11014.09</v>
      </c>
      <c r="I32" s="6" t="n">
        <v>45568</v>
      </c>
      <c r="J32" s="2" t="inlineStr">
        <is>
          <t>Gecikmeli Odendi</t>
        </is>
      </c>
      <c r="K32" s="2" t="inlineStr">
        <is>
          <t>Ihracat Istisnasi</t>
        </is>
      </c>
      <c r="L32" s="2" t="inlineStr">
        <is>
          <t>301</t>
        </is>
      </c>
    </row>
    <row r="33">
      <c r="A33" s="2" t="inlineStr">
        <is>
          <t>FTR-0032</t>
        </is>
      </c>
      <c r="B33" s="6" t="n">
        <v>45538</v>
      </c>
      <c r="C33" s="2" t="inlineStr">
        <is>
          <t>SIP-0028</t>
        </is>
      </c>
      <c r="D33" s="2" t="inlineStr">
        <is>
          <t>MUS-067</t>
        </is>
      </c>
      <c r="E33" s="2" t="inlineStr">
        <is>
          <t>USD</t>
        </is>
      </c>
      <c r="F33" s="5" t="n">
        <v>1</v>
      </c>
      <c r="G33" s="3" t="n">
        <v>43502.25</v>
      </c>
      <c r="H33" s="3" t="n">
        <v>43502.25</v>
      </c>
      <c r="I33" s="6" t="n">
        <v>45568</v>
      </c>
      <c r="J33" s="2" t="inlineStr">
        <is>
          <t>Gecikmeli Odendi</t>
        </is>
      </c>
      <c r="K33" s="2" t="inlineStr">
        <is>
          <t>Ihracat Istisnasi</t>
        </is>
      </c>
      <c r="L33" s="2" t="inlineStr">
        <is>
          <t>301</t>
        </is>
      </c>
    </row>
    <row r="34">
      <c r="A34" s="2" t="inlineStr">
        <is>
          <t>FTR-0033</t>
        </is>
      </c>
      <c r="B34" s="6" t="n">
        <v>45517</v>
      </c>
      <c r="C34" s="2" t="inlineStr">
        <is>
          <t>SIP-0029</t>
        </is>
      </c>
      <c r="D34" s="2" t="inlineStr">
        <is>
          <t>MUS-082</t>
        </is>
      </c>
      <c r="E34" s="2" t="inlineStr">
        <is>
          <t>EUR</t>
        </is>
      </c>
      <c r="F34" s="5" t="n">
        <v>1.0302</v>
      </c>
      <c r="G34" s="3" t="n">
        <v>3550.37</v>
      </c>
      <c r="H34" s="3" t="n">
        <v>3657.59</v>
      </c>
      <c r="I34" s="6" t="n">
        <v>45562</v>
      </c>
      <c r="J34" s="2" t="inlineStr">
        <is>
          <t>Odendi</t>
        </is>
      </c>
      <c r="K34" s="2" t="inlineStr">
        <is>
          <t>Ihracat Istisnasi</t>
        </is>
      </c>
      <c r="L34" s="2" t="inlineStr">
        <is>
          <t>301</t>
        </is>
      </c>
    </row>
    <row r="35">
      <c r="A35" s="2" t="inlineStr">
        <is>
          <t>FTR-0034</t>
        </is>
      </c>
      <c r="B35" s="6" t="n">
        <v>45518</v>
      </c>
      <c r="C35" s="2" t="inlineStr">
        <is>
          <t>SIP-0029</t>
        </is>
      </c>
      <c r="D35" s="2" t="inlineStr">
        <is>
          <t>MUS-082</t>
        </is>
      </c>
      <c r="E35" s="2" t="inlineStr">
        <is>
          <t>EUR</t>
        </is>
      </c>
      <c r="F35" s="5" t="n">
        <v>1.0302</v>
      </c>
      <c r="G35" s="3" t="n">
        <v>4816.74</v>
      </c>
      <c r="H35" s="3" t="n">
        <v>4962.21</v>
      </c>
      <c r="I35" s="6" t="n">
        <v>45563</v>
      </c>
      <c r="J35" s="2" t="inlineStr">
        <is>
          <t>Gecikmeli Odendi</t>
        </is>
      </c>
      <c r="K35" s="2" t="inlineStr">
        <is>
          <t>Ihracat Istisnasi</t>
        </is>
      </c>
      <c r="L35" s="2" t="inlineStr">
        <is>
          <t>301</t>
        </is>
      </c>
    </row>
    <row r="36">
      <c r="A36" s="2" t="inlineStr">
        <is>
          <t>FTR-0035</t>
        </is>
      </c>
      <c r="B36" s="6" t="n">
        <v>45516</v>
      </c>
      <c r="C36" s="2" t="inlineStr">
        <is>
          <t>SIP-0030</t>
        </is>
      </c>
      <c r="D36" s="2" t="inlineStr">
        <is>
          <t>MUS-070</t>
        </is>
      </c>
      <c r="E36" s="2" t="inlineStr">
        <is>
          <t>EUR</t>
        </is>
      </c>
      <c r="F36" s="5" t="n">
        <v>1.0302</v>
      </c>
      <c r="G36" s="3" t="n">
        <v>7326.75</v>
      </c>
      <c r="H36" s="3" t="n">
        <v>7548.02</v>
      </c>
      <c r="I36" s="6" t="n">
        <v>45576</v>
      </c>
      <c r="J36" s="2" t="inlineStr">
        <is>
          <t>Gecikmeli Odendi</t>
        </is>
      </c>
      <c r="K36" s="2" t="inlineStr">
        <is>
          <t>Ihracat Istisnasi</t>
        </is>
      </c>
      <c r="L36" s="2" t="inlineStr">
        <is>
          <t>301</t>
        </is>
      </c>
    </row>
    <row r="37">
      <c r="A37" s="2" t="inlineStr">
        <is>
          <t>FTR-0036</t>
        </is>
      </c>
      <c r="B37" s="6" t="n">
        <v>45513</v>
      </c>
      <c r="C37" s="2" t="inlineStr">
        <is>
          <t>SIP-0031</t>
        </is>
      </c>
      <c r="D37" s="2" t="inlineStr">
        <is>
          <t>MUS-069</t>
        </is>
      </c>
      <c r="E37" s="2" t="inlineStr">
        <is>
          <t>EUR</t>
        </is>
      </c>
      <c r="F37" s="5" t="n">
        <v>1.0302</v>
      </c>
      <c r="G37" s="3" t="n">
        <v>1526.73</v>
      </c>
      <c r="H37" s="3" t="n">
        <v>1572.84</v>
      </c>
      <c r="I37" s="6" t="n">
        <v>45543</v>
      </c>
      <c r="J37" s="2" t="inlineStr">
        <is>
          <t>Gecikmeli Odendi</t>
        </is>
      </c>
      <c r="K37" s="2" t="inlineStr">
        <is>
          <t>Ihracat Istisnasi</t>
        </is>
      </c>
      <c r="L37" s="2" t="inlineStr">
        <is>
          <t>301</t>
        </is>
      </c>
    </row>
    <row r="38">
      <c r="A38" s="2" t="inlineStr">
        <is>
          <t>FTR-0037</t>
        </is>
      </c>
      <c r="B38" s="6" t="n">
        <v>45509</v>
      </c>
      <c r="C38" s="2" t="inlineStr">
        <is>
          <t>SIP-0032</t>
        </is>
      </c>
      <c r="D38" s="2" t="inlineStr">
        <is>
          <t>MUS-039</t>
        </is>
      </c>
      <c r="E38" s="2" t="inlineStr">
        <is>
          <t>USD</t>
        </is>
      </c>
      <c r="F38" s="5" t="n">
        <v>1</v>
      </c>
      <c r="G38" s="3" t="n">
        <v>16831.07</v>
      </c>
      <c r="H38" s="3" t="n">
        <v>16831.07</v>
      </c>
      <c r="I38" s="6" t="n">
        <v>45539</v>
      </c>
      <c r="J38" s="2" t="inlineStr">
        <is>
          <t>Gecikmeli Odendi</t>
        </is>
      </c>
      <c r="K38" s="2" t="inlineStr">
        <is>
          <t>Ihracat Istisnasi</t>
        </is>
      </c>
      <c r="L38" s="2" t="inlineStr">
        <is>
          <t>301</t>
        </is>
      </c>
    </row>
    <row r="39">
      <c r="A39" s="2" t="inlineStr">
        <is>
          <t>FTR-0038</t>
        </is>
      </c>
      <c r="B39" s="6" t="n">
        <v>45510</v>
      </c>
      <c r="C39" s="2" t="inlineStr">
        <is>
          <t>SIP-0032</t>
        </is>
      </c>
      <c r="D39" s="2" t="inlineStr">
        <is>
          <t>MUS-039</t>
        </is>
      </c>
      <c r="E39" s="2" t="inlineStr">
        <is>
          <t>USD</t>
        </is>
      </c>
      <c r="F39" s="5" t="n">
        <v>1</v>
      </c>
      <c r="G39" s="3" t="n">
        <v>12955.9</v>
      </c>
      <c r="H39" s="3" t="n">
        <v>12955.9</v>
      </c>
      <c r="I39" s="6" t="n">
        <v>45540</v>
      </c>
      <c r="J39" s="2" t="inlineStr">
        <is>
          <t>Gecikmeli Odendi</t>
        </is>
      </c>
      <c r="K39" s="2" t="inlineStr">
        <is>
          <t>Ihracat Istisnasi</t>
        </is>
      </c>
      <c r="L39" s="2" t="inlineStr">
        <is>
          <t>301</t>
        </is>
      </c>
    </row>
    <row r="40">
      <c r="A40" s="2" t="inlineStr">
        <is>
          <t>FTR-0039</t>
        </is>
      </c>
      <c r="B40" s="6" t="n">
        <v>45513</v>
      </c>
      <c r="C40" s="2" t="inlineStr">
        <is>
          <t>SIP-0033</t>
        </is>
      </c>
      <c r="D40" s="2" t="inlineStr">
        <is>
          <t>MUS-013</t>
        </is>
      </c>
      <c r="E40" s="2" t="inlineStr">
        <is>
          <t>EUR</t>
        </is>
      </c>
      <c r="F40" s="5" t="n">
        <v>1.0302</v>
      </c>
      <c r="G40" s="3" t="n">
        <v>19064.16</v>
      </c>
      <c r="H40" s="3" t="n">
        <v>19639.9</v>
      </c>
      <c r="I40" s="6" t="n">
        <v>45558</v>
      </c>
      <c r="J40" s="2" t="inlineStr">
        <is>
          <t>Odendi</t>
        </is>
      </c>
      <c r="K40" s="2" t="inlineStr">
        <is>
          <t>Ihracat Istisnasi</t>
        </is>
      </c>
      <c r="L40" s="2" t="inlineStr">
        <is>
          <t>301</t>
        </is>
      </c>
    </row>
    <row r="41">
      <c r="A41" s="2" t="inlineStr">
        <is>
          <t>FTR-0040</t>
        </is>
      </c>
      <c r="B41" s="6" t="n">
        <v>45520</v>
      </c>
      <c r="C41" s="2" t="inlineStr">
        <is>
          <t>SIP-0034</t>
        </is>
      </c>
      <c r="D41" s="2" t="inlineStr">
        <is>
          <t>MUS-041</t>
        </is>
      </c>
      <c r="E41" s="2" t="inlineStr">
        <is>
          <t>EUR</t>
        </is>
      </c>
      <c r="F41" s="5" t="n">
        <v>1.0302</v>
      </c>
      <c r="G41" s="3" t="n">
        <v>108875.92</v>
      </c>
      <c r="H41" s="3" t="n">
        <v>112163.97</v>
      </c>
      <c r="I41" s="6" t="n">
        <v>45535</v>
      </c>
      <c r="J41" s="2" t="inlineStr">
        <is>
          <t>Odendi</t>
        </is>
      </c>
      <c r="K41" s="2" t="inlineStr">
        <is>
          <t>Ihracat Istisnasi</t>
        </is>
      </c>
      <c r="L41" s="2" t="inlineStr">
        <is>
          <t>301</t>
        </is>
      </c>
    </row>
    <row r="42">
      <c r="A42" s="2" t="inlineStr">
        <is>
          <t>FTR-0041</t>
        </is>
      </c>
      <c r="B42" s="6" t="n">
        <v>45530</v>
      </c>
      <c r="C42" s="2" t="inlineStr">
        <is>
          <t>SIP-0035</t>
        </is>
      </c>
      <c r="D42" s="2" t="inlineStr">
        <is>
          <t>MUS-063</t>
        </is>
      </c>
      <c r="E42" s="2" t="inlineStr">
        <is>
          <t>EUR</t>
        </is>
      </c>
      <c r="F42" s="5" t="n">
        <v>1.0302</v>
      </c>
      <c r="G42" s="3" t="n">
        <v>20457.82</v>
      </c>
      <c r="H42" s="3" t="n">
        <v>21075.65</v>
      </c>
      <c r="I42" s="6" t="n">
        <v>45620</v>
      </c>
      <c r="J42" s="2" t="inlineStr">
        <is>
          <t>Acik</t>
        </is>
      </c>
      <c r="K42" s="2" t="inlineStr">
        <is>
          <t>Ihracat Istisnasi</t>
        </is>
      </c>
      <c r="L42" s="2" t="inlineStr">
        <is>
          <t>301</t>
        </is>
      </c>
    </row>
    <row r="43">
      <c r="A43" s="2" t="inlineStr">
        <is>
          <t>FTR-0042</t>
        </is>
      </c>
      <c r="B43" s="6" t="n">
        <v>45531</v>
      </c>
      <c r="C43" s="2" t="inlineStr">
        <is>
          <t>SIP-0035</t>
        </is>
      </c>
      <c r="D43" s="2" t="inlineStr">
        <is>
          <t>MUS-063</t>
        </is>
      </c>
      <c r="E43" s="2" t="inlineStr">
        <is>
          <t>EUR</t>
        </is>
      </c>
      <c r="F43" s="5" t="n">
        <v>1.0302</v>
      </c>
      <c r="G43" s="3" t="n">
        <v>22146.45</v>
      </c>
      <c r="H43" s="3" t="n">
        <v>22815.27</v>
      </c>
      <c r="I43" s="6" t="n">
        <v>45621</v>
      </c>
      <c r="J43" s="2" t="inlineStr">
        <is>
          <t>Gecikmeli Odendi</t>
        </is>
      </c>
      <c r="K43" s="2" t="inlineStr">
        <is>
          <t>Ihracat Istisnasi</t>
        </is>
      </c>
      <c r="L43" s="2" t="inlineStr">
        <is>
          <t>301</t>
        </is>
      </c>
    </row>
    <row r="44">
      <c r="A44" s="2" t="inlineStr">
        <is>
          <t>FTR-0043</t>
        </is>
      </c>
      <c r="B44" s="6" t="n">
        <v>45537</v>
      </c>
      <c r="C44" s="2" t="inlineStr">
        <is>
          <t>SIP-0036</t>
        </is>
      </c>
      <c r="D44" s="2" t="inlineStr">
        <is>
          <t>MUS-069</t>
        </is>
      </c>
      <c r="E44" s="2" t="inlineStr">
        <is>
          <t>EUR</t>
        </is>
      </c>
      <c r="F44" s="5" t="n">
        <v>1.0302</v>
      </c>
      <c r="G44" s="3" t="n">
        <v>75382.92</v>
      </c>
      <c r="H44" s="3" t="n">
        <v>77659.48</v>
      </c>
      <c r="I44" s="6" t="n">
        <v>45567</v>
      </c>
      <c r="J44" s="2" t="inlineStr">
        <is>
          <t>Odendi</t>
        </is>
      </c>
      <c r="K44" s="2" t="inlineStr">
        <is>
          <t>Ihracat Istisnasi</t>
        </is>
      </c>
      <c r="L44" s="2" t="inlineStr">
        <is>
          <t>301</t>
        </is>
      </c>
    </row>
    <row r="45">
      <c r="A45" s="2" t="inlineStr">
        <is>
          <t>FTR-0044</t>
        </is>
      </c>
      <c r="B45" s="6" t="n">
        <v>45506</v>
      </c>
      <c r="C45" s="2" t="inlineStr">
        <is>
          <t>SIP-0037</t>
        </is>
      </c>
      <c r="D45" s="2" t="inlineStr">
        <is>
          <t>MUS-048</t>
        </is>
      </c>
      <c r="E45" s="2" t="inlineStr">
        <is>
          <t>EUR</t>
        </is>
      </c>
      <c r="F45" s="5" t="n">
        <v>1.0302</v>
      </c>
      <c r="G45" s="3" t="n">
        <v>36642.87</v>
      </c>
      <c r="H45" s="3" t="n">
        <v>37749.48</v>
      </c>
      <c r="I45" s="6" t="n">
        <v>45551</v>
      </c>
      <c r="J45" s="2" t="inlineStr">
        <is>
          <t>Gecikmeli Odendi</t>
        </is>
      </c>
      <c r="K45" s="2" t="inlineStr">
        <is>
          <t>Ihracat Istisnasi</t>
        </is>
      </c>
      <c r="L45" s="2" t="inlineStr">
        <is>
          <t>301</t>
        </is>
      </c>
    </row>
    <row r="46">
      <c r="A46" s="2" t="inlineStr">
        <is>
          <t>FTR-0045</t>
        </is>
      </c>
      <c r="B46" s="6" t="n">
        <v>45515</v>
      </c>
      <c r="C46" s="2" t="inlineStr">
        <is>
          <t>SIP-0038</t>
        </is>
      </c>
      <c r="D46" s="2" t="inlineStr">
        <is>
          <t>MUS-080</t>
        </is>
      </c>
      <c r="E46" s="2" t="inlineStr">
        <is>
          <t>USD</t>
        </is>
      </c>
      <c r="F46" s="5" t="n">
        <v>1</v>
      </c>
      <c r="G46" s="3" t="n">
        <v>7599.78</v>
      </c>
      <c r="H46" s="3" t="n">
        <v>7599.78</v>
      </c>
      <c r="I46" s="6" t="n">
        <v>45575</v>
      </c>
      <c r="J46" s="2" t="inlineStr">
        <is>
          <t>Odendi</t>
        </is>
      </c>
      <c r="K46" s="2" t="inlineStr">
        <is>
          <t>Ihracat Istisnasi</t>
        </is>
      </c>
      <c r="L46" s="2" t="inlineStr">
        <is>
          <t>301</t>
        </is>
      </c>
    </row>
    <row r="47">
      <c r="A47" s="2" t="inlineStr">
        <is>
          <t>FTR-0046</t>
        </is>
      </c>
      <c r="B47" s="6" t="n">
        <v>45573</v>
      </c>
      <c r="C47" s="2" t="inlineStr">
        <is>
          <t>SIP-0039</t>
        </is>
      </c>
      <c r="D47" s="2" t="inlineStr">
        <is>
          <t>MUS-022</t>
        </is>
      </c>
      <c r="E47" s="2" t="inlineStr">
        <is>
          <t>EUR</t>
        </is>
      </c>
      <c r="F47" s="5" t="n">
        <v>1.0477</v>
      </c>
      <c r="G47" s="3" t="n">
        <v>4736.48</v>
      </c>
      <c r="H47" s="3" t="n">
        <v>4962.41</v>
      </c>
      <c r="I47" s="6" t="n">
        <v>45663</v>
      </c>
      <c r="J47" s="2" t="inlineStr">
        <is>
          <t>Gecikmeli Odendi</t>
        </is>
      </c>
      <c r="K47" s="2" t="inlineStr">
        <is>
          <t>Ihracat Istisnasi</t>
        </is>
      </c>
      <c r="L47" s="2" t="inlineStr">
        <is>
          <t>301</t>
        </is>
      </c>
    </row>
    <row r="48">
      <c r="A48" s="2" t="inlineStr">
        <is>
          <t>FTR-0047</t>
        </is>
      </c>
      <c r="B48" s="6" t="n">
        <v>45565</v>
      </c>
      <c r="C48" s="2" t="inlineStr">
        <is>
          <t>SIP-0040</t>
        </is>
      </c>
      <c r="D48" s="2" t="inlineStr">
        <is>
          <t>MUS-038</t>
        </is>
      </c>
      <c r="E48" s="2" t="inlineStr">
        <is>
          <t>USD</t>
        </is>
      </c>
      <c r="F48" s="5" t="n">
        <v>1</v>
      </c>
      <c r="G48" s="3" t="n">
        <v>6678.35</v>
      </c>
      <c r="H48" s="3" t="n">
        <v>6678.35</v>
      </c>
      <c r="I48" s="6" t="n">
        <v>45655</v>
      </c>
      <c r="J48" s="2" t="inlineStr">
        <is>
          <t>Gecikmeli Odendi</t>
        </is>
      </c>
      <c r="K48" s="2" t="inlineStr">
        <is>
          <t>Ihracat Istisnasi</t>
        </is>
      </c>
      <c r="L48" s="2" t="inlineStr">
        <is>
          <t>301</t>
        </is>
      </c>
    </row>
    <row r="49">
      <c r="A49" s="2" t="inlineStr">
        <is>
          <t>FTR-0048</t>
        </is>
      </c>
      <c r="B49" s="6" t="n">
        <v>45544</v>
      </c>
      <c r="C49" s="2" t="inlineStr">
        <is>
          <t>SIP-0041</t>
        </is>
      </c>
      <c r="D49" s="2" t="inlineStr">
        <is>
          <t>MUS-084</t>
        </is>
      </c>
      <c r="E49" s="2" t="inlineStr">
        <is>
          <t>EUR</t>
        </is>
      </c>
      <c r="F49" s="5" t="n">
        <v>1.0477</v>
      </c>
      <c r="G49" s="3" t="n">
        <v>3240.9</v>
      </c>
      <c r="H49" s="3" t="n">
        <v>3395.49</v>
      </c>
      <c r="I49" s="6" t="n">
        <v>45634</v>
      </c>
      <c r="J49" s="2" t="inlineStr">
        <is>
          <t>Gecikmeli Odendi</t>
        </is>
      </c>
      <c r="K49" s="2" t="inlineStr">
        <is>
          <t>Ihracat Istisnasi</t>
        </is>
      </c>
      <c r="L49" s="2" t="inlineStr">
        <is>
          <t>301</t>
        </is>
      </c>
    </row>
    <row r="50">
      <c r="A50" s="2" t="inlineStr">
        <is>
          <t>FTR-0049</t>
        </is>
      </c>
      <c r="B50" s="6" t="n">
        <v>45561</v>
      </c>
      <c r="C50" s="2" t="inlineStr">
        <is>
          <t>SIP-0042</t>
        </is>
      </c>
      <c r="D50" s="2" t="inlineStr">
        <is>
          <t>MUS-025</t>
        </is>
      </c>
      <c r="E50" s="2" t="inlineStr">
        <is>
          <t>EUR</t>
        </is>
      </c>
      <c r="F50" s="5" t="n">
        <v>1.0477</v>
      </c>
      <c r="G50" s="3" t="n">
        <v>67984.38</v>
      </c>
      <c r="H50" s="3" t="n">
        <v>71227.23</v>
      </c>
      <c r="I50" s="6" t="n">
        <v>45606</v>
      </c>
      <c r="J50" s="2" t="inlineStr">
        <is>
          <t>Acik</t>
        </is>
      </c>
      <c r="K50" s="2" t="inlineStr">
        <is>
          <t>Ihracat Istisnasi</t>
        </is>
      </c>
      <c r="L50" s="2" t="inlineStr">
        <is>
          <t>301</t>
        </is>
      </c>
    </row>
    <row r="51">
      <c r="A51" s="2" t="inlineStr">
        <is>
          <t>FTR-0050</t>
        </is>
      </c>
      <c r="B51" s="6" t="n">
        <v>45542</v>
      </c>
      <c r="C51" s="2" t="inlineStr">
        <is>
          <t>SIP-0043</t>
        </is>
      </c>
      <c r="D51" s="2" t="inlineStr">
        <is>
          <t>MUS-031</t>
        </is>
      </c>
      <c r="E51" s="2" t="inlineStr">
        <is>
          <t>EUR</t>
        </is>
      </c>
      <c r="F51" s="5" t="n">
        <v>1.0477</v>
      </c>
      <c r="G51" s="3" t="n">
        <v>11305.04</v>
      </c>
      <c r="H51" s="3" t="n">
        <v>11844.29</v>
      </c>
      <c r="I51" s="6" t="n">
        <v>45557</v>
      </c>
      <c r="J51" s="2" t="inlineStr">
        <is>
          <t>Odendi</t>
        </is>
      </c>
      <c r="K51" s="2" t="inlineStr">
        <is>
          <t>Ihracat Istisnasi</t>
        </is>
      </c>
      <c r="L51" s="2" t="inlineStr">
        <is>
          <t>301</t>
        </is>
      </c>
    </row>
    <row r="52">
      <c r="A52" s="2" t="inlineStr">
        <is>
          <t>FTR-0051</t>
        </is>
      </c>
      <c r="B52" s="6" t="n">
        <v>45543</v>
      </c>
      <c r="C52" s="2" t="inlineStr">
        <is>
          <t>SIP-0043</t>
        </is>
      </c>
      <c r="D52" s="2" t="inlineStr">
        <is>
          <t>MUS-031</t>
        </is>
      </c>
      <c r="E52" s="2" t="inlineStr">
        <is>
          <t>EUR</t>
        </is>
      </c>
      <c r="F52" s="5" t="n">
        <v>1.0477</v>
      </c>
      <c r="G52" s="3" t="n">
        <v>8235.950000000001</v>
      </c>
      <c r="H52" s="3" t="n">
        <v>8628.799999999999</v>
      </c>
      <c r="I52" s="6" t="n">
        <v>45558</v>
      </c>
      <c r="J52" s="2" t="inlineStr">
        <is>
          <t>Odendi</t>
        </is>
      </c>
      <c r="K52" s="2" t="inlineStr">
        <is>
          <t>Ihracat Istisnasi</t>
        </is>
      </c>
      <c r="L52" s="2" t="inlineStr">
        <is>
          <t>301</t>
        </is>
      </c>
    </row>
    <row r="53">
      <c r="A53" s="2" t="inlineStr">
        <is>
          <t>FTR-0052</t>
        </is>
      </c>
      <c r="B53" s="6" t="n">
        <v>45537</v>
      </c>
      <c r="C53" s="2" t="inlineStr">
        <is>
          <t>SIP-0044</t>
        </is>
      </c>
      <c r="D53" s="2" t="inlineStr">
        <is>
          <t>MUS-012</t>
        </is>
      </c>
      <c r="E53" s="2" t="inlineStr">
        <is>
          <t>EUR</t>
        </is>
      </c>
      <c r="F53" s="5" t="n">
        <v>1.0477</v>
      </c>
      <c r="G53" s="3" t="n">
        <v>32485.29</v>
      </c>
      <c r="H53" s="3" t="n">
        <v>34034.84</v>
      </c>
      <c r="I53" s="6" t="n">
        <v>45582</v>
      </c>
      <c r="J53" s="2" t="inlineStr">
        <is>
          <t>Odendi</t>
        </is>
      </c>
      <c r="K53" s="2" t="inlineStr">
        <is>
          <t>Ihracat Istisnasi</t>
        </is>
      </c>
      <c r="L53" s="2" t="inlineStr">
        <is>
          <t>301</t>
        </is>
      </c>
    </row>
    <row r="54">
      <c r="A54" s="2" t="inlineStr">
        <is>
          <t>FTR-0053</t>
        </is>
      </c>
      <c r="B54" s="6" t="n">
        <v>45538</v>
      </c>
      <c r="C54" s="2" t="inlineStr">
        <is>
          <t>SIP-0045</t>
        </is>
      </c>
      <c r="D54" s="2" t="inlineStr">
        <is>
          <t>MUS-068</t>
        </is>
      </c>
      <c r="E54" s="2" t="inlineStr">
        <is>
          <t>EUR</t>
        </is>
      </c>
      <c r="F54" s="5" t="n">
        <v>1.0477</v>
      </c>
      <c r="G54" s="3" t="n">
        <v>33398.1</v>
      </c>
      <c r="H54" s="3" t="n">
        <v>34991.19</v>
      </c>
      <c r="I54" s="6" t="n">
        <v>45553</v>
      </c>
      <c r="J54" s="2" t="inlineStr">
        <is>
          <t>Gecikmeli Odendi</t>
        </is>
      </c>
      <c r="K54" s="2" t="inlineStr">
        <is>
          <t>Ihracat Istisnasi</t>
        </is>
      </c>
      <c r="L54" s="2" t="inlineStr">
        <is>
          <t>301</t>
        </is>
      </c>
    </row>
    <row r="55">
      <c r="A55" s="2" t="inlineStr">
        <is>
          <t>FTR-0054</t>
        </is>
      </c>
      <c r="B55" s="6" t="n">
        <v>45550</v>
      </c>
      <c r="C55" s="2" t="inlineStr">
        <is>
          <t>SIP-0046</t>
        </is>
      </c>
      <c r="D55" s="2" t="inlineStr">
        <is>
          <t>MUS-014</t>
        </is>
      </c>
      <c r="E55" s="2" t="inlineStr">
        <is>
          <t>USD</t>
        </is>
      </c>
      <c r="F55" s="5" t="n">
        <v>1</v>
      </c>
      <c r="G55" s="3" t="n">
        <v>34709.52</v>
      </c>
      <c r="H55" s="3" t="n">
        <v>34709.52</v>
      </c>
      <c r="I55" s="6" t="n">
        <v>45610</v>
      </c>
      <c r="J55" s="2" t="inlineStr">
        <is>
          <t>Gecikmeli Odendi</t>
        </is>
      </c>
      <c r="K55" s="2" t="inlineStr">
        <is>
          <t>Ihracat Istisnasi</t>
        </is>
      </c>
      <c r="L55" s="2" t="inlineStr">
        <is>
          <t>301</t>
        </is>
      </c>
    </row>
    <row r="56">
      <c r="A56" s="2" t="inlineStr">
        <is>
          <t>FTR-0055</t>
        </is>
      </c>
      <c r="B56" s="6" t="n">
        <v>45549</v>
      </c>
      <c r="C56" s="2" t="inlineStr">
        <is>
          <t>SIP-0047</t>
        </is>
      </c>
      <c r="D56" s="2" t="inlineStr">
        <is>
          <t>MUS-071</t>
        </is>
      </c>
      <c r="E56" s="2" t="inlineStr">
        <is>
          <t>USD</t>
        </is>
      </c>
      <c r="F56" s="5" t="n">
        <v>1</v>
      </c>
      <c r="G56" s="3" t="n">
        <v>22483.94</v>
      </c>
      <c r="H56" s="3" t="n">
        <v>22483.94</v>
      </c>
      <c r="I56" s="6" t="n">
        <v>45609</v>
      </c>
      <c r="J56" s="2" t="inlineStr">
        <is>
          <t>Odendi</t>
        </is>
      </c>
      <c r="K56" s="2" t="inlineStr">
        <is>
          <t>Ihracat Istisnasi</t>
        </is>
      </c>
      <c r="L56" s="2" t="inlineStr">
        <is>
          <t>301</t>
        </is>
      </c>
    </row>
    <row r="57">
      <c r="A57" s="2" t="inlineStr">
        <is>
          <t>FTR-0056</t>
        </is>
      </c>
      <c r="B57" s="6" t="n">
        <v>45550</v>
      </c>
      <c r="C57" s="2" t="inlineStr">
        <is>
          <t>SIP-0047</t>
        </is>
      </c>
      <c r="D57" s="2" t="inlineStr">
        <is>
          <t>MUS-071</t>
        </is>
      </c>
      <c r="E57" s="2" t="inlineStr">
        <is>
          <t>USD</t>
        </is>
      </c>
      <c r="F57" s="5" t="n">
        <v>1</v>
      </c>
      <c r="G57" s="3" t="n">
        <v>24511.07</v>
      </c>
      <c r="H57" s="3" t="n">
        <v>24511.07</v>
      </c>
      <c r="I57" s="6" t="n">
        <v>45610</v>
      </c>
      <c r="J57" s="2" t="inlineStr">
        <is>
          <t>Gecikmeli Odendi</t>
        </is>
      </c>
      <c r="K57" s="2" t="inlineStr">
        <is>
          <t>Ihracat Istisnasi</t>
        </is>
      </c>
      <c r="L57" s="2" t="inlineStr">
        <is>
          <t>301</t>
        </is>
      </c>
    </row>
    <row r="58">
      <c r="A58" s="2" t="inlineStr">
        <is>
          <t>FTR-0057</t>
        </is>
      </c>
      <c r="B58" s="6" t="n">
        <v>45609</v>
      </c>
      <c r="C58" s="2" t="inlineStr">
        <is>
          <t>SIP-0048</t>
        </is>
      </c>
      <c r="D58" s="2" t="inlineStr">
        <is>
          <t>MUS-056</t>
        </is>
      </c>
      <c r="E58" s="2" t="inlineStr">
        <is>
          <t>EUR</t>
        </is>
      </c>
      <c r="F58" s="5" t="n">
        <v>1.0533</v>
      </c>
      <c r="G58" s="3" t="n">
        <v>12767.81</v>
      </c>
      <c r="H58" s="3" t="n">
        <v>13448.33</v>
      </c>
      <c r="I58" s="6" t="n">
        <v>45624</v>
      </c>
      <c r="J58" s="2" t="inlineStr">
        <is>
          <t>Odendi</t>
        </is>
      </c>
      <c r="K58" s="2" t="inlineStr">
        <is>
          <t>Ihracat Istisnasi</t>
        </is>
      </c>
      <c r="L58" s="2" t="inlineStr">
        <is>
          <t>301</t>
        </is>
      </c>
    </row>
    <row r="59">
      <c r="A59" s="2" t="inlineStr">
        <is>
          <t>FTR-0058</t>
        </is>
      </c>
      <c r="B59" s="6" t="n">
        <v>45610</v>
      </c>
      <c r="C59" s="2" t="inlineStr">
        <is>
          <t>SIP-0048</t>
        </is>
      </c>
      <c r="D59" s="2" t="inlineStr">
        <is>
          <t>MUS-056</t>
        </is>
      </c>
      <c r="E59" s="2" t="inlineStr">
        <is>
          <t>EUR</t>
        </is>
      </c>
      <c r="F59" s="5" t="n">
        <v>1.0533</v>
      </c>
      <c r="G59" s="3" t="n">
        <v>16330.76</v>
      </c>
      <c r="H59" s="3" t="n">
        <v>17201.19</v>
      </c>
      <c r="I59" s="6" t="n">
        <v>45625</v>
      </c>
      <c r="J59" s="2" t="inlineStr">
        <is>
          <t>Odendi</t>
        </is>
      </c>
      <c r="K59" s="2" t="inlineStr">
        <is>
          <t>Ihracat Istisnasi</t>
        </is>
      </c>
      <c r="L59" s="2" t="inlineStr">
        <is>
          <t>301</t>
        </is>
      </c>
    </row>
    <row r="60">
      <c r="A60" s="2" t="inlineStr">
        <is>
          <t>FTR-0059</t>
        </is>
      </c>
      <c r="B60" s="6" t="n">
        <v>45581</v>
      </c>
      <c r="C60" s="2" t="inlineStr">
        <is>
          <t>SIP-0049</t>
        </is>
      </c>
      <c r="D60" s="2" t="inlineStr">
        <is>
          <t>MUS-074</t>
        </is>
      </c>
      <c r="E60" s="2" t="inlineStr">
        <is>
          <t>USD</t>
        </is>
      </c>
      <c r="F60" s="5" t="n">
        <v>1</v>
      </c>
      <c r="G60" s="3" t="n">
        <v>78975.09</v>
      </c>
      <c r="H60" s="3" t="n">
        <v>78975.09</v>
      </c>
      <c r="I60" s="6" t="n">
        <v>45626</v>
      </c>
      <c r="J60" s="2" t="inlineStr">
        <is>
          <t>Acik</t>
        </is>
      </c>
      <c r="K60" s="2" t="inlineStr">
        <is>
          <t>Ihracat Istisnasi</t>
        </is>
      </c>
      <c r="L60" s="2" t="inlineStr">
        <is>
          <t>301</t>
        </is>
      </c>
    </row>
    <row r="61">
      <c r="A61" s="2" t="inlineStr">
        <is>
          <t>FTR-0060</t>
        </is>
      </c>
      <c r="B61" s="6" t="n">
        <v>45635</v>
      </c>
      <c r="C61" s="2" t="inlineStr">
        <is>
          <t>SIP-0050</t>
        </is>
      </c>
      <c r="D61" s="2" t="inlineStr">
        <is>
          <t>MUS-081</t>
        </is>
      </c>
      <c r="E61" s="2" t="inlineStr">
        <is>
          <t>USD</t>
        </is>
      </c>
      <c r="F61" s="5" t="n">
        <v>1</v>
      </c>
      <c r="G61" s="3" t="n">
        <v>39733.7</v>
      </c>
      <c r="H61" s="3" t="n">
        <v>39733.7</v>
      </c>
      <c r="I61" s="6" t="n">
        <v>45665</v>
      </c>
      <c r="J61" s="2" t="inlineStr">
        <is>
          <t>Odendi</t>
        </is>
      </c>
      <c r="K61" s="2" t="inlineStr">
        <is>
          <t>Ihracat Istisnasi</t>
        </is>
      </c>
      <c r="L61" s="2" t="inlineStr">
        <is>
          <t>301</t>
        </is>
      </c>
    </row>
    <row r="62">
      <c r="A62" s="2" t="inlineStr">
        <is>
          <t>FTR-0061</t>
        </is>
      </c>
      <c r="B62" s="6" t="n">
        <v>45570</v>
      </c>
      <c r="C62" s="2" t="inlineStr">
        <is>
          <t>SIP-0051</t>
        </is>
      </c>
      <c r="D62" s="2" t="inlineStr">
        <is>
          <t>MUS-067</t>
        </is>
      </c>
      <c r="E62" s="2" t="inlineStr">
        <is>
          <t>USD</t>
        </is>
      </c>
      <c r="F62" s="5" t="n">
        <v>1</v>
      </c>
      <c r="G62" s="3" t="n">
        <v>5571.72</v>
      </c>
      <c r="H62" s="3" t="n">
        <v>5571.72</v>
      </c>
      <c r="I62" s="6" t="n">
        <v>45600</v>
      </c>
      <c r="J62" s="2" t="inlineStr">
        <is>
          <t>Gecikmeli Odendi</t>
        </is>
      </c>
      <c r="K62" s="2" t="inlineStr">
        <is>
          <t>Ihracat Istisnasi</t>
        </is>
      </c>
      <c r="L62" s="2" t="inlineStr">
        <is>
          <t>301</t>
        </is>
      </c>
    </row>
    <row r="63">
      <c r="A63" s="2" t="inlineStr">
        <is>
          <t>FTR-0062</t>
        </is>
      </c>
      <c r="B63" s="6" t="n">
        <v>45597</v>
      </c>
      <c r="C63" s="2" t="inlineStr">
        <is>
          <t>SIP-0052</t>
        </is>
      </c>
      <c r="D63" s="2" t="inlineStr">
        <is>
          <t>MUS-003</t>
        </is>
      </c>
      <c r="E63" s="2" t="inlineStr">
        <is>
          <t>USD</t>
        </is>
      </c>
      <c r="F63" s="5" t="n">
        <v>1</v>
      </c>
      <c r="G63" s="3" t="n">
        <v>20202.61</v>
      </c>
      <c r="H63" s="3" t="n">
        <v>20202.61</v>
      </c>
      <c r="I63" s="6" t="n">
        <v>45687</v>
      </c>
      <c r="J63" s="2" t="inlineStr">
        <is>
          <t>Acik</t>
        </is>
      </c>
      <c r="K63" s="2" t="inlineStr">
        <is>
          <t>Ihracat Istisnasi</t>
        </is>
      </c>
      <c r="L63" s="2" t="inlineStr">
        <is>
          <t>301</t>
        </is>
      </c>
    </row>
    <row r="64">
      <c r="A64" s="2" t="inlineStr">
        <is>
          <t>FTR-0063</t>
        </is>
      </c>
      <c r="B64" s="6" t="n">
        <v>45598</v>
      </c>
      <c r="C64" s="2" t="inlineStr">
        <is>
          <t>SIP-0052</t>
        </is>
      </c>
      <c r="D64" s="2" t="inlineStr">
        <is>
          <t>MUS-003</t>
        </is>
      </c>
      <c r="E64" s="2" t="inlineStr">
        <is>
          <t>USD</t>
        </is>
      </c>
      <c r="F64" s="5" t="n">
        <v>1</v>
      </c>
      <c r="G64" s="3" t="n">
        <v>17965.35</v>
      </c>
      <c r="H64" s="3" t="n">
        <v>17965.35</v>
      </c>
      <c r="I64" s="6" t="n">
        <v>45688</v>
      </c>
      <c r="J64" s="2" t="inlineStr">
        <is>
          <t>Gecikmeli Odendi</t>
        </is>
      </c>
      <c r="K64" s="2" t="inlineStr">
        <is>
          <t>Ihracat Istisnasi</t>
        </is>
      </c>
      <c r="L64" s="2" t="inlineStr">
        <is>
          <t>301</t>
        </is>
      </c>
    </row>
    <row r="65">
      <c r="A65" s="2" t="inlineStr">
        <is>
          <t>FTR-0064</t>
        </is>
      </c>
      <c r="B65" s="6" t="n">
        <v>45575</v>
      </c>
      <c r="C65" s="2" t="inlineStr">
        <is>
          <t>SIP-0053</t>
        </is>
      </c>
      <c r="D65" s="2" t="inlineStr">
        <is>
          <t>MUS-047</t>
        </is>
      </c>
      <c r="E65" s="2" t="inlineStr">
        <is>
          <t>USD</t>
        </is>
      </c>
      <c r="F65" s="5" t="n">
        <v>1</v>
      </c>
      <c r="G65" s="3" t="n">
        <v>36958.27</v>
      </c>
      <c r="H65" s="3" t="n">
        <v>36958.27</v>
      </c>
      <c r="I65" s="6" t="n">
        <v>45635</v>
      </c>
      <c r="J65" s="2" t="inlineStr">
        <is>
          <t>Gecikmeli Odendi</t>
        </is>
      </c>
      <c r="K65" s="2" t="inlineStr">
        <is>
          <t>Ihracat Istisnasi</t>
        </is>
      </c>
      <c r="L65" s="2" t="inlineStr">
        <is>
          <t>301</t>
        </is>
      </c>
    </row>
    <row r="66">
      <c r="A66" s="2" t="inlineStr">
        <is>
          <t>FTR-0065</t>
        </is>
      </c>
      <c r="B66" s="6" t="n">
        <v>45569</v>
      </c>
      <c r="C66" s="2" t="inlineStr">
        <is>
          <t>SIP-0054</t>
        </is>
      </c>
      <c r="D66" s="2" t="inlineStr">
        <is>
          <t>MUS-025</t>
        </is>
      </c>
      <c r="E66" s="2" t="inlineStr">
        <is>
          <t>EUR</t>
        </is>
      </c>
      <c r="F66" s="5" t="n">
        <v>1.0533</v>
      </c>
      <c r="G66" s="3" t="n">
        <v>6654.48</v>
      </c>
      <c r="H66" s="3" t="n">
        <v>7009.16</v>
      </c>
      <c r="I66" s="6" t="n">
        <v>45614</v>
      </c>
      <c r="J66" s="2" t="inlineStr">
        <is>
          <t>Gecikmeli Odendi</t>
        </is>
      </c>
      <c r="K66" s="2" t="inlineStr">
        <is>
          <t>Ihracat Istisnasi</t>
        </is>
      </c>
      <c r="L66" s="2" t="inlineStr">
        <is>
          <t>301</t>
        </is>
      </c>
    </row>
    <row r="67">
      <c r="A67" s="2" t="inlineStr">
        <is>
          <t>FTR-0066</t>
        </is>
      </c>
      <c r="B67" s="6" t="n">
        <v>45570</v>
      </c>
      <c r="C67" s="2" t="inlineStr">
        <is>
          <t>SIP-0054</t>
        </is>
      </c>
      <c r="D67" s="2" t="inlineStr">
        <is>
          <t>MUS-025</t>
        </is>
      </c>
      <c r="E67" s="2" t="inlineStr">
        <is>
          <t>EUR</t>
        </is>
      </c>
      <c r="F67" s="5" t="n">
        <v>1.0533</v>
      </c>
      <c r="G67" s="3" t="n">
        <v>9169.049999999999</v>
      </c>
      <c r="H67" s="3" t="n">
        <v>9657.76</v>
      </c>
      <c r="I67" s="6" t="n">
        <v>45615</v>
      </c>
      <c r="J67" s="2" t="inlineStr">
        <is>
          <t>Acik</t>
        </is>
      </c>
      <c r="K67" s="2" t="inlineStr">
        <is>
          <t>Ihracat Istisnasi</t>
        </is>
      </c>
      <c r="L67" s="2" t="inlineStr">
        <is>
          <t>301</t>
        </is>
      </c>
    </row>
    <row r="68">
      <c r="A68" s="2" t="inlineStr">
        <is>
          <t>FTR-0067</t>
        </is>
      </c>
      <c r="B68" s="6" t="n">
        <v>45600</v>
      </c>
      <c r="C68" s="2" t="inlineStr">
        <is>
          <t>SIP-0055</t>
        </is>
      </c>
      <c r="D68" s="2" t="inlineStr">
        <is>
          <t>MUS-043</t>
        </is>
      </c>
      <c r="E68" s="2" t="inlineStr">
        <is>
          <t>EUR</t>
        </is>
      </c>
      <c r="F68" s="5" t="n">
        <v>1.0533</v>
      </c>
      <c r="G68" s="3" t="n">
        <v>21729.55</v>
      </c>
      <c r="H68" s="3" t="n">
        <v>22887.73</v>
      </c>
      <c r="I68" s="6" t="n">
        <v>45690</v>
      </c>
      <c r="J68" s="2" t="inlineStr">
        <is>
          <t>Odendi</t>
        </is>
      </c>
      <c r="K68" s="2" t="inlineStr">
        <is>
          <t>Ihracat Istisnasi</t>
        </is>
      </c>
      <c r="L68" s="2" t="inlineStr">
        <is>
          <t>301</t>
        </is>
      </c>
    </row>
    <row r="69">
      <c r="A69" s="2" t="inlineStr">
        <is>
          <t>FTR-0068</t>
        </is>
      </c>
      <c r="B69" s="6" t="n">
        <v>45601</v>
      </c>
      <c r="C69" s="2" t="inlineStr">
        <is>
          <t>SIP-0055</t>
        </is>
      </c>
      <c r="D69" s="2" t="inlineStr">
        <is>
          <t>MUS-043</t>
        </is>
      </c>
      <c r="E69" s="2" t="inlineStr">
        <is>
          <t>EUR</t>
        </is>
      </c>
      <c r="F69" s="5" t="n">
        <v>1.0533</v>
      </c>
      <c r="G69" s="3" t="n">
        <v>19056.96</v>
      </c>
      <c r="H69" s="3" t="n">
        <v>20072.7</v>
      </c>
      <c r="I69" s="6" t="n">
        <v>45691</v>
      </c>
      <c r="J69" s="2" t="inlineStr">
        <is>
          <t>Gecikmeli Odendi</t>
        </is>
      </c>
      <c r="K69" s="2" t="inlineStr">
        <is>
          <t>Ihracat Istisnasi</t>
        </is>
      </c>
      <c r="L69" s="2" t="inlineStr">
        <is>
          <t>301</t>
        </is>
      </c>
    </row>
    <row r="70">
      <c r="A70" s="2" t="inlineStr">
        <is>
          <t>FTR-0069</t>
        </is>
      </c>
      <c r="B70" s="6" t="n">
        <v>45555</v>
      </c>
      <c r="C70" s="2" t="inlineStr">
        <is>
          <t>SIP-0056</t>
        </is>
      </c>
      <c r="D70" s="2" t="inlineStr">
        <is>
          <t>MUS-014</t>
        </is>
      </c>
      <c r="E70" s="2" t="inlineStr">
        <is>
          <t>USD</t>
        </is>
      </c>
      <c r="F70" s="5" t="n">
        <v>1</v>
      </c>
      <c r="G70" s="3" t="n">
        <v>19948.61</v>
      </c>
      <c r="H70" s="3" t="n">
        <v>19948.61</v>
      </c>
      <c r="I70" s="6" t="n">
        <v>45615</v>
      </c>
      <c r="J70" s="2" t="inlineStr">
        <is>
          <t>Odendi</t>
        </is>
      </c>
      <c r="K70" s="2" t="inlineStr">
        <is>
          <t>Ihracat Istisnasi</t>
        </is>
      </c>
      <c r="L70" s="2" t="inlineStr">
        <is>
          <t>301</t>
        </is>
      </c>
    </row>
    <row r="71">
      <c r="A71" s="2" t="inlineStr">
        <is>
          <t>FTR-0070</t>
        </is>
      </c>
      <c r="B71" s="6" t="n">
        <v>45591</v>
      </c>
      <c r="C71" s="2" t="inlineStr">
        <is>
          <t>SIP-0057</t>
        </is>
      </c>
      <c r="D71" s="2" t="inlineStr">
        <is>
          <t>MUS-038</t>
        </is>
      </c>
      <c r="E71" s="2" t="inlineStr">
        <is>
          <t>USD</t>
        </is>
      </c>
      <c r="F71" s="5" t="n">
        <v>1</v>
      </c>
      <c r="G71" s="3" t="n">
        <v>61934.62</v>
      </c>
      <c r="H71" s="3" t="n">
        <v>61934.62</v>
      </c>
      <c r="I71" s="6" t="n">
        <v>45681</v>
      </c>
      <c r="J71" s="2" t="inlineStr">
        <is>
          <t>Acik</t>
        </is>
      </c>
      <c r="K71" s="2" t="inlineStr">
        <is>
          <t>Ihracat Istisnasi</t>
        </is>
      </c>
      <c r="L71" s="2" t="inlineStr">
        <is>
          <t>301</t>
        </is>
      </c>
    </row>
    <row r="72">
      <c r="A72" s="2" t="inlineStr">
        <is>
          <t>FTR-0071</t>
        </is>
      </c>
      <c r="B72" s="6" t="n">
        <v>45568</v>
      </c>
      <c r="C72" s="2" t="inlineStr">
        <is>
          <t>SIP-0058</t>
        </is>
      </c>
      <c r="D72" s="2" t="inlineStr">
        <is>
          <t>MUS-037</t>
        </is>
      </c>
      <c r="E72" s="2" t="inlineStr">
        <is>
          <t>EUR</t>
        </is>
      </c>
      <c r="F72" s="5" t="n">
        <v>1.0533</v>
      </c>
      <c r="G72" s="3" t="n">
        <v>44170.26</v>
      </c>
      <c r="H72" s="3" t="n">
        <v>46524.54</v>
      </c>
      <c r="I72" s="6" t="n">
        <v>45658</v>
      </c>
      <c r="J72" s="2" t="inlineStr">
        <is>
          <t>Gecikmeli Odendi</t>
        </is>
      </c>
      <c r="K72" s="2" t="inlineStr">
        <is>
          <t>Ihracat Istisnasi</t>
        </is>
      </c>
      <c r="L72" s="2" t="inlineStr">
        <is>
          <t>301</t>
        </is>
      </c>
    </row>
    <row r="73">
      <c r="A73" s="2" t="inlineStr">
        <is>
          <t>FTR-0072</t>
        </is>
      </c>
      <c r="B73" s="6" t="n">
        <v>45611</v>
      </c>
      <c r="C73" s="2" t="inlineStr">
        <is>
          <t>SIP-0059</t>
        </is>
      </c>
      <c r="D73" s="2" t="inlineStr">
        <is>
          <t>MUS-072</t>
        </is>
      </c>
      <c r="E73" s="2" t="inlineStr">
        <is>
          <t>EUR</t>
        </is>
      </c>
      <c r="F73" s="5" t="n">
        <v>1.0533</v>
      </c>
      <c r="G73" s="3" t="n">
        <v>6330.92</v>
      </c>
      <c r="H73" s="3" t="n">
        <v>6668.36</v>
      </c>
      <c r="I73" s="6" t="n">
        <v>45671</v>
      </c>
      <c r="J73" s="2" t="inlineStr">
        <is>
          <t>Odendi</t>
        </is>
      </c>
      <c r="K73" s="2" t="inlineStr">
        <is>
          <t>Ihracat Istisnasi</t>
        </is>
      </c>
      <c r="L73" s="2" t="inlineStr">
        <is>
          <t>301</t>
        </is>
      </c>
    </row>
    <row r="74">
      <c r="A74" s="2" t="inlineStr">
        <is>
          <t>FTR-0073</t>
        </is>
      </c>
      <c r="B74" s="6" t="n">
        <v>45612</v>
      </c>
      <c r="C74" s="2" t="inlineStr">
        <is>
          <t>SIP-0059</t>
        </is>
      </c>
      <c r="D74" s="2" t="inlineStr">
        <is>
          <t>MUS-072</t>
        </is>
      </c>
      <c r="E74" s="2" t="inlineStr">
        <is>
          <t>EUR</t>
        </is>
      </c>
      <c r="F74" s="5" t="n">
        <v>1.0533</v>
      </c>
      <c r="G74" s="3" t="n">
        <v>6543.84</v>
      </c>
      <c r="H74" s="3" t="n">
        <v>6892.63</v>
      </c>
      <c r="I74" s="6" t="n">
        <v>45672</v>
      </c>
      <c r="J74" s="2" t="inlineStr">
        <is>
          <t>Odendi</t>
        </is>
      </c>
      <c r="K74" s="2" t="inlineStr">
        <is>
          <t>Ihracat Istisnasi</t>
        </is>
      </c>
      <c r="L74" s="2" t="inlineStr">
        <is>
          <t>301</t>
        </is>
      </c>
    </row>
    <row r="75">
      <c r="A75" s="2" t="inlineStr">
        <is>
          <t>FTR-0074</t>
        </is>
      </c>
      <c r="B75" s="6" t="n">
        <v>45609</v>
      </c>
      <c r="C75" s="2" t="inlineStr">
        <is>
          <t>SIP-0060</t>
        </is>
      </c>
      <c r="D75" s="2" t="inlineStr">
        <is>
          <t>MUS-065</t>
        </is>
      </c>
      <c r="E75" s="2" t="inlineStr">
        <is>
          <t>USD</t>
        </is>
      </c>
      <c r="F75" s="5" t="n">
        <v>1</v>
      </c>
      <c r="G75" s="3" t="n">
        <v>45087.35</v>
      </c>
      <c r="H75" s="3" t="n">
        <v>45087.35</v>
      </c>
      <c r="I75" s="6" t="n">
        <v>45654</v>
      </c>
      <c r="J75" s="2" t="inlineStr">
        <is>
          <t>Gecikmeli Odendi</t>
        </is>
      </c>
      <c r="K75" s="2" t="inlineStr">
        <is>
          <t>Ihracat Istisnasi</t>
        </is>
      </c>
      <c r="L75" s="2" t="inlineStr">
        <is>
          <t>301</t>
        </is>
      </c>
    </row>
    <row r="76">
      <c r="A76" s="2" t="inlineStr">
        <is>
          <t>FTR-0075</t>
        </is>
      </c>
      <c r="B76" s="6" t="n">
        <v>45602</v>
      </c>
      <c r="C76" s="2" t="inlineStr">
        <is>
          <t>SIP-0061</t>
        </is>
      </c>
      <c r="D76" s="2" t="inlineStr">
        <is>
          <t>MUS-064</t>
        </is>
      </c>
      <c r="E76" s="2" t="inlineStr">
        <is>
          <t>EUR</t>
        </is>
      </c>
      <c r="F76" s="5" t="n">
        <v>1.0776</v>
      </c>
      <c r="G76" s="3" t="n">
        <v>15861.56</v>
      </c>
      <c r="H76" s="3" t="n">
        <v>17092.42</v>
      </c>
      <c r="I76" s="6" t="n">
        <v>45647</v>
      </c>
      <c r="J76" s="2" t="inlineStr">
        <is>
          <t>Gecikmeli Odendi</t>
        </is>
      </c>
      <c r="K76" s="2" t="inlineStr">
        <is>
          <t>Ihracat Istisnasi</t>
        </is>
      </c>
      <c r="L76" s="2" t="inlineStr">
        <is>
          <t>301</t>
        </is>
      </c>
    </row>
    <row r="77">
      <c r="A77" s="2" t="inlineStr">
        <is>
          <t>FTR-0076</t>
        </is>
      </c>
      <c r="B77" s="6" t="n">
        <v>45624</v>
      </c>
      <c r="C77" s="2" t="inlineStr">
        <is>
          <t>SIP-0062</t>
        </is>
      </c>
      <c r="D77" s="2" t="inlineStr">
        <is>
          <t>MUS-051</t>
        </is>
      </c>
      <c r="E77" s="2" t="inlineStr">
        <is>
          <t>EUR</t>
        </is>
      </c>
      <c r="F77" s="5" t="n">
        <v>1.0776</v>
      </c>
      <c r="G77" s="3" t="n">
        <v>30766.85</v>
      </c>
      <c r="H77" s="3" t="n">
        <v>33154.36</v>
      </c>
      <c r="I77" s="6" t="n">
        <v>45684</v>
      </c>
      <c r="J77" s="2" t="inlineStr">
        <is>
          <t>Gecikmeli Odendi</t>
        </is>
      </c>
      <c r="K77" s="2" t="inlineStr">
        <is>
          <t>Ihracat Istisnasi</t>
        </is>
      </c>
      <c r="L77" s="2" t="inlineStr">
        <is>
          <t>301</t>
        </is>
      </c>
    </row>
    <row r="78">
      <c r="A78" s="2" t="inlineStr">
        <is>
          <t>FTR-0077</t>
        </is>
      </c>
      <c r="B78" s="6" t="n">
        <v>45589</v>
      </c>
      <c r="C78" s="2" t="inlineStr">
        <is>
          <t>SIP-0063</t>
        </is>
      </c>
      <c r="D78" s="2" t="inlineStr">
        <is>
          <t>MUS-074</t>
        </is>
      </c>
      <c r="E78" s="2" t="inlineStr">
        <is>
          <t>USD</t>
        </is>
      </c>
      <c r="F78" s="5" t="n">
        <v>1</v>
      </c>
      <c r="G78" s="3" t="n">
        <v>32581.18</v>
      </c>
      <c r="H78" s="3" t="n">
        <v>32581.18</v>
      </c>
      <c r="I78" s="6" t="n">
        <v>45634</v>
      </c>
      <c r="J78" s="2" t="inlineStr">
        <is>
          <t>Odendi</t>
        </is>
      </c>
      <c r="K78" s="2" t="inlineStr">
        <is>
          <t>Ihracat Istisnasi</t>
        </is>
      </c>
      <c r="L78" s="2" t="inlineStr">
        <is>
          <t>301</t>
        </is>
      </c>
    </row>
    <row r="79">
      <c r="A79" s="2" t="inlineStr">
        <is>
          <t>FTR-0078</t>
        </is>
      </c>
      <c r="B79" s="6" t="n">
        <v>45590</v>
      </c>
      <c r="C79" s="2" t="inlineStr">
        <is>
          <t>SIP-0063</t>
        </is>
      </c>
      <c r="D79" s="2" t="inlineStr">
        <is>
          <t>MUS-074</t>
        </is>
      </c>
      <c r="E79" s="2" t="inlineStr">
        <is>
          <t>USD</t>
        </is>
      </c>
      <c r="F79" s="5" t="n">
        <v>1</v>
      </c>
      <c r="G79" s="3" t="n">
        <v>30488.37</v>
      </c>
      <c r="H79" s="3" t="n">
        <v>30488.37</v>
      </c>
      <c r="I79" s="6" t="n">
        <v>45635</v>
      </c>
      <c r="J79" s="2" t="inlineStr">
        <is>
          <t>Odendi</t>
        </is>
      </c>
      <c r="K79" s="2" t="inlineStr">
        <is>
          <t>Ihracat Istisnasi</t>
        </is>
      </c>
      <c r="L79" s="2" t="inlineStr">
        <is>
          <t>301</t>
        </is>
      </c>
    </row>
    <row r="80">
      <c r="A80" s="2" t="inlineStr">
        <is>
          <t>FTR-0079</t>
        </is>
      </c>
      <c r="B80" s="6" t="n">
        <v>45641</v>
      </c>
      <c r="C80" s="2" t="inlineStr">
        <is>
          <t>SIP-0064</t>
        </is>
      </c>
      <c r="D80" s="2" t="inlineStr">
        <is>
          <t>MUS-047</t>
        </is>
      </c>
      <c r="E80" s="2" t="inlineStr">
        <is>
          <t>USD</t>
        </is>
      </c>
      <c r="F80" s="5" t="n">
        <v>1</v>
      </c>
      <c r="G80" s="3" t="n">
        <v>98823.10000000001</v>
      </c>
      <c r="H80" s="3" t="n">
        <v>98823.10000000001</v>
      </c>
      <c r="I80" s="6" t="n">
        <v>45701</v>
      </c>
      <c r="J80" s="2" t="inlineStr">
        <is>
          <t>Odendi</t>
        </is>
      </c>
      <c r="K80" s="2" t="inlineStr">
        <is>
          <t>Ihracat Istisnasi</t>
        </is>
      </c>
      <c r="L80" s="2" t="inlineStr">
        <is>
          <t>301</t>
        </is>
      </c>
    </row>
    <row r="81">
      <c r="A81" s="2" t="inlineStr">
        <is>
          <t>FTR-0080</t>
        </is>
      </c>
      <c r="B81" s="6" t="n">
        <v>45663</v>
      </c>
      <c r="C81" s="2" t="inlineStr">
        <is>
          <t>SIP-0065</t>
        </is>
      </c>
      <c r="D81" s="2" t="inlineStr">
        <is>
          <t>MUS-082</t>
        </is>
      </c>
      <c r="E81" s="2" t="inlineStr">
        <is>
          <t>EUR</t>
        </is>
      </c>
      <c r="F81" s="5" t="n">
        <v>1.0776</v>
      </c>
      <c r="G81" s="3" t="n">
        <v>21775.85</v>
      </c>
      <c r="H81" s="3" t="n">
        <v>23465.66</v>
      </c>
      <c r="I81" s="6" t="n">
        <v>45708</v>
      </c>
      <c r="J81" s="2" t="inlineStr">
        <is>
          <t>Odendi</t>
        </is>
      </c>
      <c r="K81" s="2" t="inlineStr">
        <is>
          <t>Ihracat Istisnasi</t>
        </is>
      </c>
      <c r="L81" s="2" t="inlineStr">
        <is>
          <t>301</t>
        </is>
      </c>
    </row>
    <row r="82">
      <c r="A82" s="2" t="inlineStr">
        <is>
          <t>FTR-0081</t>
        </is>
      </c>
      <c r="B82" s="6" t="n">
        <v>45585</v>
      </c>
      <c r="C82" s="2" t="inlineStr">
        <is>
          <t>SIP-0066</t>
        </is>
      </c>
      <c r="D82" s="2" t="inlineStr">
        <is>
          <t>MUS-083</t>
        </is>
      </c>
      <c r="E82" s="2" t="inlineStr">
        <is>
          <t>EUR</t>
        </is>
      </c>
      <c r="F82" s="5" t="n">
        <v>1.0776</v>
      </c>
      <c r="G82" s="3" t="n">
        <v>4657.4</v>
      </c>
      <c r="H82" s="3" t="n">
        <v>5018.81</v>
      </c>
      <c r="I82" s="6" t="n">
        <v>45645</v>
      </c>
      <c r="J82" s="2" t="inlineStr">
        <is>
          <t>Acik</t>
        </is>
      </c>
      <c r="K82" s="2" t="inlineStr">
        <is>
          <t>Ihracat Istisnasi</t>
        </is>
      </c>
      <c r="L82" s="2" t="inlineStr">
        <is>
          <t>301</t>
        </is>
      </c>
    </row>
    <row r="83">
      <c r="A83" s="2" t="inlineStr">
        <is>
          <t>FTR-0082</t>
        </is>
      </c>
      <c r="B83" s="6" t="n">
        <v>45586</v>
      </c>
      <c r="C83" s="2" t="inlineStr">
        <is>
          <t>SIP-0066</t>
        </is>
      </c>
      <c r="D83" s="2" t="inlineStr">
        <is>
          <t>MUS-083</t>
        </is>
      </c>
      <c r="E83" s="2" t="inlineStr">
        <is>
          <t>EUR</t>
        </is>
      </c>
      <c r="F83" s="5" t="n">
        <v>1.0776</v>
      </c>
      <c r="G83" s="3" t="n">
        <v>5124.45</v>
      </c>
      <c r="H83" s="3" t="n">
        <v>5522.11</v>
      </c>
      <c r="I83" s="6" t="n">
        <v>45646</v>
      </c>
      <c r="J83" s="2" t="inlineStr">
        <is>
          <t>Gecikmeli Odendi</t>
        </is>
      </c>
      <c r="K83" s="2" t="inlineStr">
        <is>
          <t>Ihracat Istisnasi</t>
        </is>
      </c>
      <c r="L83" s="2" t="inlineStr">
        <is>
          <t>301</t>
        </is>
      </c>
    </row>
    <row r="84">
      <c r="A84" s="2" t="inlineStr">
        <is>
          <t>FTR-0083</t>
        </is>
      </c>
      <c r="B84" s="6" t="n">
        <v>45634</v>
      </c>
      <c r="C84" s="2" t="inlineStr">
        <is>
          <t>SIP-0067</t>
        </is>
      </c>
      <c r="D84" s="2" t="inlineStr">
        <is>
          <t>MUS-077</t>
        </is>
      </c>
      <c r="E84" s="2" t="inlineStr">
        <is>
          <t>EUR</t>
        </is>
      </c>
      <c r="F84" s="5" t="n">
        <v>1.0776</v>
      </c>
      <c r="G84" s="3" t="n">
        <v>40584.23</v>
      </c>
      <c r="H84" s="3" t="n">
        <v>43733.57</v>
      </c>
      <c r="I84" s="6" t="n">
        <v>45679</v>
      </c>
      <c r="J84" s="2" t="inlineStr">
        <is>
          <t>Odendi</t>
        </is>
      </c>
      <c r="K84" s="2" t="inlineStr">
        <is>
          <t>Ihracat Istisnasi</t>
        </is>
      </c>
      <c r="L84" s="2" t="inlineStr">
        <is>
          <t>301</t>
        </is>
      </c>
    </row>
    <row r="85">
      <c r="A85" s="2" t="inlineStr">
        <is>
          <t>FTR-0084</t>
        </is>
      </c>
      <c r="B85" s="6" t="n">
        <v>45627</v>
      </c>
      <c r="C85" s="2" t="inlineStr">
        <is>
          <t>SIP-0068</t>
        </is>
      </c>
      <c r="D85" s="2" t="inlineStr">
        <is>
          <t>MUS-025</t>
        </is>
      </c>
      <c r="E85" s="2" t="inlineStr">
        <is>
          <t>EUR</t>
        </is>
      </c>
      <c r="F85" s="5" t="n">
        <v>1.0776</v>
      </c>
      <c r="G85" s="3" t="n">
        <v>35945.94</v>
      </c>
      <c r="H85" s="3" t="n">
        <v>38735.35</v>
      </c>
      <c r="I85" s="6" t="n">
        <v>45672</v>
      </c>
      <c r="J85" s="2" t="inlineStr">
        <is>
          <t>Gecikmeli Odendi</t>
        </is>
      </c>
      <c r="K85" s="2" t="inlineStr">
        <is>
          <t>Ihracat Istisnasi</t>
        </is>
      </c>
      <c r="L85" s="2" t="inlineStr">
        <is>
          <t>301</t>
        </is>
      </c>
    </row>
    <row r="86">
      <c r="A86" s="2" t="inlineStr">
        <is>
          <t>FTR-0085</t>
        </is>
      </c>
      <c r="B86" s="6" t="n">
        <v>45613</v>
      </c>
      <c r="C86" s="2" t="inlineStr">
        <is>
          <t>SIP-0069</t>
        </is>
      </c>
      <c r="D86" s="2" t="inlineStr">
        <is>
          <t>MUS-081</t>
        </is>
      </c>
      <c r="E86" s="2" t="inlineStr">
        <is>
          <t>USD</t>
        </is>
      </c>
      <c r="F86" s="5" t="n">
        <v>1</v>
      </c>
      <c r="G86" s="3" t="n">
        <v>38064.42</v>
      </c>
      <c r="H86" s="3" t="n">
        <v>38064.42</v>
      </c>
      <c r="I86" s="6" t="n">
        <v>45643</v>
      </c>
      <c r="J86" s="2" t="inlineStr">
        <is>
          <t>Odendi</t>
        </is>
      </c>
      <c r="K86" s="2" t="inlineStr">
        <is>
          <t>Ihracat Istisnasi</t>
        </is>
      </c>
      <c r="L86" s="2" t="inlineStr">
        <is>
          <t>301</t>
        </is>
      </c>
    </row>
    <row r="87">
      <c r="A87" s="2" t="inlineStr">
        <is>
          <t>FTR-0086</t>
        </is>
      </c>
      <c r="B87" s="6" t="n">
        <v>45591</v>
      </c>
      <c r="C87" s="2" t="inlineStr">
        <is>
          <t>SIP-0070</t>
        </is>
      </c>
      <c r="D87" s="2" t="inlineStr">
        <is>
          <t>MUS-026</t>
        </is>
      </c>
      <c r="E87" s="2" t="inlineStr">
        <is>
          <t>EUR</t>
        </is>
      </c>
      <c r="F87" s="5" t="n">
        <v>1.0776</v>
      </c>
      <c r="G87" s="3" t="n">
        <v>18371.27</v>
      </c>
      <c r="H87" s="3" t="n">
        <v>19796.88</v>
      </c>
      <c r="I87" s="6" t="n">
        <v>45606</v>
      </c>
      <c r="J87" s="2" t="inlineStr">
        <is>
          <t>Odendi</t>
        </is>
      </c>
      <c r="K87" s="2" t="inlineStr">
        <is>
          <t>Ihracat Istisnasi</t>
        </is>
      </c>
      <c r="L87" s="2" t="inlineStr">
        <is>
          <t>301</t>
        </is>
      </c>
    </row>
    <row r="88">
      <c r="A88" s="2" t="inlineStr">
        <is>
          <t>FTR-0087</t>
        </is>
      </c>
      <c r="B88" s="6" t="n">
        <v>45647</v>
      </c>
      <c r="C88" s="2" t="inlineStr">
        <is>
          <t>SIP-0071</t>
        </is>
      </c>
      <c r="D88" s="2" t="inlineStr">
        <is>
          <t>MUS-046</t>
        </is>
      </c>
      <c r="E88" s="2" t="inlineStr">
        <is>
          <t>EUR</t>
        </is>
      </c>
      <c r="F88" s="5" t="n">
        <v>1.1016</v>
      </c>
      <c r="G88" s="3" t="n">
        <v>9553.6</v>
      </c>
      <c r="H88" s="3" t="n">
        <v>10524.25</v>
      </c>
      <c r="I88" s="6" t="n">
        <v>45692</v>
      </c>
      <c r="J88" s="2" t="inlineStr">
        <is>
          <t>Odendi</t>
        </is>
      </c>
      <c r="K88" s="2" t="inlineStr">
        <is>
          <t>Ihracat Istisnasi</t>
        </is>
      </c>
      <c r="L88" s="2" t="inlineStr">
        <is>
          <t>301</t>
        </is>
      </c>
    </row>
    <row r="89">
      <c r="A89" s="2" t="inlineStr">
        <is>
          <t>FTR-0088</t>
        </is>
      </c>
      <c r="B89" s="6" t="n">
        <v>45648</v>
      </c>
      <c r="C89" s="2" t="inlineStr">
        <is>
          <t>SIP-0071</t>
        </is>
      </c>
      <c r="D89" s="2" t="inlineStr">
        <is>
          <t>MUS-046</t>
        </is>
      </c>
      <c r="E89" s="2" t="inlineStr">
        <is>
          <t>EUR</t>
        </is>
      </c>
      <c r="F89" s="5" t="n">
        <v>1.1016</v>
      </c>
      <c r="G89" s="3" t="n">
        <v>9276.6</v>
      </c>
      <c r="H89" s="3" t="n">
        <v>10219.1</v>
      </c>
      <c r="I89" s="6" t="n">
        <v>45693</v>
      </c>
      <c r="J89" s="2" t="inlineStr">
        <is>
          <t>Odendi</t>
        </is>
      </c>
      <c r="K89" s="2" t="inlineStr">
        <is>
          <t>Ihracat Istisnasi</t>
        </is>
      </c>
      <c r="L89" s="2" t="inlineStr">
        <is>
          <t>301</t>
        </is>
      </c>
    </row>
    <row r="90">
      <c r="A90" s="2" t="inlineStr">
        <is>
          <t>FTR-0089</t>
        </is>
      </c>
      <c r="B90" s="6" t="n">
        <v>45642</v>
      </c>
      <c r="C90" s="2" t="inlineStr">
        <is>
          <t>SIP-0072</t>
        </is>
      </c>
      <c r="D90" s="2" t="inlineStr">
        <is>
          <t>MUS-059</t>
        </is>
      </c>
      <c r="E90" s="2" t="inlineStr">
        <is>
          <t>USD</t>
        </is>
      </c>
      <c r="F90" s="5" t="n">
        <v>1</v>
      </c>
      <c r="G90" s="3" t="n">
        <v>45587.66</v>
      </c>
      <c r="H90" s="3" t="n">
        <v>45587.66</v>
      </c>
      <c r="I90" s="6" t="n">
        <v>45702</v>
      </c>
      <c r="J90" s="2" t="inlineStr">
        <is>
          <t>Odendi</t>
        </is>
      </c>
      <c r="K90" s="2" t="inlineStr">
        <is>
          <t>Ihracat Istisnasi</t>
        </is>
      </c>
      <c r="L90" s="2" t="inlineStr">
        <is>
          <t>301</t>
        </is>
      </c>
    </row>
    <row r="91">
      <c r="A91" s="2" t="inlineStr">
        <is>
          <t>FTR-0090</t>
        </is>
      </c>
      <c r="B91" s="6" t="n">
        <v>45636</v>
      </c>
      <c r="C91" s="2" t="inlineStr">
        <is>
          <t>SIP-0073</t>
        </is>
      </c>
      <c r="D91" s="2" t="inlineStr">
        <is>
          <t>MUS-072</t>
        </is>
      </c>
      <c r="E91" s="2" t="inlineStr">
        <is>
          <t>EUR</t>
        </is>
      </c>
      <c r="F91" s="5" t="n">
        <v>1.1016</v>
      </c>
      <c r="G91" s="3" t="n">
        <v>31990.7</v>
      </c>
      <c r="H91" s="3" t="n">
        <v>35240.96</v>
      </c>
      <c r="I91" s="6" t="n">
        <v>45696</v>
      </c>
      <c r="J91" s="2" t="inlineStr">
        <is>
          <t>Odendi</t>
        </is>
      </c>
      <c r="K91" s="2" t="inlineStr">
        <is>
          <t>Ihracat Istisnasi</t>
        </is>
      </c>
      <c r="L91" s="2" t="inlineStr">
        <is>
          <t>301</t>
        </is>
      </c>
    </row>
    <row r="92">
      <c r="A92" s="2" t="inlineStr">
        <is>
          <t>FTR-0091</t>
        </is>
      </c>
      <c r="B92" s="6" t="n">
        <v>45637</v>
      </c>
      <c r="C92" s="2" t="inlineStr">
        <is>
          <t>SIP-0073</t>
        </is>
      </c>
      <c r="D92" s="2" t="inlineStr">
        <is>
          <t>MUS-072</t>
        </is>
      </c>
      <c r="E92" s="2" t="inlineStr">
        <is>
          <t>EUR</t>
        </is>
      </c>
      <c r="F92" s="5" t="n">
        <v>1.1016</v>
      </c>
      <c r="G92" s="3" t="n">
        <v>31321.7</v>
      </c>
      <c r="H92" s="3" t="n">
        <v>34503.99</v>
      </c>
      <c r="I92" s="6" t="n">
        <v>45697</v>
      </c>
      <c r="J92" s="2" t="inlineStr">
        <is>
          <t>Odendi</t>
        </is>
      </c>
      <c r="K92" s="2" t="inlineStr">
        <is>
          <t>Ihracat Istisnasi</t>
        </is>
      </c>
      <c r="L92" s="2" t="inlineStr">
        <is>
          <t>301</t>
        </is>
      </c>
    </row>
    <row r="93">
      <c r="A93" s="2" t="inlineStr">
        <is>
          <t>FTR-0092</t>
        </is>
      </c>
      <c r="B93" s="6" t="n">
        <v>45623</v>
      </c>
      <c r="C93" s="2" t="inlineStr">
        <is>
          <t>SIP-0074</t>
        </is>
      </c>
      <c r="D93" s="2" t="inlineStr">
        <is>
          <t>MUS-070</t>
        </is>
      </c>
      <c r="E93" s="2" t="inlineStr">
        <is>
          <t>EUR</t>
        </is>
      </c>
      <c r="F93" s="5" t="n">
        <v>1.1016</v>
      </c>
      <c r="G93" s="3" t="n">
        <v>5576.22</v>
      </c>
      <c r="H93" s="3" t="n">
        <v>6142.76</v>
      </c>
      <c r="I93" s="6" t="n">
        <v>45683</v>
      </c>
      <c r="J93" s="2" t="inlineStr">
        <is>
          <t>Odendi</t>
        </is>
      </c>
      <c r="K93" s="2" t="inlineStr">
        <is>
          <t>Ihracat Istisnasi</t>
        </is>
      </c>
      <c r="L93" s="2" t="inlineStr">
        <is>
          <t>301</t>
        </is>
      </c>
    </row>
    <row r="94">
      <c r="A94" s="2" t="inlineStr">
        <is>
          <t>FTR-0093</t>
        </is>
      </c>
      <c r="B94" s="6" t="n">
        <v>45670</v>
      </c>
      <c r="C94" s="2" t="inlineStr">
        <is>
          <t>SIP-0075</t>
        </is>
      </c>
      <c r="D94" s="2" t="inlineStr">
        <is>
          <t>MUS-063</t>
        </is>
      </c>
      <c r="E94" s="2" t="inlineStr">
        <is>
          <t>EUR</t>
        </is>
      </c>
      <c r="F94" s="5" t="n">
        <v>1.1016</v>
      </c>
      <c r="G94" s="3" t="n">
        <v>12073.77</v>
      </c>
      <c r="H94" s="3" t="n">
        <v>13300.46</v>
      </c>
      <c r="I94" s="6" t="n">
        <v>45760</v>
      </c>
      <c r="J94" s="2" t="inlineStr">
        <is>
          <t>Gecikmeli Odendi</t>
        </is>
      </c>
      <c r="K94" s="2" t="inlineStr">
        <is>
          <t>Ihracat Istisnasi</t>
        </is>
      </c>
      <c r="L94" s="2" t="inlineStr">
        <is>
          <t>301</t>
        </is>
      </c>
    </row>
    <row r="95">
      <c r="A95" s="2" t="inlineStr">
        <is>
          <t>FTR-0094</t>
        </is>
      </c>
      <c r="B95" s="6" t="n">
        <v>45668</v>
      </c>
      <c r="C95" s="2" t="inlineStr">
        <is>
          <t>SIP-0076</t>
        </is>
      </c>
      <c r="D95" s="2" t="inlineStr">
        <is>
          <t>MUS-078</t>
        </is>
      </c>
      <c r="E95" s="2" t="inlineStr">
        <is>
          <t>EUR</t>
        </is>
      </c>
      <c r="F95" s="5" t="n">
        <v>1.1016</v>
      </c>
      <c r="G95" s="3" t="n">
        <v>41979.48</v>
      </c>
      <c r="H95" s="3" t="n">
        <v>46244.6</v>
      </c>
      <c r="I95" s="6" t="n">
        <v>45728</v>
      </c>
      <c r="J95" s="2" t="inlineStr">
        <is>
          <t>Odendi</t>
        </is>
      </c>
      <c r="K95" s="2" t="inlineStr">
        <is>
          <t>Ihracat Istisnasi</t>
        </is>
      </c>
      <c r="L95" s="2" t="inlineStr">
        <is>
          <t>301</t>
        </is>
      </c>
    </row>
    <row r="96">
      <c r="A96" s="2" t="inlineStr">
        <is>
          <t>FTR-0095</t>
        </is>
      </c>
      <c r="B96" s="6" t="n">
        <v>45664</v>
      </c>
      <c r="C96" s="2" t="inlineStr">
        <is>
          <t>SIP-0077</t>
        </is>
      </c>
      <c r="D96" s="2" t="inlineStr">
        <is>
          <t>MUS-045</t>
        </is>
      </c>
      <c r="E96" s="2" t="inlineStr">
        <is>
          <t>USD</t>
        </is>
      </c>
      <c r="F96" s="5" t="n">
        <v>1</v>
      </c>
      <c r="G96" s="3" t="n">
        <v>41458.7</v>
      </c>
      <c r="H96" s="3" t="n">
        <v>41458.7</v>
      </c>
      <c r="I96" s="6" t="n">
        <v>45694</v>
      </c>
      <c r="J96" s="2" t="inlineStr">
        <is>
          <t>Odendi</t>
        </is>
      </c>
      <c r="K96" s="2" t="inlineStr">
        <is>
          <t>Ihracat Istisnasi</t>
        </is>
      </c>
      <c r="L96" s="2" t="inlineStr">
        <is>
          <t>301</t>
        </is>
      </c>
    </row>
    <row r="97">
      <c r="A97" s="2" t="inlineStr">
        <is>
          <t>FTR-0096</t>
        </is>
      </c>
      <c r="B97" s="6" t="n">
        <v>45634</v>
      </c>
      <c r="C97" s="2" t="inlineStr">
        <is>
          <t>SIP-0078</t>
        </is>
      </c>
      <c r="D97" s="2" t="inlineStr">
        <is>
          <t>MUS-005</t>
        </is>
      </c>
      <c r="E97" s="2" t="inlineStr">
        <is>
          <t>EUR</t>
        </is>
      </c>
      <c r="F97" s="5" t="n">
        <v>1.1016</v>
      </c>
      <c r="G97" s="3" t="n">
        <v>3257.85</v>
      </c>
      <c r="H97" s="3" t="n">
        <v>3588.85</v>
      </c>
      <c r="I97" s="6" t="n">
        <v>45679</v>
      </c>
      <c r="J97" s="2" t="inlineStr">
        <is>
          <t>Odendi</t>
        </is>
      </c>
      <c r="K97" s="2" t="inlineStr">
        <is>
          <t>Ihracat Istisnasi</t>
        </is>
      </c>
      <c r="L97" s="2" t="inlineStr">
        <is>
          <t>301</t>
        </is>
      </c>
    </row>
    <row r="98">
      <c r="A98" s="2" t="inlineStr">
        <is>
          <t>FTR-0097</t>
        </is>
      </c>
      <c r="B98" s="6" t="n">
        <v>45635</v>
      </c>
      <c r="C98" s="2" t="inlineStr">
        <is>
          <t>SIP-0078</t>
        </is>
      </c>
      <c r="D98" s="2" t="inlineStr">
        <is>
          <t>MUS-005</t>
        </is>
      </c>
      <c r="E98" s="2" t="inlineStr">
        <is>
          <t>EUR</t>
        </is>
      </c>
      <c r="F98" s="5" t="n">
        <v>1.1016</v>
      </c>
      <c r="G98" s="3" t="n">
        <v>2540.26</v>
      </c>
      <c r="H98" s="3" t="n">
        <v>2798.35</v>
      </c>
      <c r="I98" s="6" t="n">
        <v>45680</v>
      </c>
      <c r="J98" s="2" t="inlineStr">
        <is>
          <t>Odendi</t>
        </is>
      </c>
      <c r="K98" s="2" t="inlineStr">
        <is>
          <t>Ihracat Istisnasi</t>
        </is>
      </c>
      <c r="L98" s="2" t="inlineStr">
        <is>
          <t>301</t>
        </is>
      </c>
    </row>
    <row r="99">
      <c r="A99" s="2" t="inlineStr">
        <is>
          <t>FTR-0098</t>
        </is>
      </c>
      <c r="B99" s="6" t="n">
        <v>45632</v>
      </c>
      <c r="C99" s="2" t="inlineStr">
        <is>
          <t>SIP-0079</t>
        </is>
      </c>
      <c r="D99" s="2" t="inlineStr">
        <is>
          <t>MUS-067</t>
        </is>
      </c>
      <c r="E99" s="2" t="inlineStr">
        <is>
          <t>USD</t>
        </is>
      </c>
      <c r="F99" s="5" t="n">
        <v>1</v>
      </c>
      <c r="G99" s="3" t="n">
        <v>17978.62</v>
      </c>
      <c r="H99" s="3" t="n">
        <v>17978.62</v>
      </c>
      <c r="I99" s="6" t="n">
        <v>45662</v>
      </c>
      <c r="J99" s="2" t="inlineStr">
        <is>
          <t>Gecikmeli Odendi</t>
        </is>
      </c>
      <c r="K99" s="2" t="inlineStr">
        <is>
          <t>Ihracat Istisnasi</t>
        </is>
      </c>
      <c r="L99" s="2" t="inlineStr">
        <is>
          <t>301</t>
        </is>
      </c>
    </row>
    <row r="100">
      <c r="A100" s="2" t="inlineStr">
        <is>
          <t>FTR-0099</t>
        </is>
      </c>
      <c r="B100" s="6" t="n">
        <v>45633</v>
      </c>
      <c r="C100" s="2" t="inlineStr">
        <is>
          <t>SIP-0079</t>
        </is>
      </c>
      <c r="D100" s="2" t="inlineStr">
        <is>
          <t>MUS-067</t>
        </is>
      </c>
      <c r="E100" s="2" t="inlineStr">
        <is>
          <t>USD</t>
        </is>
      </c>
      <c r="F100" s="5" t="n">
        <v>1</v>
      </c>
      <c r="G100" s="3" t="n">
        <v>22996.13</v>
      </c>
      <c r="H100" s="3" t="n">
        <v>22996.13</v>
      </c>
      <c r="I100" s="6" t="n">
        <v>45663</v>
      </c>
      <c r="J100" s="2" t="inlineStr">
        <is>
          <t>Odendi</t>
        </is>
      </c>
      <c r="K100" s="2" t="inlineStr">
        <is>
          <t>Ihracat Istisnasi</t>
        </is>
      </c>
      <c r="L100" s="2" t="inlineStr">
        <is>
          <t>301</t>
        </is>
      </c>
    </row>
    <row r="101">
      <c r="A101" s="2" t="inlineStr">
        <is>
          <t>FTR-0100</t>
        </is>
      </c>
      <c r="B101" s="6" t="n">
        <v>45661</v>
      </c>
      <c r="C101" s="2" t="inlineStr">
        <is>
          <t>SIP-0080</t>
        </is>
      </c>
      <c r="D101" s="2" t="inlineStr">
        <is>
          <t>MUS-067</t>
        </is>
      </c>
      <c r="E101" s="2" t="inlineStr">
        <is>
          <t>USD</t>
        </is>
      </c>
      <c r="F101" s="5" t="n">
        <v>1</v>
      </c>
      <c r="G101" s="3" t="n">
        <v>100418.48</v>
      </c>
      <c r="H101" s="3" t="n">
        <v>100418.48</v>
      </c>
      <c r="I101" s="6" t="n">
        <v>45691</v>
      </c>
      <c r="J101" s="2" t="inlineStr">
        <is>
          <t>Gecikmeli Odendi</t>
        </is>
      </c>
      <c r="K101" s="2" t="inlineStr">
        <is>
          <t>Ihracat Istisnasi</t>
        </is>
      </c>
      <c r="L101" s="2" t="inlineStr">
        <is>
          <t>301</t>
        </is>
      </c>
    </row>
    <row r="102">
      <c r="A102" s="2" t="inlineStr">
        <is>
          <t>FTR-0101</t>
        </is>
      </c>
      <c r="B102" s="6" t="n">
        <v>45646</v>
      </c>
      <c r="C102" s="2" t="inlineStr">
        <is>
          <t>SIP-0081</t>
        </is>
      </c>
      <c r="D102" s="2" t="inlineStr">
        <is>
          <t>MUS-069</t>
        </is>
      </c>
      <c r="E102" s="2" t="inlineStr">
        <is>
          <t>EUR</t>
        </is>
      </c>
      <c r="F102" s="5" t="n">
        <v>1.1016</v>
      </c>
      <c r="G102" s="3" t="n">
        <v>41460.9</v>
      </c>
      <c r="H102" s="3" t="n">
        <v>45673.33</v>
      </c>
      <c r="I102" s="6" t="n">
        <v>45676</v>
      </c>
      <c r="J102" s="2" t="inlineStr">
        <is>
          <t>Acik</t>
        </is>
      </c>
      <c r="K102" s="2" t="inlineStr">
        <is>
          <t>Ihracat Istisnasi</t>
        </is>
      </c>
      <c r="L102" s="2" t="inlineStr">
        <is>
          <t>301</t>
        </is>
      </c>
    </row>
    <row r="103">
      <c r="A103" s="2" t="inlineStr">
        <is>
          <t>FTR-0102</t>
        </is>
      </c>
      <c r="B103" s="6" t="n">
        <v>45651</v>
      </c>
      <c r="C103" s="2" t="inlineStr">
        <is>
          <t>SIP-0082</t>
        </is>
      </c>
      <c r="D103" s="2" t="inlineStr">
        <is>
          <t>MUS-082</t>
        </is>
      </c>
      <c r="E103" s="2" t="inlineStr">
        <is>
          <t>EUR</t>
        </is>
      </c>
      <c r="F103" s="5" t="n">
        <v>1.1016</v>
      </c>
      <c r="G103" s="3" t="n">
        <v>8823.620000000001</v>
      </c>
      <c r="H103" s="3" t="n">
        <v>9720.1</v>
      </c>
      <c r="I103" s="6" t="n">
        <v>45696</v>
      </c>
      <c r="J103" s="2" t="inlineStr">
        <is>
          <t>Odendi</t>
        </is>
      </c>
      <c r="K103" s="2" t="inlineStr">
        <is>
          <t>Ihracat Istisnasi</t>
        </is>
      </c>
      <c r="L103" s="2" t="inlineStr">
        <is>
          <t>301</t>
        </is>
      </c>
    </row>
    <row r="104">
      <c r="A104" s="2" t="inlineStr">
        <is>
          <t>FTR-0103</t>
        </is>
      </c>
      <c r="B104" s="6" t="n">
        <v>45652</v>
      </c>
      <c r="C104" s="2" t="inlineStr">
        <is>
          <t>SIP-0082</t>
        </is>
      </c>
      <c r="D104" s="2" t="inlineStr">
        <is>
          <t>MUS-082</t>
        </is>
      </c>
      <c r="E104" s="2" t="inlineStr">
        <is>
          <t>EUR</t>
        </is>
      </c>
      <c r="F104" s="5" t="n">
        <v>1.1016</v>
      </c>
      <c r="G104" s="3" t="n">
        <v>8880.110000000001</v>
      </c>
      <c r="H104" s="3" t="n">
        <v>9782.33</v>
      </c>
      <c r="I104" s="6" t="n">
        <v>45697</v>
      </c>
      <c r="J104" s="2" t="inlineStr">
        <is>
          <t>Gecikmeli Odendi</t>
        </is>
      </c>
      <c r="K104" s="2" t="inlineStr">
        <is>
          <t>Ihracat Istisnasi</t>
        </is>
      </c>
      <c r="L104" s="2" t="inlineStr">
        <is>
          <t>301</t>
        </is>
      </c>
    </row>
    <row r="105">
      <c r="A105" s="2" t="inlineStr">
        <is>
          <t>FTR-0104</t>
        </is>
      </c>
      <c r="B105" s="6" t="n">
        <v>45646</v>
      </c>
      <c r="C105" s="2" t="inlineStr">
        <is>
          <t>SIP-0083</t>
        </is>
      </c>
      <c r="D105" s="2" t="inlineStr">
        <is>
          <t>MUS-022</t>
        </is>
      </c>
      <c r="E105" s="2" t="inlineStr">
        <is>
          <t>EUR</t>
        </is>
      </c>
      <c r="F105" s="5" t="n">
        <v>1.1016</v>
      </c>
      <c r="G105" s="3" t="n">
        <v>25641.3</v>
      </c>
      <c r="H105" s="3" t="n">
        <v>28246.46</v>
      </c>
      <c r="I105" s="6" t="n">
        <v>45736</v>
      </c>
      <c r="J105" s="2" t="inlineStr">
        <is>
          <t>Gecikmeli Odendi</t>
        </is>
      </c>
      <c r="K105" s="2" t="inlineStr">
        <is>
          <t>Ihracat Istisnasi</t>
        </is>
      </c>
      <c r="L105" s="2" t="inlineStr">
        <is>
          <t>301</t>
        </is>
      </c>
    </row>
    <row r="106">
      <c r="A106" s="2" t="inlineStr">
        <is>
          <t>FTR-0105</t>
        </is>
      </c>
      <c r="B106" s="6" t="n">
        <v>45613</v>
      </c>
      <c r="C106" s="2" t="inlineStr">
        <is>
          <t>SIP-0084</t>
        </is>
      </c>
      <c r="D106" s="2" t="inlineStr">
        <is>
          <t>MUS-068</t>
        </is>
      </c>
      <c r="E106" s="2" t="inlineStr">
        <is>
          <t>EUR</t>
        </is>
      </c>
      <c r="F106" s="5" t="n">
        <v>1.1016</v>
      </c>
      <c r="G106" s="3" t="n">
        <v>21334.85</v>
      </c>
      <c r="H106" s="3" t="n">
        <v>23502.47</v>
      </c>
      <c r="I106" s="6" t="n">
        <v>45628</v>
      </c>
      <c r="J106" s="2" t="inlineStr">
        <is>
          <t>Odendi</t>
        </is>
      </c>
      <c r="K106" s="2" t="inlineStr">
        <is>
          <t>Ihracat Istisnasi</t>
        </is>
      </c>
      <c r="L106" s="2" t="inlineStr">
        <is>
          <t>301</t>
        </is>
      </c>
    </row>
    <row r="107">
      <c r="A107" s="2" t="inlineStr">
        <is>
          <t>FTR-0106</t>
        </is>
      </c>
      <c r="B107" s="6" t="n">
        <v>45628</v>
      </c>
      <c r="C107" s="2" t="inlineStr">
        <is>
          <t>SIP-0085</t>
        </is>
      </c>
      <c r="D107" s="2" t="inlineStr">
        <is>
          <t>MUS-025</t>
        </is>
      </c>
      <c r="E107" s="2" t="inlineStr">
        <is>
          <t>EUR</t>
        </is>
      </c>
      <c r="F107" s="5" t="n">
        <v>1.1016</v>
      </c>
      <c r="G107" s="3" t="n">
        <v>33780.03</v>
      </c>
      <c r="H107" s="3" t="n">
        <v>37212.08</v>
      </c>
      <c r="I107" s="6" t="n">
        <v>45673</v>
      </c>
      <c r="J107" s="2" t="inlineStr">
        <is>
          <t>Acik</t>
        </is>
      </c>
      <c r="K107" s="2" t="inlineStr">
        <is>
          <t>Ihracat Istisnasi</t>
        </is>
      </c>
      <c r="L107" s="2" t="inlineStr">
        <is>
          <t>301</t>
        </is>
      </c>
    </row>
    <row r="108">
      <c r="A108" s="2" t="inlineStr">
        <is>
          <t>FTR-0107</t>
        </is>
      </c>
      <c r="B108" s="6" t="n">
        <v>45639</v>
      </c>
      <c r="C108" s="2" t="inlineStr">
        <is>
          <t>SIP-0086</t>
        </is>
      </c>
      <c r="D108" s="2" t="inlineStr">
        <is>
          <t>MUS-009</t>
        </is>
      </c>
      <c r="E108" s="2" t="inlineStr">
        <is>
          <t>EUR</t>
        </is>
      </c>
      <c r="F108" s="5" t="n">
        <v>1.1016</v>
      </c>
      <c r="G108" s="3" t="n">
        <v>64070.03</v>
      </c>
      <c r="H108" s="3" t="n">
        <v>70579.55</v>
      </c>
      <c r="I108" s="6" t="n">
        <v>45669</v>
      </c>
      <c r="J108" s="2" t="inlineStr">
        <is>
          <t>Gecikmeli Odendi</t>
        </is>
      </c>
      <c r="K108" s="2" t="inlineStr">
        <is>
          <t>Ihracat Istisnasi</t>
        </is>
      </c>
      <c r="L108" s="2" t="inlineStr">
        <is>
          <t>301</t>
        </is>
      </c>
    </row>
    <row r="109">
      <c r="A109" s="2" t="inlineStr">
        <is>
          <t>FTR-0108</t>
        </is>
      </c>
      <c r="B109" s="6" t="n">
        <v>45668</v>
      </c>
      <c r="C109" s="2" t="inlineStr">
        <is>
          <t>SIP-0087</t>
        </is>
      </c>
      <c r="D109" s="2" t="inlineStr">
        <is>
          <t>MUS-035</t>
        </is>
      </c>
      <c r="E109" s="2" t="inlineStr">
        <is>
          <t>EUR</t>
        </is>
      </c>
      <c r="F109" s="5" t="n">
        <v>1.1016</v>
      </c>
      <c r="G109" s="3" t="n">
        <v>31594.35</v>
      </c>
      <c r="H109" s="3" t="n">
        <v>34804.34</v>
      </c>
      <c r="I109" s="6" t="n">
        <v>45713</v>
      </c>
      <c r="J109" s="2" t="inlineStr">
        <is>
          <t>Gecikmeli Odendi</t>
        </is>
      </c>
      <c r="K109" s="2" t="inlineStr">
        <is>
          <t>Ihracat Istisnasi</t>
        </is>
      </c>
      <c r="L109" s="2" t="inlineStr">
        <is>
          <t>301</t>
        </is>
      </c>
    </row>
    <row r="110">
      <c r="A110" s="2" t="inlineStr">
        <is>
          <t>FTR-0109</t>
        </is>
      </c>
      <c r="B110" s="6" t="n">
        <v>45654</v>
      </c>
      <c r="C110" s="2" t="inlineStr">
        <is>
          <t>SIP-0088</t>
        </is>
      </c>
      <c r="D110" s="2" t="inlineStr">
        <is>
          <t>MUS-067</t>
        </is>
      </c>
      <c r="E110" s="2" t="inlineStr">
        <is>
          <t>USD</t>
        </is>
      </c>
      <c r="F110" s="5" t="n">
        <v>1</v>
      </c>
      <c r="G110" s="3" t="n">
        <v>11334.14</v>
      </c>
      <c r="H110" s="3" t="n">
        <v>11334.14</v>
      </c>
      <c r="I110" s="6" t="n">
        <v>45684</v>
      </c>
      <c r="J110" s="2" t="inlineStr">
        <is>
          <t>Odendi</t>
        </is>
      </c>
      <c r="K110" s="2" t="inlineStr">
        <is>
          <t>Ihracat Istisnasi</t>
        </is>
      </c>
      <c r="L110" s="2" t="inlineStr">
        <is>
          <t>301</t>
        </is>
      </c>
    </row>
    <row r="111">
      <c r="A111" s="2" t="inlineStr">
        <is>
          <t>FTR-0110</t>
        </is>
      </c>
      <c r="B111" s="6" t="n">
        <v>45659</v>
      </c>
      <c r="C111" s="2" t="inlineStr">
        <is>
          <t>SIP-0089</t>
        </is>
      </c>
      <c r="D111" s="2" t="inlineStr">
        <is>
          <t>MUS-018</t>
        </is>
      </c>
      <c r="E111" s="2" t="inlineStr">
        <is>
          <t>USD</t>
        </is>
      </c>
      <c r="F111" s="5" t="n">
        <v>1</v>
      </c>
      <c r="G111" s="3" t="n">
        <v>14745.94</v>
      </c>
      <c r="H111" s="3" t="n">
        <v>14745.94</v>
      </c>
      <c r="I111" s="6" t="n">
        <v>45719</v>
      </c>
      <c r="J111" s="2" t="inlineStr">
        <is>
          <t>Odendi</t>
        </is>
      </c>
      <c r="K111" s="2" t="inlineStr">
        <is>
          <t>Ihracat Istisnasi</t>
        </is>
      </c>
      <c r="L111" s="2" t="inlineStr">
        <is>
          <t>301</t>
        </is>
      </c>
    </row>
    <row r="112">
      <c r="A112" s="2" t="inlineStr">
        <is>
          <t>FTR-0111</t>
        </is>
      </c>
      <c r="B112" s="6" t="n">
        <v>45692</v>
      </c>
      <c r="C112" s="2" t="inlineStr">
        <is>
          <t>SIP-0090</t>
        </is>
      </c>
      <c r="D112" s="2" t="inlineStr">
        <is>
          <t>MUS-024</t>
        </is>
      </c>
      <c r="E112" s="2" t="inlineStr">
        <is>
          <t>USD</t>
        </is>
      </c>
      <c r="F112" s="5" t="n">
        <v>1</v>
      </c>
      <c r="G112" s="3" t="n">
        <v>21602.01</v>
      </c>
      <c r="H112" s="3" t="n">
        <v>21602.01</v>
      </c>
      <c r="I112" s="6" t="n">
        <v>45722</v>
      </c>
      <c r="J112" s="2" t="inlineStr">
        <is>
          <t>Gecikmeli Odendi</t>
        </is>
      </c>
      <c r="K112" s="2" t="inlineStr">
        <is>
          <t>Ihracat Istisnasi</t>
        </is>
      </c>
      <c r="L112" s="2" t="inlineStr">
        <is>
          <t>301</t>
        </is>
      </c>
    </row>
    <row r="113">
      <c r="A113" s="2" t="inlineStr">
        <is>
          <t>FTR-0112</t>
        </is>
      </c>
      <c r="B113" s="6" t="n">
        <v>45693</v>
      </c>
      <c r="C113" s="2" t="inlineStr">
        <is>
          <t>SIP-0090</t>
        </is>
      </c>
      <c r="D113" s="2" t="inlineStr">
        <is>
          <t>MUS-024</t>
        </is>
      </c>
      <c r="E113" s="2" t="inlineStr">
        <is>
          <t>USD</t>
        </is>
      </c>
      <c r="F113" s="5" t="n">
        <v>1</v>
      </c>
      <c r="G113" s="3" t="n">
        <v>16198.64</v>
      </c>
      <c r="H113" s="3" t="n">
        <v>16198.64</v>
      </c>
      <c r="I113" s="6" t="n">
        <v>45723</v>
      </c>
      <c r="J113" s="2" t="inlineStr">
        <is>
          <t>Odendi</t>
        </is>
      </c>
      <c r="K113" s="2" t="inlineStr">
        <is>
          <t>Ihracat Istisnasi</t>
        </is>
      </c>
      <c r="L113" s="2" t="inlineStr">
        <is>
          <t>301</t>
        </is>
      </c>
    </row>
    <row r="114">
      <c r="A114" s="2" t="inlineStr">
        <is>
          <t>FTR-0113</t>
        </is>
      </c>
      <c r="B114" s="6" t="n">
        <v>45663</v>
      </c>
      <c r="C114" s="2" t="inlineStr">
        <is>
          <t>SIP-0091</t>
        </is>
      </c>
      <c r="D114" s="2" t="inlineStr">
        <is>
          <t>MUS-040</t>
        </is>
      </c>
      <c r="E114" s="2" t="inlineStr">
        <is>
          <t>USD</t>
        </is>
      </c>
      <c r="F114" s="5" t="n">
        <v>1</v>
      </c>
      <c r="G114" s="3" t="n">
        <v>13610.99</v>
      </c>
      <c r="H114" s="3" t="n">
        <v>13610.99</v>
      </c>
      <c r="I114" s="6" t="n">
        <v>45708</v>
      </c>
      <c r="J114" s="2" t="inlineStr">
        <is>
          <t>Odendi</t>
        </is>
      </c>
      <c r="K114" s="2" t="inlineStr">
        <is>
          <t>Ihracat Istisnasi</t>
        </is>
      </c>
      <c r="L114" s="2" t="inlineStr">
        <is>
          <t>301</t>
        </is>
      </c>
    </row>
    <row r="115">
      <c r="A115" s="2" t="inlineStr">
        <is>
          <t>FTR-0114</t>
        </is>
      </c>
      <c r="B115" s="6" t="n">
        <v>45680</v>
      </c>
      <c r="C115" s="2" t="inlineStr">
        <is>
          <t>SIP-0092</t>
        </is>
      </c>
      <c r="D115" s="2" t="inlineStr">
        <is>
          <t>MUS-029</t>
        </is>
      </c>
      <c r="E115" s="2" t="inlineStr">
        <is>
          <t>USD</t>
        </is>
      </c>
      <c r="F115" s="5" t="n">
        <v>1</v>
      </c>
      <c r="G115" s="3" t="n">
        <v>10948.49</v>
      </c>
      <c r="H115" s="3" t="n">
        <v>10948.49</v>
      </c>
      <c r="I115" s="6" t="n">
        <v>45695</v>
      </c>
      <c r="J115" s="2" t="inlineStr">
        <is>
          <t>Gecikmeli Odendi</t>
        </is>
      </c>
      <c r="K115" s="2" t="inlineStr">
        <is>
          <t>Ihracat Istisnasi</t>
        </is>
      </c>
      <c r="L115" s="2" t="inlineStr">
        <is>
          <t>301</t>
        </is>
      </c>
    </row>
    <row r="116">
      <c r="A116" s="2" t="inlineStr">
        <is>
          <t>FTR-0115</t>
        </is>
      </c>
      <c r="B116" s="6" t="n">
        <v>45674</v>
      </c>
      <c r="C116" s="2" t="inlineStr">
        <is>
          <t>SIP-0093</t>
        </is>
      </c>
      <c r="D116" s="2" t="inlineStr">
        <is>
          <t>MUS-074</t>
        </is>
      </c>
      <c r="E116" s="2" t="inlineStr">
        <is>
          <t>USD</t>
        </is>
      </c>
      <c r="F116" s="5" t="n">
        <v>1</v>
      </c>
      <c r="G116" s="3" t="n">
        <v>32270.78</v>
      </c>
      <c r="H116" s="3" t="n">
        <v>32270.78</v>
      </c>
      <c r="I116" s="6" t="n">
        <v>45719</v>
      </c>
      <c r="J116" s="2" t="inlineStr">
        <is>
          <t>Gecikmeli Odendi</t>
        </is>
      </c>
      <c r="K116" s="2" t="inlineStr">
        <is>
          <t>Ihracat Istisnasi</t>
        </is>
      </c>
      <c r="L116" s="2" t="inlineStr">
        <is>
          <t>301</t>
        </is>
      </c>
    </row>
    <row r="117">
      <c r="A117" s="2" t="inlineStr">
        <is>
          <t>FTR-0116</t>
        </is>
      </c>
      <c r="B117" s="6" t="n">
        <v>45678</v>
      </c>
      <c r="C117" s="2" t="inlineStr">
        <is>
          <t>SIP-0094</t>
        </is>
      </c>
      <c r="D117" s="2" t="inlineStr">
        <is>
          <t>MUS-062</t>
        </is>
      </c>
      <c r="E117" s="2" t="inlineStr">
        <is>
          <t>USD</t>
        </is>
      </c>
      <c r="F117" s="5" t="n">
        <v>1</v>
      </c>
      <c r="G117" s="3" t="n">
        <v>49378.54</v>
      </c>
      <c r="H117" s="3" t="n">
        <v>49378.54</v>
      </c>
      <c r="I117" s="6" t="n">
        <v>45723</v>
      </c>
      <c r="J117" s="2" t="inlineStr">
        <is>
          <t>Gecikmeli Odendi</t>
        </is>
      </c>
      <c r="K117" s="2" t="inlineStr">
        <is>
          <t>Ihracat Istisnasi</t>
        </is>
      </c>
      <c r="L117" s="2" t="inlineStr">
        <is>
          <t>301</t>
        </is>
      </c>
    </row>
    <row r="118">
      <c r="A118" s="2" t="inlineStr">
        <is>
          <t>FTR-0117</t>
        </is>
      </c>
      <c r="B118" s="6" t="n">
        <v>45654</v>
      </c>
      <c r="C118" s="2" t="inlineStr">
        <is>
          <t>SIP-0095</t>
        </is>
      </c>
      <c r="D118" s="2" t="inlineStr">
        <is>
          <t>MUS-076</t>
        </is>
      </c>
      <c r="E118" s="2" t="inlineStr">
        <is>
          <t>EUR</t>
        </is>
      </c>
      <c r="F118" s="5" t="n">
        <v>1.1037</v>
      </c>
      <c r="G118" s="3" t="n">
        <v>20731.81</v>
      </c>
      <c r="H118" s="3" t="n">
        <v>22881.7</v>
      </c>
      <c r="I118" s="6" t="n">
        <v>45669</v>
      </c>
      <c r="J118" s="2" t="inlineStr">
        <is>
          <t>Gecikmeli Odendi</t>
        </is>
      </c>
      <c r="K118" s="2" t="inlineStr">
        <is>
          <t>Ihracat Istisnasi</t>
        </is>
      </c>
      <c r="L118" s="2" t="inlineStr">
        <is>
          <t>301</t>
        </is>
      </c>
    </row>
    <row r="119">
      <c r="A119" s="2" t="inlineStr">
        <is>
          <t>FTR-0118</t>
        </is>
      </c>
      <c r="B119" s="6" t="n">
        <v>45655</v>
      </c>
      <c r="C119" s="2" t="inlineStr">
        <is>
          <t>SIP-0095</t>
        </is>
      </c>
      <c r="D119" s="2" t="inlineStr">
        <is>
          <t>MUS-076</t>
        </is>
      </c>
      <c r="E119" s="2" t="inlineStr">
        <is>
          <t>EUR</t>
        </is>
      </c>
      <c r="F119" s="5" t="n">
        <v>1.1037</v>
      </c>
      <c r="G119" s="3" t="n">
        <v>20890.35</v>
      </c>
      <c r="H119" s="3" t="n">
        <v>23056.68</v>
      </c>
      <c r="I119" s="6" t="n">
        <v>45670</v>
      </c>
      <c r="J119" s="2" t="inlineStr">
        <is>
          <t>Odendi</t>
        </is>
      </c>
      <c r="K119" s="2" t="inlineStr">
        <is>
          <t>Ihracat Istisnasi</t>
        </is>
      </c>
      <c r="L119" s="2" t="inlineStr">
        <is>
          <t>301</t>
        </is>
      </c>
    </row>
    <row r="120">
      <c r="A120" s="2" t="inlineStr">
        <is>
          <t>FTR-0119</t>
        </is>
      </c>
      <c r="B120" s="6" t="n">
        <v>45667</v>
      </c>
      <c r="C120" s="2" t="inlineStr">
        <is>
          <t>SIP-0096</t>
        </is>
      </c>
      <c r="D120" s="2" t="inlineStr">
        <is>
          <t>MUS-021</t>
        </is>
      </c>
      <c r="E120" s="2" t="inlineStr">
        <is>
          <t>EUR</t>
        </is>
      </c>
      <c r="F120" s="5" t="n">
        <v>1.1037</v>
      </c>
      <c r="G120" s="3" t="n">
        <v>65920.82000000001</v>
      </c>
      <c r="H120" s="3" t="n">
        <v>72756.81</v>
      </c>
      <c r="I120" s="6" t="n">
        <v>45727</v>
      </c>
      <c r="J120" s="2" t="inlineStr">
        <is>
          <t>Gecikmeli Odendi</t>
        </is>
      </c>
      <c r="K120" s="2" t="inlineStr">
        <is>
          <t>Ihracat Istisnasi</t>
        </is>
      </c>
      <c r="L120" s="2" t="inlineStr">
        <is>
          <t>301</t>
        </is>
      </c>
    </row>
    <row r="121">
      <c r="A121" s="2" t="inlineStr">
        <is>
          <t>FTR-0120</t>
        </is>
      </c>
      <c r="B121" s="6" t="n">
        <v>45663</v>
      </c>
      <c r="C121" s="2" t="inlineStr">
        <is>
          <t>SIP-0097</t>
        </is>
      </c>
      <c r="D121" s="2" t="inlineStr">
        <is>
          <t>MUS-025</t>
        </is>
      </c>
      <c r="E121" s="2" t="inlineStr">
        <is>
          <t>EUR</t>
        </is>
      </c>
      <c r="F121" s="5" t="n">
        <v>1.1037</v>
      </c>
      <c r="G121" s="3" t="n">
        <v>5832.36</v>
      </c>
      <c r="H121" s="3" t="n">
        <v>6437.18</v>
      </c>
      <c r="I121" s="6" t="n">
        <v>45708</v>
      </c>
      <c r="J121" s="2" t="inlineStr">
        <is>
          <t>Acik</t>
        </is>
      </c>
      <c r="K121" s="2" t="inlineStr">
        <is>
          <t>Ihracat Istisnasi</t>
        </is>
      </c>
      <c r="L121" s="2" t="inlineStr">
        <is>
          <t>301</t>
        </is>
      </c>
    </row>
    <row r="122">
      <c r="A122" s="2" t="inlineStr">
        <is>
          <t>FTR-0121</t>
        </is>
      </c>
      <c r="B122" s="6" t="n">
        <v>45683</v>
      </c>
      <c r="C122" s="2" t="inlineStr">
        <is>
          <t>SIP-0098</t>
        </is>
      </c>
      <c r="D122" s="2" t="inlineStr">
        <is>
          <t>MUS-047</t>
        </is>
      </c>
      <c r="E122" s="2" t="inlineStr">
        <is>
          <t>USD</t>
        </is>
      </c>
      <c r="F122" s="5" t="n">
        <v>1</v>
      </c>
      <c r="G122" s="3" t="n">
        <v>14073.45</v>
      </c>
      <c r="H122" s="3" t="n">
        <v>14073.45</v>
      </c>
      <c r="I122" s="6" t="n">
        <v>45743</v>
      </c>
      <c r="J122" s="2" t="inlineStr">
        <is>
          <t>Odendi</t>
        </is>
      </c>
      <c r="K122" s="2" t="inlineStr">
        <is>
          <t>Ihracat Istisnasi</t>
        </is>
      </c>
      <c r="L122" s="2" t="inlineStr">
        <is>
          <t>301</t>
        </is>
      </c>
    </row>
    <row r="123">
      <c r="A123" s="2" t="inlineStr">
        <is>
          <t>FTR-0122</t>
        </is>
      </c>
      <c r="B123" s="6" t="n">
        <v>45684</v>
      </c>
      <c r="C123" s="2" t="inlineStr">
        <is>
          <t>SIP-0098</t>
        </is>
      </c>
      <c r="D123" s="2" t="inlineStr">
        <is>
          <t>MUS-047</t>
        </is>
      </c>
      <c r="E123" s="2" t="inlineStr">
        <is>
          <t>USD</t>
        </is>
      </c>
      <c r="F123" s="5" t="n">
        <v>1</v>
      </c>
      <c r="G123" s="3" t="n">
        <v>17430.75</v>
      </c>
      <c r="H123" s="3" t="n">
        <v>17430.75</v>
      </c>
      <c r="I123" s="6" t="n">
        <v>45744</v>
      </c>
      <c r="J123" s="2" t="inlineStr">
        <is>
          <t>Odendi</t>
        </is>
      </c>
      <c r="K123" s="2" t="inlineStr">
        <is>
          <t>Ihracat Istisnasi</t>
        </is>
      </c>
      <c r="L123" s="2" t="inlineStr">
        <is>
          <t>301</t>
        </is>
      </c>
    </row>
    <row r="124">
      <c r="A124" s="2" t="inlineStr">
        <is>
          <t>FTR-0123</t>
        </is>
      </c>
      <c r="B124" s="6" t="n">
        <v>45680</v>
      </c>
      <c r="C124" s="2" t="inlineStr">
        <is>
          <t>SIP-0099</t>
        </is>
      </c>
      <c r="D124" s="2" t="inlineStr">
        <is>
          <t>MUS-079</t>
        </is>
      </c>
      <c r="E124" s="2" t="inlineStr">
        <is>
          <t>USD</t>
        </is>
      </c>
      <c r="F124" s="5" t="n">
        <v>1</v>
      </c>
      <c r="G124" s="3" t="n">
        <v>55333.51</v>
      </c>
      <c r="H124" s="3" t="n">
        <v>55333.51</v>
      </c>
      <c r="I124" s="6" t="n">
        <v>45725</v>
      </c>
      <c r="J124" s="2" t="inlineStr">
        <is>
          <t>Odendi</t>
        </is>
      </c>
      <c r="K124" s="2" t="inlineStr">
        <is>
          <t>Ihracat Istisnasi</t>
        </is>
      </c>
      <c r="L124" s="2" t="inlineStr">
        <is>
          <t>301</t>
        </is>
      </c>
    </row>
    <row r="125">
      <c r="A125" s="2" t="inlineStr">
        <is>
          <t>FTR-0124</t>
        </is>
      </c>
      <c r="B125" s="6" t="n">
        <v>45744</v>
      </c>
      <c r="C125" s="2" t="inlineStr">
        <is>
          <t>SIP-0100</t>
        </is>
      </c>
      <c r="D125" s="2" t="inlineStr">
        <is>
          <t>MUS-058</t>
        </is>
      </c>
      <c r="E125" s="2" t="inlineStr">
        <is>
          <t>EUR</t>
        </is>
      </c>
      <c r="F125" s="5" t="n">
        <v>1.1172</v>
      </c>
      <c r="G125" s="3" t="n">
        <v>30990.13</v>
      </c>
      <c r="H125" s="3" t="n">
        <v>34622.17</v>
      </c>
      <c r="I125" s="6" t="n">
        <v>45774</v>
      </c>
      <c r="J125" s="2" t="inlineStr">
        <is>
          <t>Gecikmeli Odendi</t>
        </is>
      </c>
      <c r="K125" s="2" t="inlineStr">
        <is>
          <t>Ihracat Istisnasi</t>
        </is>
      </c>
      <c r="L125" s="2" t="inlineStr">
        <is>
          <t>301</t>
        </is>
      </c>
    </row>
    <row r="126">
      <c r="A126" s="2" t="inlineStr">
        <is>
          <t>FTR-0125</t>
        </is>
      </c>
      <c r="B126" s="6" t="n">
        <v>45745</v>
      </c>
      <c r="C126" s="2" t="inlineStr">
        <is>
          <t>SIP-0100</t>
        </is>
      </c>
      <c r="D126" s="2" t="inlineStr">
        <is>
          <t>MUS-058</t>
        </is>
      </c>
      <c r="E126" s="2" t="inlineStr">
        <is>
          <t>EUR</t>
        </is>
      </c>
      <c r="F126" s="5" t="n">
        <v>1.1172</v>
      </c>
      <c r="G126" s="3" t="n">
        <v>32954.92</v>
      </c>
      <c r="H126" s="3" t="n">
        <v>36817.24</v>
      </c>
      <c r="I126" s="6" t="n">
        <v>45775</v>
      </c>
      <c r="J126" s="2" t="inlineStr">
        <is>
          <t>Odendi</t>
        </is>
      </c>
      <c r="K126" s="2" t="inlineStr">
        <is>
          <t>Ihracat Istisnasi</t>
        </is>
      </c>
      <c r="L126" s="2" t="inlineStr">
        <is>
          <t>301</t>
        </is>
      </c>
    </row>
    <row r="127">
      <c r="A127" s="2" t="inlineStr">
        <is>
          <t>FTR-0126</t>
        </is>
      </c>
      <c r="B127" s="6" t="n">
        <v>45699</v>
      </c>
      <c r="C127" s="2" t="inlineStr">
        <is>
          <t>SIP-0101</t>
        </is>
      </c>
      <c r="D127" s="2" t="inlineStr">
        <is>
          <t>MUS-010</t>
        </is>
      </c>
      <c r="E127" s="2" t="inlineStr">
        <is>
          <t>USD</t>
        </is>
      </c>
      <c r="F127" s="5" t="n">
        <v>1</v>
      </c>
      <c r="G127" s="3" t="n">
        <v>12646.57</v>
      </c>
      <c r="H127" s="3" t="n">
        <v>12646.57</v>
      </c>
      <c r="I127" s="6" t="n">
        <v>45714</v>
      </c>
      <c r="J127" s="2" t="inlineStr">
        <is>
          <t>Odendi</t>
        </is>
      </c>
      <c r="K127" s="2" t="inlineStr">
        <is>
          <t>Ihracat Istisnasi</t>
        </is>
      </c>
      <c r="L127" s="2" t="inlineStr">
        <is>
          <t>301</t>
        </is>
      </c>
    </row>
    <row r="128">
      <c r="A128" s="2" t="inlineStr">
        <is>
          <t>FTR-0127</t>
        </is>
      </c>
      <c r="B128" s="6" t="n">
        <v>45692</v>
      </c>
      <c r="C128" s="2" t="inlineStr">
        <is>
          <t>SIP-0102</t>
        </is>
      </c>
      <c r="D128" s="2" t="inlineStr">
        <is>
          <t>MUS-020</t>
        </is>
      </c>
      <c r="E128" s="2" t="inlineStr">
        <is>
          <t>USD</t>
        </is>
      </c>
      <c r="F128" s="5" t="n">
        <v>1</v>
      </c>
      <c r="G128" s="3" t="n">
        <v>35512.56</v>
      </c>
      <c r="H128" s="3" t="n">
        <v>35512.56</v>
      </c>
      <c r="I128" s="6" t="n">
        <v>45722</v>
      </c>
      <c r="J128" s="2" t="inlineStr">
        <is>
          <t>Odendi</t>
        </is>
      </c>
      <c r="K128" s="2" t="inlineStr">
        <is>
          <t>Ihracat Istisnasi</t>
        </is>
      </c>
      <c r="L128" s="2" t="inlineStr">
        <is>
          <t>301</t>
        </is>
      </c>
    </row>
    <row r="129">
      <c r="A129" s="2" t="inlineStr">
        <is>
          <t>FTR-0128</t>
        </is>
      </c>
      <c r="B129" s="6" t="n">
        <v>45708</v>
      </c>
      <c r="C129" s="2" t="inlineStr">
        <is>
          <t>SIP-0103</t>
        </is>
      </c>
      <c r="D129" s="2" t="inlineStr">
        <is>
          <t>MUS-070</t>
        </is>
      </c>
      <c r="E129" s="2" t="inlineStr">
        <is>
          <t>EUR</t>
        </is>
      </c>
      <c r="F129" s="5" t="n">
        <v>1.1172</v>
      </c>
      <c r="G129" s="3" t="n">
        <v>63970.12</v>
      </c>
      <c r="H129" s="3" t="n">
        <v>71467.42</v>
      </c>
      <c r="I129" s="6" t="n">
        <v>45768</v>
      </c>
      <c r="J129" s="2" t="inlineStr">
        <is>
          <t>Gecikmeli Odendi</t>
        </is>
      </c>
      <c r="K129" s="2" t="inlineStr">
        <is>
          <t>Ihracat Istisnasi</t>
        </is>
      </c>
      <c r="L129" s="2" t="inlineStr">
        <is>
          <t>301</t>
        </is>
      </c>
    </row>
    <row r="130">
      <c r="A130" s="2" t="inlineStr">
        <is>
          <t>FTR-0129</t>
        </is>
      </c>
      <c r="B130" s="6" t="n">
        <v>45676</v>
      </c>
      <c r="C130" s="2" t="inlineStr">
        <is>
          <t>SIP-0104</t>
        </is>
      </c>
      <c r="D130" s="2" t="inlineStr">
        <is>
          <t>MUS-038</t>
        </is>
      </c>
      <c r="E130" s="2" t="inlineStr">
        <is>
          <t>USD</t>
        </is>
      </c>
      <c r="F130" s="5" t="n">
        <v>1</v>
      </c>
      <c r="G130" s="3" t="n">
        <v>18119</v>
      </c>
      <c r="H130" s="3" t="n">
        <v>18119</v>
      </c>
      <c r="I130" s="6" t="n">
        <v>45766</v>
      </c>
      <c r="J130" s="2" t="inlineStr">
        <is>
          <t>Odendi</t>
        </is>
      </c>
      <c r="K130" s="2" t="inlineStr">
        <is>
          <t>Ihracat Istisnasi</t>
        </is>
      </c>
      <c r="L130" s="2" t="inlineStr">
        <is>
          <t>301</t>
        </is>
      </c>
    </row>
    <row r="131">
      <c r="A131" s="2" t="inlineStr">
        <is>
          <t>FTR-0130</t>
        </is>
      </c>
      <c r="B131" s="6" t="n">
        <v>45700</v>
      </c>
      <c r="C131" s="2" t="inlineStr">
        <is>
          <t>SIP-0105</t>
        </is>
      </c>
      <c r="D131" s="2" t="inlineStr">
        <is>
          <t>MUS-033</t>
        </is>
      </c>
      <c r="E131" s="2" t="inlineStr">
        <is>
          <t>USD</t>
        </is>
      </c>
      <c r="F131" s="5" t="n">
        <v>1</v>
      </c>
      <c r="G131" s="3" t="n">
        <v>61499.41</v>
      </c>
      <c r="H131" s="3" t="n">
        <v>61499.41</v>
      </c>
      <c r="I131" s="6" t="n">
        <v>45730</v>
      </c>
      <c r="J131" s="2" t="inlineStr">
        <is>
          <t>Gecikmeli Odendi</t>
        </is>
      </c>
      <c r="K131" s="2" t="inlineStr">
        <is>
          <t>Ihracat Istisnasi</t>
        </is>
      </c>
      <c r="L131" s="2" t="inlineStr">
        <is>
          <t>301</t>
        </is>
      </c>
    </row>
    <row r="132">
      <c r="A132" s="2" t="inlineStr">
        <is>
          <t>FTR-0131</t>
        </is>
      </c>
      <c r="B132" s="6" t="n">
        <v>45702</v>
      </c>
      <c r="C132" s="2" t="inlineStr">
        <is>
          <t>SIP-0106</t>
        </is>
      </c>
      <c r="D132" s="2" t="inlineStr">
        <is>
          <t>MUS-035</t>
        </is>
      </c>
      <c r="E132" s="2" t="inlineStr">
        <is>
          <t>EUR</t>
        </is>
      </c>
      <c r="F132" s="5" t="n">
        <v>1.1172</v>
      </c>
      <c r="G132" s="3" t="n">
        <v>8601.24</v>
      </c>
      <c r="H132" s="3" t="n">
        <v>9609.309999999999</v>
      </c>
      <c r="I132" s="6" t="n">
        <v>45747</v>
      </c>
      <c r="J132" s="2" t="inlineStr">
        <is>
          <t>Odendi</t>
        </is>
      </c>
      <c r="K132" s="2" t="inlineStr">
        <is>
          <t>Ihracat Istisnasi</t>
        </is>
      </c>
      <c r="L132" s="2" t="inlineStr">
        <is>
          <t>301</t>
        </is>
      </c>
    </row>
    <row r="133">
      <c r="A133" s="2" t="inlineStr">
        <is>
          <t>FTR-0132</t>
        </is>
      </c>
      <c r="B133" s="6" t="n">
        <v>45703</v>
      </c>
      <c r="C133" s="2" t="inlineStr">
        <is>
          <t>SIP-0106</t>
        </is>
      </c>
      <c r="D133" s="2" t="inlineStr">
        <is>
          <t>MUS-035</t>
        </is>
      </c>
      <c r="E133" s="2" t="inlineStr">
        <is>
          <t>EUR</t>
        </is>
      </c>
      <c r="F133" s="5" t="n">
        <v>1.1172</v>
      </c>
      <c r="G133" s="3" t="n">
        <v>9945.57</v>
      </c>
      <c r="H133" s="3" t="n">
        <v>11111.19</v>
      </c>
      <c r="I133" s="6" t="n">
        <v>45748</v>
      </c>
      <c r="J133" s="2" t="inlineStr">
        <is>
          <t>Odendi</t>
        </is>
      </c>
      <c r="K133" s="2" t="inlineStr">
        <is>
          <t>Ihracat Istisnasi</t>
        </is>
      </c>
      <c r="L133" s="2" t="inlineStr">
        <is>
          <t>301</t>
        </is>
      </c>
    </row>
    <row r="134">
      <c r="A134" s="2" t="inlineStr">
        <is>
          <t>FTR-0133</t>
        </is>
      </c>
      <c r="B134" s="6" t="n">
        <v>45762</v>
      </c>
      <c r="C134" s="2" t="inlineStr">
        <is>
          <t>SIP-0107</t>
        </is>
      </c>
      <c r="D134" s="2" t="inlineStr">
        <is>
          <t>MUS-033</t>
        </is>
      </c>
      <c r="E134" s="2" t="inlineStr">
        <is>
          <t>USD</t>
        </is>
      </c>
      <c r="F134" s="5" t="n">
        <v>1</v>
      </c>
      <c r="G134" s="3" t="n">
        <v>28165.19</v>
      </c>
      <c r="H134" s="3" t="n">
        <v>28165.19</v>
      </c>
      <c r="I134" s="6" t="n">
        <v>45792</v>
      </c>
      <c r="J134" s="2" t="inlineStr">
        <is>
          <t>Gecikmeli Odendi</t>
        </is>
      </c>
      <c r="K134" s="2" t="inlineStr">
        <is>
          <t>Ihracat Istisnasi</t>
        </is>
      </c>
      <c r="L134" s="2" t="inlineStr">
        <is>
          <t>301</t>
        </is>
      </c>
    </row>
    <row r="135">
      <c r="A135" s="2" t="inlineStr">
        <is>
          <t>FTR-0134</t>
        </is>
      </c>
      <c r="B135" s="6" t="n">
        <v>45763</v>
      </c>
      <c r="C135" s="2" t="inlineStr">
        <is>
          <t>SIP-0107</t>
        </is>
      </c>
      <c r="D135" s="2" t="inlineStr">
        <is>
          <t>MUS-033</t>
        </is>
      </c>
      <c r="E135" s="2" t="inlineStr">
        <is>
          <t>USD</t>
        </is>
      </c>
      <c r="F135" s="5" t="n">
        <v>1</v>
      </c>
      <c r="G135" s="3" t="n">
        <v>21187.35</v>
      </c>
      <c r="H135" s="3" t="n">
        <v>21187.35</v>
      </c>
      <c r="I135" s="6" t="n">
        <v>45793</v>
      </c>
      <c r="J135" s="2" t="inlineStr">
        <is>
          <t>Odendi</t>
        </is>
      </c>
      <c r="K135" s="2" t="inlineStr">
        <is>
          <t>Ihracat Istisnasi</t>
        </is>
      </c>
      <c r="L135" s="2" t="inlineStr">
        <is>
          <t>301</t>
        </is>
      </c>
    </row>
    <row r="136">
      <c r="A136" s="2" t="inlineStr">
        <is>
          <t>FTR-0135</t>
        </is>
      </c>
      <c r="B136" s="6" t="n">
        <v>45698</v>
      </c>
      <c r="C136" s="2" t="inlineStr">
        <is>
          <t>SIP-0108</t>
        </is>
      </c>
      <c r="D136" s="2" t="inlineStr">
        <is>
          <t>MUS-029</t>
        </is>
      </c>
      <c r="E136" s="2" t="inlineStr">
        <is>
          <t>USD</t>
        </is>
      </c>
      <c r="F136" s="5" t="n">
        <v>1</v>
      </c>
      <c r="G136" s="3" t="n">
        <v>80050.07000000001</v>
      </c>
      <c r="H136" s="3" t="n">
        <v>80050.07000000001</v>
      </c>
      <c r="I136" s="6" t="n">
        <v>45713</v>
      </c>
      <c r="J136" s="2" t="inlineStr">
        <is>
          <t>Odendi</t>
        </is>
      </c>
      <c r="K136" s="2" t="inlineStr">
        <is>
          <t>Ihracat Istisnasi</t>
        </is>
      </c>
      <c r="L136" s="2" t="inlineStr">
        <is>
          <t>301</t>
        </is>
      </c>
    </row>
    <row r="137">
      <c r="A137" s="2" t="inlineStr">
        <is>
          <t>FTR-0136</t>
        </is>
      </c>
      <c r="B137" s="6" t="n">
        <v>45709</v>
      </c>
      <c r="C137" s="2" t="inlineStr">
        <is>
          <t>SIP-0109</t>
        </is>
      </c>
      <c r="D137" s="2" t="inlineStr">
        <is>
          <t>MUS-064</t>
        </is>
      </c>
      <c r="E137" s="2" t="inlineStr">
        <is>
          <t>EUR</t>
        </is>
      </c>
      <c r="F137" s="5" t="n">
        <v>1.1172</v>
      </c>
      <c r="G137" s="3" t="n">
        <v>29208.81</v>
      </c>
      <c r="H137" s="3" t="n">
        <v>32632.08</v>
      </c>
      <c r="I137" s="6" t="n">
        <v>45754</v>
      </c>
      <c r="J137" s="2" t="inlineStr">
        <is>
          <t>Odendi</t>
        </is>
      </c>
      <c r="K137" s="2" t="inlineStr">
        <is>
          <t>Ihracat Istisnasi</t>
        </is>
      </c>
      <c r="L137" s="2" t="inlineStr">
        <is>
          <t>301</t>
        </is>
      </c>
    </row>
    <row r="138">
      <c r="A138" s="2" t="inlineStr">
        <is>
          <t>FTR-0137</t>
        </is>
      </c>
      <c r="B138" s="6" t="n">
        <v>45709</v>
      </c>
      <c r="C138" s="2" t="inlineStr">
        <is>
          <t>SIP-0110</t>
        </is>
      </c>
      <c r="D138" s="2" t="inlineStr">
        <is>
          <t>MUS-054</t>
        </is>
      </c>
      <c r="E138" s="2" t="inlineStr">
        <is>
          <t>USD</t>
        </is>
      </c>
      <c r="F138" s="5" t="n">
        <v>1</v>
      </c>
      <c r="G138" s="3" t="n">
        <v>13926.47</v>
      </c>
      <c r="H138" s="3" t="n">
        <v>13926.47</v>
      </c>
      <c r="I138" s="6" t="n">
        <v>45799</v>
      </c>
      <c r="J138" s="2" t="inlineStr">
        <is>
          <t>Gecikmeli Odendi</t>
        </is>
      </c>
      <c r="K138" s="2" t="inlineStr">
        <is>
          <t>Ihracat Istisnasi</t>
        </is>
      </c>
      <c r="L138" s="2" t="inlineStr">
        <is>
          <t>301</t>
        </is>
      </c>
    </row>
    <row r="139">
      <c r="A139" s="2" t="inlineStr">
        <is>
          <t>FTR-0138</t>
        </is>
      </c>
      <c r="B139" s="6" t="n">
        <v>45710</v>
      </c>
      <c r="C139" s="2" t="inlineStr">
        <is>
          <t>SIP-0110</t>
        </is>
      </c>
      <c r="D139" s="2" t="inlineStr">
        <is>
          <t>MUS-054</t>
        </is>
      </c>
      <c r="E139" s="2" t="inlineStr">
        <is>
          <t>USD</t>
        </is>
      </c>
      <c r="F139" s="5" t="n">
        <v>1</v>
      </c>
      <c r="G139" s="3" t="n">
        <v>18466.08</v>
      </c>
      <c r="H139" s="3" t="n">
        <v>18466.08</v>
      </c>
      <c r="I139" s="6" t="n">
        <v>45800</v>
      </c>
      <c r="J139" s="2" t="inlineStr">
        <is>
          <t>Gecikmeli Odendi</t>
        </is>
      </c>
      <c r="K139" s="2" t="inlineStr">
        <is>
          <t>Ihracat Istisnasi</t>
        </is>
      </c>
      <c r="L139" s="2" t="inlineStr">
        <is>
          <t>301</t>
        </is>
      </c>
    </row>
    <row r="140">
      <c r="A140" s="2" t="inlineStr">
        <is>
          <t>FTR-0139</t>
        </is>
      </c>
      <c r="B140" s="6" t="n">
        <v>45700</v>
      </c>
      <c r="C140" s="2" t="inlineStr">
        <is>
          <t>SIP-0111</t>
        </is>
      </c>
      <c r="D140" s="2" t="inlineStr">
        <is>
          <t>MUS-065</t>
        </is>
      </c>
      <c r="E140" s="2" t="inlineStr">
        <is>
          <t>USD</t>
        </is>
      </c>
      <c r="F140" s="5" t="n">
        <v>1</v>
      </c>
      <c r="G140" s="3" t="n">
        <v>54597.12</v>
      </c>
      <c r="H140" s="3" t="n">
        <v>54597.12</v>
      </c>
      <c r="I140" s="6" t="n">
        <v>45745</v>
      </c>
      <c r="J140" s="2" t="inlineStr">
        <is>
          <t>Gecikmeli Odendi</t>
        </is>
      </c>
      <c r="K140" s="2" t="inlineStr">
        <is>
          <t>Ihracat Istisnasi</t>
        </is>
      </c>
      <c r="L140" s="2" t="inlineStr">
        <is>
          <t>301</t>
        </is>
      </c>
    </row>
    <row r="141">
      <c r="A141" s="2" t="inlineStr">
        <is>
          <t>FTR-0140</t>
        </is>
      </c>
      <c r="B141" s="6" t="n">
        <v>45703</v>
      </c>
      <c r="C141" s="2" t="inlineStr">
        <is>
          <t>SIP-0112</t>
        </is>
      </c>
      <c r="D141" s="2" t="inlineStr">
        <is>
          <t>MUS-017</t>
        </is>
      </c>
      <c r="E141" s="2" t="inlineStr">
        <is>
          <t>EUR</t>
        </is>
      </c>
      <c r="F141" s="5" t="n">
        <v>1.1172</v>
      </c>
      <c r="G141" s="3" t="n">
        <v>20552.43</v>
      </c>
      <c r="H141" s="3" t="n">
        <v>22961.17</v>
      </c>
      <c r="I141" s="6" t="n">
        <v>45748</v>
      </c>
      <c r="J141" s="2" t="inlineStr">
        <is>
          <t>Odendi</t>
        </is>
      </c>
      <c r="K141" s="2" t="inlineStr">
        <is>
          <t>Ihracat Istisnasi</t>
        </is>
      </c>
      <c r="L141" s="2" t="inlineStr">
        <is>
          <t>301</t>
        </is>
      </c>
    </row>
    <row r="142">
      <c r="A142" s="2" t="inlineStr">
        <is>
          <t>FTR-0141</t>
        </is>
      </c>
      <c r="B142" s="6" t="n">
        <v>45709</v>
      </c>
      <c r="C142" s="2" t="inlineStr">
        <is>
          <t>SIP-0113</t>
        </is>
      </c>
      <c r="D142" s="2" t="inlineStr">
        <is>
          <t>MUS-025</t>
        </is>
      </c>
      <c r="E142" s="2" t="inlineStr">
        <is>
          <t>EUR</t>
        </is>
      </c>
      <c r="F142" s="5" t="n">
        <v>1.1172</v>
      </c>
      <c r="G142" s="3" t="n">
        <v>8985.1</v>
      </c>
      <c r="H142" s="3" t="n">
        <v>10038.15</v>
      </c>
      <c r="I142" s="6" t="n">
        <v>45754</v>
      </c>
      <c r="J142" s="2" t="inlineStr">
        <is>
          <t>Gecikmeli Odendi</t>
        </is>
      </c>
      <c r="K142" s="2" t="inlineStr">
        <is>
          <t>Ihracat Istisnasi</t>
        </is>
      </c>
      <c r="L142" s="2" t="inlineStr">
        <is>
          <t>301</t>
        </is>
      </c>
    </row>
    <row r="143">
      <c r="A143" s="2" t="inlineStr">
        <is>
          <t>FTR-0142</t>
        </is>
      </c>
      <c r="B143" s="6" t="n">
        <v>45710</v>
      </c>
      <c r="C143" s="2" t="inlineStr">
        <is>
          <t>SIP-0113</t>
        </is>
      </c>
      <c r="D143" s="2" t="inlineStr">
        <is>
          <t>MUS-025</t>
        </is>
      </c>
      <c r="E143" s="2" t="inlineStr">
        <is>
          <t>EUR</t>
        </is>
      </c>
      <c r="F143" s="5" t="n">
        <v>1.1172</v>
      </c>
      <c r="G143" s="3" t="n">
        <v>11987.23</v>
      </c>
      <c r="H143" s="3" t="n">
        <v>13392.13</v>
      </c>
      <c r="I143" s="6" t="n">
        <v>45755</v>
      </c>
      <c r="J143" s="2" t="inlineStr">
        <is>
          <t>Odendi</t>
        </is>
      </c>
      <c r="K143" s="2" t="inlineStr">
        <is>
          <t>Ihracat Istisnasi</t>
        </is>
      </c>
      <c r="L143" s="2" t="inlineStr">
        <is>
          <t>301</t>
        </is>
      </c>
    </row>
    <row r="144">
      <c r="A144" s="2" t="inlineStr">
        <is>
          <t>FTR-0143</t>
        </is>
      </c>
      <c r="B144" s="6" t="n">
        <v>45692</v>
      </c>
      <c r="C144" s="2" t="inlineStr">
        <is>
          <t>SIP-0114</t>
        </is>
      </c>
      <c r="D144" s="2" t="inlineStr">
        <is>
          <t>MUS-024</t>
        </is>
      </c>
      <c r="E144" s="2" t="inlineStr">
        <is>
          <t>USD</t>
        </is>
      </c>
      <c r="F144" s="5" t="n">
        <v>1</v>
      </c>
      <c r="G144" s="3" t="n">
        <v>56199.88</v>
      </c>
      <c r="H144" s="3" t="n">
        <v>56199.88</v>
      </c>
      <c r="I144" s="6" t="n">
        <v>45722</v>
      </c>
      <c r="J144" s="2" t="inlineStr">
        <is>
          <t>Gecikmeli Odendi</t>
        </is>
      </c>
      <c r="K144" s="2" t="inlineStr">
        <is>
          <t>Ihracat Istisnasi</t>
        </is>
      </c>
      <c r="L144" s="2" t="inlineStr">
        <is>
          <t>301</t>
        </is>
      </c>
    </row>
    <row r="145">
      <c r="A145" s="2" t="inlineStr">
        <is>
          <t>FTR-0144</t>
        </is>
      </c>
      <c r="B145" s="6" t="n">
        <v>45683</v>
      </c>
      <c r="C145" s="2" t="inlineStr">
        <is>
          <t>SIP-0115</t>
        </is>
      </c>
      <c r="D145" s="2" t="inlineStr">
        <is>
          <t>MUS-020</t>
        </is>
      </c>
      <c r="E145" s="2" t="inlineStr">
        <is>
          <t>USD</t>
        </is>
      </c>
      <c r="F145" s="5" t="n">
        <v>1</v>
      </c>
      <c r="G145" s="3" t="n">
        <v>31520.52</v>
      </c>
      <c r="H145" s="3" t="n">
        <v>31520.52</v>
      </c>
      <c r="I145" s="6" t="n">
        <v>45713</v>
      </c>
      <c r="J145" s="2" t="inlineStr">
        <is>
          <t>Odendi</t>
        </is>
      </c>
      <c r="K145" s="2" t="inlineStr">
        <is>
          <t>Ihracat Istisnasi</t>
        </is>
      </c>
      <c r="L145" s="2" t="inlineStr">
        <is>
          <t>301</t>
        </is>
      </c>
    </row>
    <row r="146">
      <c r="A146" s="2" t="inlineStr">
        <is>
          <t>FTR-0145</t>
        </is>
      </c>
      <c r="B146" s="6" t="n">
        <v>45736</v>
      </c>
      <c r="C146" s="2" t="inlineStr">
        <is>
          <t>SIP-0116</t>
        </is>
      </c>
      <c r="D146" s="2" t="inlineStr">
        <is>
          <t>MUS-074</t>
        </is>
      </c>
      <c r="E146" s="2" t="inlineStr">
        <is>
          <t>USD</t>
        </is>
      </c>
      <c r="F146" s="5" t="n">
        <v>1</v>
      </c>
      <c r="G146" s="3" t="n">
        <v>18026.48</v>
      </c>
      <c r="H146" s="3" t="n">
        <v>18026.48</v>
      </c>
      <c r="I146" s="6" t="n">
        <v>45781</v>
      </c>
      <c r="J146" s="2" t="inlineStr">
        <is>
          <t>Odendi</t>
        </is>
      </c>
      <c r="K146" s="2" t="inlineStr">
        <is>
          <t>Ihracat Istisnasi</t>
        </is>
      </c>
      <c r="L146" s="2" t="inlineStr">
        <is>
          <t>301</t>
        </is>
      </c>
    </row>
    <row r="147">
      <c r="A147" s="2" t="inlineStr">
        <is>
          <t>FTR-0146</t>
        </is>
      </c>
      <c r="B147" s="6" t="n">
        <v>45745</v>
      </c>
      <c r="C147" s="2" t="inlineStr">
        <is>
          <t>SIP-0117</t>
        </is>
      </c>
      <c r="D147" s="2" t="inlineStr">
        <is>
          <t>MUS-041</t>
        </is>
      </c>
      <c r="E147" s="2" t="inlineStr">
        <is>
          <t>EUR</t>
        </is>
      </c>
      <c r="F147" s="5" t="n">
        <v>1.1251</v>
      </c>
      <c r="G147" s="3" t="n">
        <v>38812.18</v>
      </c>
      <c r="H147" s="3" t="n">
        <v>43667.58</v>
      </c>
      <c r="I147" s="6" t="n">
        <v>45760</v>
      </c>
      <c r="J147" s="2" t="inlineStr">
        <is>
          <t>Gecikmeli Odendi</t>
        </is>
      </c>
      <c r="K147" s="2" t="inlineStr">
        <is>
          <t>Ihracat Istisnasi</t>
        </is>
      </c>
      <c r="L147" s="2" t="inlineStr">
        <is>
          <t>301</t>
        </is>
      </c>
    </row>
    <row r="148">
      <c r="A148" s="2" t="inlineStr">
        <is>
          <t>FTR-0147</t>
        </is>
      </c>
      <c r="B148" s="6" t="n">
        <v>45737</v>
      </c>
      <c r="C148" s="2" t="inlineStr">
        <is>
          <t>SIP-0118</t>
        </is>
      </c>
      <c r="D148" s="2" t="inlineStr">
        <is>
          <t>MUS-061</t>
        </is>
      </c>
      <c r="E148" s="2" t="inlineStr">
        <is>
          <t>USD</t>
        </is>
      </c>
      <c r="F148" s="5" t="n">
        <v>1</v>
      </c>
      <c r="G148" s="3" t="n">
        <v>38472.5</v>
      </c>
      <c r="H148" s="3" t="n">
        <v>38472.5</v>
      </c>
      <c r="I148" s="6" t="n">
        <v>45797</v>
      </c>
      <c r="J148" s="2" t="inlineStr">
        <is>
          <t>Gecikmeli Odendi</t>
        </is>
      </c>
      <c r="K148" s="2" t="inlineStr">
        <is>
          <t>Ihracat Istisnasi</t>
        </is>
      </c>
      <c r="L148" s="2" t="inlineStr">
        <is>
          <t>301</t>
        </is>
      </c>
    </row>
    <row r="149">
      <c r="A149" s="2" t="inlineStr">
        <is>
          <t>FTR-0148</t>
        </is>
      </c>
      <c r="B149" s="6" t="n">
        <v>45729</v>
      </c>
      <c r="C149" s="2" t="inlineStr">
        <is>
          <t>SIP-0119</t>
        </is>
      </c>
      <c r="D149" s="2" t="inlineStr">
        <is>
          <t>MUS-007</t>
        </is>
      </c>
      <c r="E149" s="2" t="inlineStr">
        <is>
          <t>USD</t>
        </is>
      </c>
      <c r="F149" s="5" t="n">
        <v>1</v>
      </c>
      <c r="G149" s="3" t="n">
        <v>7969.38</v>
      </c>
      <c r="H149" s="3" t="n">
        <v>7969.38</v>
      </c>
      <c r="I149" s="6" t="n">
        <v>45789</v>
      </c>
      <c r="J149" s="2" t="inlineStr">
        <is>
          <t>Gecikmeli Odendi</t>
        </is>
      </c>
      <c r="K149" s="2" t="inlineStr">
        <is>
          <t>Ihracat Istisnasi</t>
        </is>
      </c>
      <c r="L149" s="2" t="inlineStr">
        <is>
          <t>301</t>
        </is>
      </c>
    </row>
    <row r="150">
      <c r="A150" s="2" t="inlineStr">
        <is>
          <t>FTR-0149</t>
        </is>
      </c>
      <c r="B150" s="6" t="n">
        <v>45724</v>
      </c>
      <c r="C150" s="2" t="inlineStr">
        <is>
          <t>SIP-0120</t>
        </is>
      </c>
      <c r="D150" s="2" t="inlineStr">
        <is>
          <t>MUS-031</t>
        </is>
      </c>
      <c r="E150" s="2" t="inlineStr">
        <is>
          <t>EUR</t>
        </is>
      </c>
      <c r="F150" s="5" t="n">
        <v>1.1251</v>
      </c>
      <c r="G150" s="3" t="n">
        <v>34964.95</v>
      </c>
      <c r="H150" s="3" t="n">
        <v>39339.07</v>
      </c>
      <c r="I150" s="6" t="n">
        <v>45739</v>
      </c>
      <c r="J150" s="2" t="inlineStr">
        <is>
          <t>Acik</t>
        </is>
      </c>
      <c r="K150" s="2" t="inlineStr">
        <is>
          <t>Ihracat Istisnasi</t>
        </is>
      </c>
      <c r="L150" s="2" t="inlineStr">
        <is>
          <t>301</t>
        </is>
      </c>
    </row>
    <row r="151">
      <c r="A151" s="2" t="inlineStr">
        <is>
          <t>FTR-0150</t>
        </is>
      </c>
      <c r="B151" s="6" t="n">
        <v>45758</v>
      </c>
      <c r="C151" s="2" t="inlineStr">
        <is>
          <t>SIP-0121</t>
        </is>
      </c>
      <c r="D151" s="2" t="inlineStr">
        <is>
          <t>MUS-006</t>
        </is>
      </c>
      <c r="E151" s="2" t="inlineStr">
        <is>
          <t>USD</t>
        </is>
      </c>
      <c r="F151" s="5" t="n">
        <v>1</v>
      </c>
      <c r="G151" s="3" t="n">
        <v>13442.95</v>
      </c>
      <c r="H151" s="3" t="n">
        <v>13442.95</v>
      </c>
      <c r="I151" s="6" t="n">
        <v>45773</v>
      </c>
      <c r="J151" s="2" t="inlineStr">
        <is>
          <t>Odendi</t>
        </is>
      </c>
      <c r="K151" s="2" t="inlineStr">
        <is>
          <t>Ihracat Istisnasi</t>
        </is>
      </c>
      <c r="L151" s="2" t="inlineStr">
        <is>
          <t>301</t>
        </is>
      </c>
    </row>
    <row r="152">
      <c r="A152" s="2" t="inlineStr">
        <is>
          <t>FTR-0151</t>
        </is>
      </c>
      <c r="B152" s="6" t="n">
        <v>45759</v>
      </c>
      <c r="C152" s="2" t="inlineStr">
        <is>
          <t>SIP-0121</t>
        </is>
      </c>
      <c r="D152" s="2" t="inlineStr">
        <is>
          <t>MUS-006</t>
        </is>
      </c>
      <c r="E152" s="2" t="inlineStr">
        <is>
          <t>USD</t>
        </is>
      </c>
      <c r="F152" s="5" t="n">
        <v>1</v>
      </c>
      <c r="G152" s="3" t="n">
        <v>11144.52</v>
      </c>
      <c r="H152" s="3" t="n">
        <v>11144.52</v>
      </c>
      <c r="I152" s="6" t="n">
        <v>45774</v>
      </c>
      <c r="J152" s="2" t="inlineStr">
        <is>
          <t>Acik</t>
        </is>
      </c>
      <c r="K152" s="2" t="inlineStr">
        <is>
          <t>Ihracat Istisnasi</t>
        </is>
      </c>
      <c r="L152" s="2" t="inlineStr">
        <is>
          <t>301</t>
        </is>
      </c>
    </row>
    <row r="153">
      <c r="A153" s="2" t="inlineStr">
        <is>
          <t>FTR-0152</t>
        </is>
      </c>
      <c r="B153" s="6" t="n">
        <v>45768</v>
      </c>
      <c r="C153" s="2" t="inlineStr">
        <is>
          <t>SIP-0122</t>
        </is>
      </c>
      <c r="D153" s="2" t="inlineStr">
        <is>
          <t>MUS-025</t>
        </is>
      </c>
      <c r="E153" s="2" t="inlineStr">
        <is>
          <t>EUR</t>
        </is>
      </c>
      <c r="F153" s="5" t="n">
        <v>1.1185</v>
      </c>
      <c r="G153" s="3" t="n">
        <v>33364.94</v>
      </c>
      <c r="H153" s="3" t="n">
        <v>37318.68</v>
      </c>
      <c r="I153" s="6" t="n">
        <v>45813</v>
      </c>
      <c r="J153" s="2" t="inlineStr">
        <is>
          <t>Gecikmeli Odendi</t>
        </is>
      </c>
      <c r="K153" s="2" t="inlineStr">
        <is>
          <t>Ihracat Istisnasi</t>
        </is>
      </c>
      <c r="L153" s="2" t="inlineStr">
        <is>
          <t>301</t>
        </is>
      </c>
    </row>
    <row r="154">
      <c r="A154" s="2" t="inlineStr">
        <is>
          <t>FTR-0153</t>
        </is>
      </c>
      <c r="B154" s="6" t="n">
        <v>45769</v>
      </c>
      <c r="C154" s="2" t="inlineStr">
        <is>
          <t>SIP-0122</t>
        </is>
      </c>
      <c r="D154" s="2" t="inlineStr">
        <is>
          <t>MUS-025</t>
        </is>
      </c>
      <c r="E154" s="2" t="inlineStr">
        <is>
          <t>EUR</t>
        </is>
      </c>
      <c r="F154" s="5" t="n">
        <v>1.1185</v>
      </c>
      <c r="G154" s="3" t="n">
        <v>32603.14</v>
      </c>
      <c r="H154" s="3" t="n">
        <v>36466.61</v>
      </c>
      <c r="I154" s="6" t="n">
        <v>45814</v>
      </c>
      <c r="J154" s="2" t="inlineStr">
        <is>
          <t>Odendi</t>
        </is>
      </c>
      <c r="K154" s="2" t="inlineStr">
        <is>
          <t>Ihracat Istisnasi</t>
        </is>
      </c>
      <c r="L154" s="2" t="inlineStr">
        <is>
          <t>301</t>
        </is>
      </c>
    </row>
    <row r="155">
      <c r="A155" s="2" t="inlineStr">
        <is>
          <t>FTR-0154</t>
        </is>
      </c>
      <c r="B155" s="6" t="n">
        <v>45781</v>
      </c>
      <c r="C155" s="2" t="inlineStr">
        <is>
          <t>SIP-0123</t>
        </is>
      </c>
      <c r="D155" s="2" t="inlineStr">
        <is>
          <t>MUS-053</t>
        </is>
      </c>
      <c r="E155" s="2" t="inlineStr">
        <is>
          <t>EUR</t>
        </is>
      </c>
      <c r="F155" s="5" t="n">
        <v>1.1185</v>
      </c>
      <c r="G155" s="3" t="n">
        <v>22575.29</v>
      </c>
      <c r="H155" s="3" t="n">
        <v>25250.46</v>
      </c>
      <c r="I155" s="6" t="n">
        <v>45841</v>
      </c>
      <c r="J155" s="2" t="inlineStr">
        <is>
          <t>Gecikmeli Odendi</t>
        </is>
      </c>
      <c r="K155" s="2" t="inlineStr">
        <is>
          <t>Ihracat Istisnasi</t>
        </is>
      </c>
      <c r="L155" s="2" t="inlineStr">
        <is>
          <t>301</t>
        </is>
      </c>
    </row>
    <row r="156">
      <c r="A156" s="2" t="inlineStr">
        <is>
          <t>FTR-0155</t>
        </is>
      </c>
      <c r="B156" s="6" t="n">
        <v>45782</v>
      </c>
      <c r="C156" s="2" t="inlineStr">
        <is>
          <t>SIP-0123</t>
        </is>
      </c>
      <c r="D156" s="2" t="inlineStr">
        <is>
          <t>MUS-053</t>
        </is>
      </c>
      <c r="E156" s="2" t="inlineStr">
        <is>
          <t>EUR</t>
        </is>
      </c>
      <c r="F156" s="5" t="n">
        <v>1.1185</v>
      </c>
      <c r="G156" s="3" t="n">
        <v>21531.45</v>
      </c>
      <c r="H156" s="3" t="n">
        <v>24082.93</v>
      </c>
      <c r="I156" s="6" t="n">
        <v>45842</v>
      </c>
      <c r="J156" s="2" t="inlineStr">
        <is>
          <t>Odendi</t>
        </is>
      </c>
      <c r="K156" s="2" t="inlineStr">
        <is>
          <t>Ihracat Istisnasi</t>
        </is>
      </c>
      <c r="L156" s="2" t="inlineStr">
        <is>
          <t>301</t>
        </is>
      </c>
    </row>
    <row r="157">
      <c r="A157" s="2" t="inlineStr">
        <is>
          <t>FTR-0156</t>
        </is>
      </c>
      <c r="B157" s="6" t="n">
        <v>45757</v>
      </c>
      <c r="C157" s="2" t="inlineStr">
        <is>
          <t>SIP-0124</t>
        </is>
      </c>
      <c r="D157" s="2" t="inlineStr">
        <is>
          <t>MUS-056</t>
        </is>
      </c>
      <c r="E157" s="2" t="inlineStr">
        <is>
          <t>EUR</t>
        </is>
      </c>
      <c r="F157" s="5" t="n">
        <v>1.1185</v>
      </c>
      <c r="G157" s="3" t="n">
        <v>2392.97</v>
      </c>
      <c r="H157" s="3" t="n">
        <v>2676.54</v>
      </c>
      <c r="I157" s="6" t="n">
        <v>45772</v>
      </c>
      <c r="J157" s="2" t="inlineStr">
        <is>
          <t>Gecikmeli Odendi</t>
        </is>
      </c>
      <c r="K157" s="2" t="inlineStr">
        <is>
          <t>Ihracat Istisnasi</t>
        </is>
      </c>
      <c r="L157" s="2" t="inlineStr">
        <is>
          <t>301</t>
        </is>
      </c>
    </row>
    <row r="158">
      <c r="A158" s="2" t="inlineStr">
        <is>
          <t>FTR-0157</t>
        </is>
      </c>
      <c r="B158" s="6" t="n">
        <v>45791</v>
      </c>
      <c r="C158" s="2" t="inlineStr">
        <is>
          <t>SIP-0125</t>
        </is>
      </c>
      <c r="D158" s="2" t="inlineStr">
        <is>
          <t>MUS-070</t>
        </is>
      </c>
      <c r="E158" s="2" t="inlineStr">
        <is>
          <t>EUR</t>
        </is>
      </c>
      <c r="F158" s="5" t="n">
        <v>1.143</v>
      </c>
      <c r="G158" s="3" t="n">
        <v>19124.68</v>
      </c>
      <c r="H158" s="3" t="n">
        <v>21859.51</v>
      </c>
      <c r="I158" s="6" t="n">
        <v>45851</v>
      </c>
      <c r="J158" s="2" t="inlineStr">
        <is>
          <t>Odendi</t>
        </is>
      </c>
      <c r="K158" s="2" t="inlineStr">
        <is>
          <t>Ihracat Istisnasi</t>
        </is>
      </c>
      <c r="L158" s="2" t="inlineStr">
        <is>
          <t>301</t>
        </is>
      </c>
    </row>
    <row r="159">
      <c r="A159" s="2" t="inlineStr">
        <is>
          <t>FTR-0158</t>
        </is>
      </c>
      <c r="B159" s="6" t="n">
        <v>45754</v>
      </c>
      <c r="C159" s="2" t="inlineStr">
        <is>
          <t>SIP-0126</t>
        </is>
      </c>
      <c r="D159" s="2" t="inlineStr">
        <is>
          <t>MUS-066</t>
        </is>
      </c>
      <c r="E159" s="2" t="inlineStr">
        <is>
          <t>USD</t>
        </is>
      </c>
      <c r="F159" s="5" t="n">
        <v>1</v>
      </c>
      <c r="G159" s="3" t="n">
        <v>2233.2</v>
      </c>
      <c r="H159" s="3" t="n">
        <v>2233.2</v>
      </c>
      <c r="I159" s="6" t="n">
        <v>45784</v>
      </c>
      <c r="J159" s="2" t="inlineStr">
        <is>
          <t>Odendi</t>
        </is>
      </c>
      <c r="K159" s="2" t="inlineStr">
        <is>
          <t>Ihracat Istisnasi</t>
        </is>
      </c>
      <c r="L159" s="2" t="inlineStr">
        <is>
          <t>301</t>
        </is>
      </c>
    </row>
    <row r="160">
      <c r="A160" s="2" t="inlineStr">
        <is>
          <t>FTR-0159</t>
        </is>
      </c>
      <c r="B160" s="6" t="n">
        <v>45807</v>
      </c>
      <c r="C160" s="2" t="inlineStr">
        <is>
          <t>SIP-0127</t>
        </is>
      </c>
      <c r="D160" s="2" t="inlineStr">
        <is>
          <t>MUS-082</t>
        </is>
      </c>
      <c r="E160" s="2" t="inlineStr">
        <is>
          <t>EUR</t>
        </is>
      </c>
      <c r="F160" s="5" t="n">
        <v>1.143</v>
      </c>
      <c r="G160" s="3" t="n">
        <v>18687.49</v>
      </c>
      <c r="H160" s="3" t="n">
        <v>21359.8</v>
      </c>
      <c r="I160" s="6" t="n">
        <v>45852</v>
      </c>
      <c r="J160" s="2" t="inlineStr">
        <is>
          <t>Gecikmeli Odendi</t>
        </is>
      </c>
      <c r="K160" s="2" t="inlineStr">
        <is>
          <t>Ihracat Istisnasi</t>
        </is>
      </c>
      <c r="L160" s="2" t="inlineStr">
        <is>
          <t>301</t>
        </is>
      </c>
    </row>
    <row r="161">
      <c r="A161" s="2" t="inlineStr">
        <is>
          <t>FTR-0160</t>
        </is>
      </c>
      <c r="B161" s="6" t="n">
        <v>45816</v>
      </c>
      <c r="C161" s="2" t="inlineStr">
        <is>
          <t>SIP-0128</t>
        </is>
      </c>
      <c r="D161" s="2" t="inlineStr">
        <is>
          <t>MUS-038</t>
        </is>
      </c>
      <c r="E161" s="2" t="inlineStr">
        <is>
          <t>USD</t>
        </is>
      </c>
      <c r="F161" s="5" t="n">
        <v>1</v>
      </c>
      <c r="G161" s="3" t="n">
        <v>78880.25999999999</v>
      </c>
      <c r="H161" s="3" t="n">
        <v>78880.25999999999</v>
      </c>
      <c r="I161" s="6" t="n">
        <v>45906</v>
      </c>
      <c r="J161" s="2" t="inlineStr">
        <is>
          <t>Gecikmeli Odendi</t>
        </is>
      </c>
      <c r="K161" s="2" t="inlineStr">
        <is>
          <t>Ihracat Istisnasi</t>
        </is>
      </c>
      <c r="L161" s="2" t="inlineStr">
        <is>
          <t>301</t>
        </is>
      </c>
    </row>
    <row r="162">
      <c r="A162" s="2" t="inlineStr">
        <is>
          <t>FTR-0161</t>
        </is>
      </c>
      <c r="B162" s="6" t="n">
        <v>45779</v>
      </c>
      <c r="C162" s="2" t="inlineStr">
        <is>
          <t>SIP-0129</t>
        </is>
      </c>
      <c r="D162" s="2" t="inlineStr">
        <is>
          <t>MUS-079</t>
        </is>
      </c>
      <c r="E162" s="2" t="inlineStr">
        <is>
          <t>USD</t>
        </is>
      </c>
      <c r="F162" s="5" t="n">
        <v>1</v>
      </c>
      <c r="G162" s="3" t="n">
        <v>41333.76</v>
      </c>
      <c r="H162" s="3" t="n">
        <v>41333.76</v>
      </c>
      <c r="I162" s="6" t="n">
        <v>45824</v>
      </c>
      <c r="J162" s="2" t="inlineStr">
        <is>
          <t>Gecikmeli Odendi</t>
        </is>
      </c>
      <c r="K162" s="2" t="inlineStr">
        <is>
          <t>Ihracat Istisnasi</t>
        </is>
      </c>
      <c r="L162" s="2" t="inlineStr">
        <is>
          <t>301</t>
        </is>
      </c>
    </row>
    <row r="163">
      <c r="A163" s="2" t="inlineStr">
        <is>
          <t>FTR-0162</t>
        </is>
      </c>
      <c r="B163" s="6" t="n">
        <v>45815</v>
      </c>
      <c r="C163" s="2" t="inlineStr">
        <is>
          <t>SIP-0130</t>
        </is>
      </c>
      <c r="D163" s="2" t="inlineStr">
        <is>
          <t>MUS-051</t>
        </is>
      </c>
      <c r="E163" s="2" t="inlineStr">
        <is>
          <t>EUR</t>
        </is>
      </c>
      <c r="F163" s="5" t="n">
        <v>1.143</v>
      </c>
      <c r="G163" s="3" t="n">
        <v>8302.780000000001</v>
      </c>
      <c r="H163" s="3" t="n">
        <v>9490.08</v>
      </c>
      <c r="I163" s="6" t="n">
        <v>45875</v>
      </c>
      <c r="J163" s="2" t="inlineStr">
        <is>
          <t>Gecikmeli Odendi</t>
        </is>
      </c>
      <c r="K163" s="2" t="inlineStr">
        <is>
          <t>Ihracat Istisnasi</t>
        </is>
      </c>
      <c r="L163" s="2" t="inlineStr">
        <is>
          <t>301</t>
        </is>
      </c>
    </row>
    <row r="164">
      <c r="A164" s="2" t="inlineStr">
        <is>
          <t>FTR-0163</t>
        </is>
      </c>
      <c r="B164" s="6" t="n">
        <v>45816</v>
      </c>
      <c r="C164" s="2" t="inlineStr">
        <is>
          <t>SIP-0130</t>
        </is>
      </c>
      <c r="D164" s="2" t="inlineStr">
        <is>
          <t>MUS-051</t>
        </is>
      </c>
      <c r="E164" s="2" t="inlineStr">
        <is>
          <t>EUR</t>
        </is>
      </c>
      <c r="F164" s="5" t="n">
        <v>1.143</v>
      </c>
      <c r="G164" s="3" t="n">
        <v>8647.450000000001</v>
      </c>
      <c r="H164" s="3" t="n">
        <v>9884.030000000001</v>
      </c>
      <c r="I164" s="6" t="n">
        <v>45876</v>
      </c>
      <c r="J164" s="2" t="inlineStr">
        <is>
          <t>Odendi</t>
        </is>
      </c>
      <c r="K164" s="2" t="inlineStr">
        <is>
          <t>Ihracat Istisnasi</t>
        </is>
      </c>
      <c r="L164" s="2" t="inlineStr">
        <is>
          <t>301</t>
        </is>
      </c>
    </row>
    <row r="165">
      <c r="A165" s="2" t="inlineStr">
        <is>
          <t>FTR-0164</t>
        </is>
      </c>
      <c r="B165" s="6" t="n">
        <v>45808</v>
      </c>
      <c r="C165" s="2" t="inlineStr">
        <is>
          <t>SIP-0131</t>
        </is>
      </c>
      <c r="D165" s="2" t="inlineStr">
        <is>
          <t>MUS-074</t>
        </is>
      </c>
      <c r="E165" s="2" t="inlineStr">
        <is>
          <t>USD</t>
        </is>
      </c>
      <c r="F165" s="5" t="n">
        <v>1</v>
      </c>
      <c r="G165" s="3" t="n">
        <v>45079.72</v>
      </c>
      <c r="H165" s="3" t="n">
        <v>45079.72</v>
      </c>
      <c r="I165" s="6" t="n">
        <v>45853</v>
      </c>
      <c r="J165" s="2" t="inlineStr">
        <is>
          <t>Odendi</t>
        </is>
      </c>
      <c r="K165" s="2" t="inlineStr">
        <is>
          <t>Ihracat Istisnasi</t>
        </is>
      </c>
      <c r="L165" s="2" t="inlineStr">
        <is>
          <t>301</t>
        </is>
      </c>
    </row>
    <row r="166">
      <c r="A166" s="2" t="inlineStr">
        <is>
          <t>FTR-0165</t>
        </is>
      </c>
      <c r="B166" s="6" t="n">
        <v>45782</v>
      </c>
      <c r="C166" s="2" t="inlineStr">
        <is>
          <t>SIP-0132</t>
        </is>
      </c>
      <c r="D166" s="2" t="inlineStr">
        <is>
          <t>MUS-073</t>
        </is>
      </c>
      <c r="E166" s="2" t="inlineStr">
        <is>
          <t>USD</t>
        </is>
      </c>
      <c r="F166" s="5" t="n">
        <v>1</v>
      </c>
      <c r="G166" s="3" t="n">
        <v>22851.06</v>
      </c>
      <c r="H166" s="3" t="n">
        <v>22851.06</v>
      </c>
      <c r="I166" s="6" t="n">
        <v>45842</v>
      </c>
      <c r="J166" s="2" t="inlineStr">
        <is>
          <t>Odendi</t>
        </is>
      </c>
      <c r="K166" s="2" t="inlineStr">
        <is>
          <t>Ihracat Istisnasi</t>
        </is>
      </c>
      <c r="L166" s="2" t="inlineStr">
        <is>
          <t>301</t>
        </is>
      </c>
    </row>
    <row r="167">
      <c r="A167" s="2" t="inlineStr">
        <is>
          <t>FTR-0166</t>
        </is>
      </c>
      <c r="B167" s="6" t="n">
        <v>45784</v>
      </c>
      <c r="C167" s="2" t="inlineStr">
        <is>
          <t>SIP-0133</t>
        </is>
      </c>
      <c r="D167" s="2" t="inlineStr">
        <is>
          <t>MUS-019</t>
        </is>
      </c>
      <c r="E167" s="2" t="inlineStr">
        <is>
          <t>USD</t>
        </is>
      </c>
      <c r="F167" s="5" t="n">
        <v>1</v>
      </c>
      <c r="G167" s="3" t="n">
        <v>12834.94</v>
      </c>
      <c r="H167" s="3" t="n">
        <v>12834.94</v>
      </c>
      <c r="I167" s="6" t="n">
        <v>45829</v>
      </c>
      <c r="J167" s="2" t="inlineStr">
        <is>
          <t>Acik</t>
        </is>
      </c>
      <c r="K167" s="2" t="inlineStr">
        <is>
          <t>Ihracat Istisnasi</t>
        </is>
      </c>
      <c r="L167" s="2" t="inlineStr">
        <is>
          <t>301</t>
        </is>
      </c>
    </row>
    <row r="168">
      <c r="A168" s="2" t="inlineStr">
        <is>
          <t>FTR-0167</t>
        </is>
      </c>
      <c r="B168" s="6" t="n">
        <v>45793</v>
      </c>
      <c r="C168" s="2" t="inlineStr">
        <is>
          <t>SIP-0134</t>
        </is>
      </c>
      <c r="D168" s="2" t="inlineStr">
        <is>
          <t>MUS-070</t>
        </is>
      </c>
      <c r="E168" s="2" t="inlineStr">
        <is>
          <t>EUR</t>
        </is>
      </c>
      <c r="F168" s="5" t="n">
        <v>1.143</v>
      </c>
      <c r="G168" s="3" t="n">
        <v>6892.16</v>
      </c>
      <c r="H168" s="3" t="n">
        <v>7877.74</v>
      </c>
      <c r="I168" s="6" t="n">
        <v>45853</v>
      </c>
      <c r="J168" s="2" t="inlineStr">
        <is>
          <t>Acik</t>
        </is>
      </c>
      <c r="K168" s="2" t="inlineStr">
        <is>
          <t>Ihracat Istisnasi</t>
        </is>
      </c>
      <c r="L168" s="2" t="inlineStr">
        <is>
          <t>301</t>
        </is>
      </c>
    </row>
    <row r="169">
      <c r="A169" s="2" t="inlineStr">
        <is>
          <t>FTR-0168</t>
        </is>
      </c>
      <c r="B169" s="6" t="n">
        <v>45806</v>
      </c>
      <c r="C169" s="2" t="inlineStr">
        <is>
          <t>SIP-0135</t>
        </is>
      </c>
      <c r="D169" s="2" t="inlineStr">
        <is>
          <t>MUS-005</t>
        </is>
      </c>
      <c r="E169" s="2" t="inlineStr">
        <is>
          <t>EUR</t>
        </is>
      </c>
      <c r="F169" s="5" t="n">
        <v>1.143</v>
      </c>
      <c r="G169" s="3" t="n">
        <v>32445.14</v>
      </c>
      <c r="H169" s="3" t="n">
        <v>37084.79</v>
      </c>
      <c r="I169" s="6" t="n">
        <v>45851</v>
      </c>
      <c r="J169" s="2" t="inlineStr">
        <is>
          <t>Odendi</t>
        </is>
      </c>
      <c r="K169" s="2" t="inlineStr">
        <is>
          <t>Ihracat Istisnasi</t>
        </is>
      </c>
      <c r="L169" s="2" t="inlineStr">
        <is>
          <t>301</t>
        </is>
      </c>
    </row>
    <row r="170">
      <c r="A170" s="2" t="inlineStr">
        <is>
          <t>FTR-0169</t>
        </is>
      </c>
      <c r="B170" s="6" t="n">
        <v>45800</v>
      </c>
      <c r="C170" s="2" t="inlineStr">
        <is>
          <t>SIP-0136</t>
        </is>
      </c>
      <c r="D170" s="2" t="inlineStr">
        <is>
          <t>MUS-074</t>
        </is>
      </c>
      <c r="E170" s="2" t="inlineStr">
        <is>
          <t>USD</t>
        </is>
      </c>
      <c r="F170" s="5" t="n">
        <v>1</v>
      </c>
      <c r="G170" s="3" t="n">
        <v>38410.68</v>
      </c>
      <c r="H170" s="3" t="n">
        <v>38410.68</v>
      </c>
      <c r="I170" s="6" t="n">
        <v>45845</v>
      </c>
      <c r="J170" s="2" t="inlineStr">
        <is>
          <t>Odendi</t>
        </is>
      </c>
      <c r="K170" s="2" t="inlineStr">
        <is>
          <t>Ihracat Istisnasi</t>
        </is>
      </c>
      <c r="L170" s="2" t="inlineStr">
        <is>
          <t>301</t>
        </is>
      </c>
    </row>
    <row r="171">
      <c r="A171" s="2" t="inlineStr">
        <is>
          <t>FTR-0170</t>
        </is>
      </c>
      <c r="B171" s="6" t="n">
        <v>45849</v>
      </c>
      <c r="C171" s="2" t="inlineStr">
        <is>
          <t>SIP-0137</t>
        </is>
      </c>
      <c r="D171" s="2" t="inlineStr">
        <is>
          <t>MUS-039</t>
        </is>
      </c>
      <c r="E171" s="2" t="inlineStr">
        <is>
          <t>USD</t>
        </is>
      </c>
      <c r="F171" s="5" t="n">
        <v>1</v>
      </c>
      <c r="G171" s="3" t="n">
        <v>7349.85</v>
      </c>
      <c r="H171" s="3" t="n">
        <v>7349.85</v>
      </c>
      <c r="I171" s="6" t="n">
        <v>45879</v>
      </c>
      <c r="J171" s="2" t="inlineStr">
        <is>
          <t>Gecikmeli Odendi</t>
        </is>
      </c>
      <c r="K171" s="2" t="inlineStr">
        <is>
          <t>Ihracat Istisnasi</t>
        </is>
      </c>
      <c r="L171" s="2" t="inlineStr">
        <is>
          <t>301</t>
        </is>
      </c>
    </row>
    <row r="172">
      <c r="A172" s="2" t="inlineStr">
        <is>
          <t>FTR-0171</t>
        </is>
      </c>
      <c r="B172" s="6" t="n">
        <v>45850</v>
      </c>
      <c r="C172" s="2" t="inlineStr">
        <is>
          <t>SIP-0137</t>
        </is>
      </c>
      <c r="D172" s="2" t="inlineStr">
        <is>
          <t>MUS-039</t>
        </is>
      </c>
      <c r="E172" s="2" t="inlineStr">
        <is>
          <t>USD</t>
        </is>
      </c>
      <c r="F172" s="5" t="n">
        <v>1</v>
      </c>
      <c r="G172" s="3" t="n">
        <v>8934.25</v>
      </c>
      <c r="H172" s="3" t="n">
        <v>8934.25</v>
      </c>
      <c r="I172" s="6" t="n">
        <v>45880</v>
      </c>
      <c r="J172" s="2" t="inlineStr">
        <is>
          <t>Odendi</t>
        </is>
      </c>
      <c r="K172" s="2" t="inlineStr">
        <is>
          <t>Ihracat Istisnasi</t>
        </is>
      </c>
      <c r="L172" s="2" t="inlineStr">
        <is>
          <t>301</t>
        </is>
      </c>
    </row>
    <row r="173">
      <c r="A173" s="2" t="inlineStr">
        <is>
          <t>FTR-0172</t>
        </is>
      </c>
      <c r="B173" s="6" t="n">
        <v>45836</v>
      </c>
      <c r="C173" s="2" t="inlineStr">
        <is>
          <t>SIP-0138</t>
        </is>
      </c>
      <c r="D173" s="2" t="inlineStr">
        <is>
          <t>MUS-044</t>
        </is>
      </c>
      <c r="E173" s="2" t="inlineStr">
        <is>
          <t>EUR</t>
        </is>
      </c>
      <c r="F173" s="5" t="n">
        <v>1.1556</v>
      </c>
      <c r="G173" s="3" t="n">
        <v>16584.99</v>
      </c>
      <c r="H173" s="3" t="n">
        <v>19165.62</v>
      </c>
      <c r="I173" s="6" t="n">
        <v>45896</v>
      </c>
      <c r="J173" s="2" t="inlineStr">
        <is>
          <t>Odendi</t>
        </is>
      </c>
      <c r="K173" s="2" t="inlineStr">
        <is>
          <t>Ihracat Istisnasi</t>
        </is>
      </c>
      <c r="L173" s="2" t="inlineStr">
        <is>
          <t>301</t>
        </is>
      </c>
    </row>
    <row r="174">
      <c r="A174" s="2" t="inlineStr">
        <is>
          <t>FTR-0173</t>
        </is>
      </c>
      <c r="B174" s="6" t="n">
        <v>45837</v>
      </c>
      <c r="C174" s="2" t="inlineStr">
        <is>
          <t>SIP-0138</t>
        </is>
      </c>
      <c r="D174" s="2" t="inlineStr">
        <is>
          <t>MUS-044</t>
        </is>
      </c>
      <c r="E174" s="2" t="inlineStr">
        <is>
          <t>EUR</t>
        </is>
      </c>
      <c r="F174" s="5" t="n">
        <v>1.1556</v>
      </c>
      <c r="G174" s="3" t="n">
        <v>18477.42</v>
      </c>
      <c r="H174" s="3" t="n">
        <v>21352.51</v>
      </c>
      <c r="I174" s="6" t="n">
        <v>45897</v>
      </c>
      <c r="J174" s="2" t="inlineStr">
        <is>
          <t>Gecikmeli Odendi</t>
        </is>
      </c>
      <c r="K174" s="2" t="inlineStr">
        <is>
          <t>Ihracat Istisnasi</t>
        </is>
      </c>
      <c r="L174" s="2" t="inlineStr">
        <is>
          <t>301</t>
        </is>
      </c>
    </row>
    <row r="175">
      <c r="A175" s="2" t="inlineStr">
        <is>
          <t>FTR-0174</t>
        </is>
      </c>
      <c r="B175" s="6" t="n">
        <v>45808</v>
      </c>
      <c r="C175" s="2" t="inlineStr">
        <is>
          <t>SIP-0139</t>
        </is>
      </c>
      <c r="D175" s="2" t="inlineStr">
        <is>
          <t>MUS-079</t>
        </is>
      </c>
      <c r="E175" s="2" t="inlineStr">
        <is>
          <t>USD</t>
        </is>
      </c>
      <c r="F175" s="5" t="n">
        <v>1</v>
      </c>
      <c r="G175" s="3" t="n">
        <v>63866.58</v>
      </c>
      <c r="H175" s="3" t="n">
        <v>63866.58</v>
      </c>
      <c r="I175" s="6" t="n">
        <v>45853</v>
      </c>
      <c r="J175" s="2" t="inlineStr">
        <is>
          <t>Acik</t>
        </is>
      </c>
      <c r="K175" s="2" t="inlineStr">
        <is>
          <t>Ihracat Istisnasi</t>
        </is>
      </c>
      <c r="L175" s="2" t="inlineStr">
        <is>
          <t>301</t>
        </is>
      </c>
    </row>
    <row r="176">
      <c r="A176" s="2" t="inlineStr">
        <is>
          <t>FTR-0175</t>
        </is>
      </c>
      <c r="B176" s="6" t="n">
        <v>45830</v>
      </c>
      <c r="C176" s="2" t="inlineStr">
        <is>
          <t>SIP-0140</t>
        </is>
      </c>
      <c r="D176" s="2" t="inlineStr">
        <is>
          <t>MUS-061</t>
        </is>
      </c>
      <c r="E176" s="2" t="inlineStr">
        <is>
          <t>USD</t>
        </is>
      </c>
      <c r="F176" s="5" t="n">
        <v>1</v>
      </c>
      <c r="G176" s="3" t="n">
        <v>6214.85</v>
      </c>
      <c r="H176" s="3" t="n">
        <v>6214.85</v>
      </c>
      <c r="I176" s="6" t="n">
        <v>45890</v>
      </c>
      <c r="J176" s="2" t="inlineStr">
        <is>
          <t>Gecikmeli Odendi</t>
        </is>
      </c>
      <c r="K176" s="2" t="inlineStr">
        <is>
          <t>Ihracat Istisnasi</t>
        </is>
      </c>
      <c r="L176" s="2" t="inlineStr">
        <is>
          <t>301</t>
        </is>
      </c>
    </row>
    <row r="177">
      <c r="A177" s="2" t="inlineStr">
        <is>
          <t>FTR-0176</t>
        </is>
      </c>
      <c r="B177" s="6" t="n">
        <v>45831</v>
      </c>
      <c r="C177" s="2" t="inlineStr">
        <is>
          <t>SIP-0140</t>
        </is>
      </c>
      <c r="D177" s="2" t="inlineStr">
        <is>
          <t>MUS-061</t>
        </is>
      </c>
      <c r="E177" s="2" t="inlineStr">
        <is>
          <t>USD</t>
        </is>
      </c>
      <c r="F177" s="5" t="n">
        <v>1</v>
      </c>
      <c r="G177" s="3" t="n">
        <v>7794.51</v>
      </c>
      <c r="H177" s="3" t="n">
        <v>7794.51</v>
      </c>
      <c r="I177" s="6" t="n">
        <v>45891</v>
      </c>
      <c r="J177" s="2" t="inlineStr">
        <is>
          <t>Gecikmeli Odendi</t>
        </is>
      </c>
      <c r="K177" s="2" t="inlineStr">
        <is>
          <t>Ihracat Istisnasi</t>
        </is>
      </c>
      <c r="L177" s="2" t="inlineStr">
        <is>
          <t>301</t>
        </is>
      </c>
    </row>
    <row r="178">
      <c r="A178" s="2" t="inlineStr">
        <is>
          <t>FTR-0177</t>
        </is>
      </c>
      <c r="B178" s="6" t="n">
        <v>45825</v>
      </c>
      <c r="C178" s="2" t="inlineStr">
        <is>
          <t>SIP-0141</t>
        </is>
      </c>
      <c r="D178" s="2" t="inlineStr">
        <is>
          <t>MUS-044</t>
        </is>
      </c>
      <c r="E178" s="2" t="inlineStr">
        <is>
          <t>EUR</t>
        </is>
      </c>
      <c r="F178" s="5" t="n">
        <v>1.1556</v>
      </c>
      <c r="G178" s="3" t="n">
        <v>13463.94</v>
      </c>
      <c r="H178" s="3" t="n">
        <v>15558.93</v>
      </c>
      <c r="I178" s="6" t="n">
        <v>45885</v>
      </c>
      <c r="J178" s="2" t="inlineStr">
        <is>
          <t>Odendi</t>
        </is>
      </c>
      <c r="K178" s="2" t="inlineStr">
        <is>
          <t>Ihracat Istisnasi</t>
        </is>
      </c>
      <c r="L178" s="2" t="inlineStr">
        <is>
          <t>301</t>
        </is>
      </c>
    </row>
    <row r="179">
      <c r="A179" s="2" t="inlineStr">
        <is>
          <t>FTR-0178</t>
        </is>
      </c>
      <c r="B179" s="6" t="n">
        <v>45822</v>
      </c>
      <c r="C179" s="2" t="inlineStr">
        <is>
          <t>SIP-0142</t>
        </is>
      </c>
      <c r="D179" s="2" t="inlineStr">
        <is>
          <t>MUS-040</t>
        </is>
      </c>
      <c r="E179" s="2" t="inlineStr">
        <is>
          <t>USD</t>
        </is>
      </c>
      <c r="F179" s="5" t="n">
        <v>1</v>
      </c>
      <c r="G179" s="3" t="n">
        <v>13147.95</v>
      </c>
      <c r="H179" s="3" t="n">
        <v>13147.95</v>
      </c>
      <c r="I179" s="6" t="n">
        <v>45867</v>
      </c>
      <c r="J179" s="2" t="inlineStr">
        <is>
          <t>Odendi</t>
        </is>
      </c>
      <c r="K179" s="2" t="inlineStr">
        <is>
          <t>Ihracat Istisnasi</t>
        </is>
      </c>
      <c r="L179" s="2" t="inlineStr">
        <is>
          <t>301</t>
        </is>
      </c>
    </row>
    <row r="180">
      <c r="A180" s="2" t="inlineStr">
        <is>
          <t>FTR-0179</t>
        </is>
      </c>
      <c r="B180" s="6" t="n">
        <v>45823</v>
      </c>
      <c r="C180" s="2" t="inlineStr">
        <is>
          <t>SIP-0142</t>
        </is>
      </c>
      <c r="D180" s="2" t="inlineStr">
        <is>
          <t>MUS-040</t>
        </is>
      </c>
      <c r="E180" s="2" t="inlineStr">
        <is>
          <t>USD</t>
        </is>
      </c>
      <c r="F180" s="5" t="n">
        <v>1</v>
      </c>
      <c r="G180" s="3" t="n">
        <v>13281.44</v>
      </c>
      <c r="H180" s="3" t="n">
        <v>13281.44</v>
      </c>
      <c r="I180" s="6" t="n">
        <v>45868</v>
      </c>
      <c r="J180" s="2" t="inlineStr">
        <is>
          <t>Odendi</t>
        </is>
      </c>
      <c r="K180" s="2" t="inlineStr">
        <is>
          <t>Ihracat Istisnasi</t>
        </is>
      </c>
      <c r="L180" s="2" t="inlineStr">
        <is>
          <t>301</t>
        </is>
      </c>
    </row>
    <row r="181">
      <c r="A181" s="2" t="inlineStr">
        <is>
          <t>FTR-0180</t>
        </is>
      </c>
      <c r="B181" s="6" t="n">
        <v>45852</v>
      </c>
      <c r="C181" s="2" t="inlineStr">
        <is>
          <t>SIP-0143</t>
        </is>
      </c>
      <c r="D181" s="2" t="inlineStr">
        <is>
          <t>MUS-076</t>
        </is>
      </c>
      <c r="E181" s="2" t="inlineStr">
        <is>
          <t>EUR</t>
        </is>
      </c>
      <c r="F181" s="5" t="n">
        <v>1.1556</v>
      </c>
      <c r="G181" s="3" t="n">
        <v>3513.49</v>
      </c>
      <c r="H181" s="3" t="n">
        <v>4060.19</v>
      </c>
      <c r="I181" s="6" t="n">
        <v>45867</v>
      </c>
      <c r="J181" s="2" t="inlineStr">
        <is>
          <t>Gecikmeli Odendi</t>
        </is>
      </c>
      <c r="K181" s="2" t="inlineStr">
        <is>
          <t>Ihracat Istisnasi</t>
        </is>
      </c>
      <c r="L181" s="2" t="inlineStr">
        <is>
          <t>301</t>
        </is>
      </c>
    </row>
    <row r="182">
      <c r="A182" s="2" t="inlineStr">
        <is>
          <t>FTR-0181</t>
        </is>
      </c>
      <c r="B182" s="6" t="n">
        <v>45853</v>
      </c>
      <c r="C182" s="2" t="inlineStr">
        <is>
          <t>SIP-0143</t>
        </is>
      </c>
      <c r="D182" s="2" t="inlineStr">
        <is>
          <t>MUS-076</t>
        </is>
      </c>
      <c r="E182" s="2" t="inlineStr">
        <is>
          <t>EUR</t>
        </is>
      </c>
      <c r="F182" s="5" t="n">
        <v>1.1556</v>
      </c>
      <c r="G182" s="3" t="n">
        <v>3739.47</v>
      </c>
      <c r="H182" s="3" t="n">
        <v>4321.33</v>
      </c>
      <c r="I182" s="6" t="n">
        <v>45868</v>
      </c>
      <c r="J182" s="2" t="inlineStr">
        <is>
          <t>Gecikmeli Odendi</t>
        </is>
      </c>
      <c r="K182" s="2" t="inlineStr">
        <is>
          <t>Ihracat Istisnasi</t>
        </is>
      </c>
      <c r="L182" s="2" t="inlineStr">
        <is>
          <t>301</t>
        </is>
      </c>
    </row>
    <row r="183">
      <c r="A183" s="2" t="inlineStr">
        <is>
          <t>FTR-0182</t>
        </is>
      </c>
      <c r="B183" s="6" t="n">
        <v>45814</v>
      </c>
      <c r="C183" s="2" t="inlineStr">
        <is>
          <t>SIP-0144</t>
        </is>
      </c>
      <c r="D183" s="2" t="inlineStr">
        <is>
          <t>MUS-006</t>
        </is>
      </c>
      <c r="E183" s="2" t="inlineStr">
        <is>
          <t>USD</t>
        </is>
      </c>
      <c r="F183" s="5" t="n">
        <v>1</v>
      </c>
      <c r="G183" s="3" t="n">
        <v>25234.5</v>
      </c>
      <c r="H183" s="3" t="n">
        <v>25234.5</v>
      </c>
      <c r="I183" s="6" t="n">
        <v>45829</v>
      </c>
      <c r="J183" s="2" t="inlineStr">
        <is>
          <t>Odendi</t>
        </is>
      </c>
      <c r="K183" s="2" t="inlineStr">
        <is>
          <t>Ihracat Istisnasi</t>
        </is>
      </c>
      <c r="L183" s="2" t="inlineStr">
        <is>
          <t>301</t>
        </is>
      </c>
    </row>
    <row r="184">
      <c r="A184" s="2" t="inlineStr">
        <is>
          <t>FTR-0183</t>
        </is>
      </c>
      <c r="B184" s="6" t="n">
        <v>45872</v>
      </c>
      <c r="C184" s="2" t="inlineStr">
        <is>
          <t>SIP-0145</t>
        </is>
      </c>
      <c r="D184" s="2" t="inlineStr">
        <is>
          <t>MUS-082</t>
        </is>
      </c>
      <c r="E184" s="2" t="inlineStr">
        <is>
          <t>EUR</t>
        </is>
      </c>
      <c r="F184" s="5" t="n">
        <v>1.1556</v>
      </c>
      <c r="G184" s="3" t="n">
        <v>24089.82</v>
      </c>
      <c r="H184" s="3" t="n">
        <v>27838.2</v>
      </c>
      <c r="I184" s="6" t="n">
        <v>45917</v>
      </c>
      <c r="J184" s="2" t="inlineStr">
        <is>
          <t>Odendi</t>
        </is>
      </c>
      <c r="K184" s="2" t="inlineStr">
        <is>
          <t>Ihracat Istisnasi</t>
        </is>
      </c>
      <c r="L184" s="2" t="inlineStr">
        <is>
          <t>301</t>
        </is>
      </c>
    </row>
    <row r="185">
      <c r="A185" s="2" t="inlineStr">
        <is>
          <t>FTR-0184</t>
        </is>
      </c>
      <c r="B185" s="6" t="n">
        <v>45823</v>
      </c>
      <c r="C185" s="2" t="inlineStr">
        <is>
          <t>SIP-0146</t>
        </is>
      </c>
      <c r="D185" s="2" t="inlineStr">
        <is>
          <t>MUS-065</t>
        </is>
      </c>
      <c r="E185" s="2" t="inlineStr">
        <is>
          <t>USD</t>
        </is>
      </c>
      <c r="F185" s="5" t="n">
        <v>1</v>
      </c>
      <c r="G185" s="3" t="n">
        <v>105730.46</v>
      </c>
      <c r="H185" s="3" t="n">
        <v>105730.46</v>
      </c>
      <c r="I185" s="6" t="n">
        <v>45868</v>
      </c>
      <c r="J185" s="2" t="inlineStr">
        <is>
          <t>Gecikmeli Odendi</t>
        </is>
      </c>
      <c r="K185" s="2" t="inlineStr">
        <is>
          <t>Ihracat Istisnasi</t>
        </is>
      </c>
      <c r="L185" s="2" t="inlineStr">
        <is>
          <t>301</t>
        </is>
      </c>
    </row>
    <row r="186">
      <c r="A186" s="2" t="inlineStr">
        <is>
          <t>FTR-0185</t>
        </is>
      </c>
      <c r="B186" s="6" t="n">
        <v>45826</v>
      </c>
      <c r="C186" s="2" t="inlineStr">
        <is>
          <t>SIP-0147</t>
        </is>
      </c>
      <c r="D186" s="2" t="inlineStr">
        <is>
          <t>MUS-036</t>
        </is>
      </c>
      <c r="E186" s="2" t="inlineStr">
        <is>
          <t>USD</t>
        </is>
      </c>
      <c r="F186" s="5" t="n">
        <v>1</v>
      </c>
      <c r="G186" s="3" t="n">
        <v>17891.5</v>
      </c>
      <c r="H186" s="3" t="n">
        <v>17891.5</v>
      </c>
      <c r="I186" s="6" t="n">
        <v>45856</v>
      </c>
      <c r="J186" s="2" t="inlineStr">
        <is>
          <t>Odendi</t>
        </is>
      </c>
      <c r="K186" s="2" t="inlineStr">
        <is>
          <t>Ihracat Istisnasi</t>
        </is>
      </c>
      <c r="L186" s="2" t="inlineStr">
        <is>
          <t>301</t>
        </is>
      </c>
    </row>
    <row r="187">
      <c r="A187" s="2" t="inlineStr">
        <is>
          <t>FTR-0186</t>
        </is>
      </c>
      <c r="B187" s="6" t="n">
        <v>45827</v>
      </c>
      <c r="C187" s="2" t="inlineStr">
        <is>
          <t>SIP-0147</t>
        </is>
      </c>
      <c r="D187" s="2" t="inlineStr">
        <is>
          <t>MUS-036</t>
        </is>
      </c>
      <c r="E187" s="2" t="inlineStr">
        <is>
          <t>USD</t>
        </is>
      </c>
      <c r="F187" s="5" t="n">
        <v>1</v>
      </c>
      <c r="G187" s="3" t="n">
        <v>23612.59</v>
      </c>
      <c r="H187" s="3" t="n">
        <v>23612.59</v>
      </c>
      <c r="I187" s="6" t="n">
        <v>45857</v>
      </c>
      <c r="J187" s="2" t="inlineStr">
        <is>
          <t>Gecikmeli Odendi</t>
        </is>
      </c>
      <c r="K187" s="2" t="inlineStr">
        <is>
          <t>Ihracat Istisnasi</t>
        </is>
      </c>
      <c r="L187" s="2" t="inlineStr">
        <is>
          <t>301</t>
        </is>
      </c>
    </row>
    <row r="188">
      <c r="A188" s="2" t="inlineStr">
        <is>
          <t>FTR-0187</t>
        </is>
      </c>
      <c r="B188" s="6" t="n">
        <v>45843</v>
      </c>
      <c r="C188" s="2" t="inlineStr">
        <is>
          <t>SIP-0148</t>
        </is>
      </c>
      <c r="D188" s="2" t="inlineStr">
        <is>
          <t>MUS-006</t>
        </is>
      </c>
      <c r="E188" s="2" t="inlineStr">
        <is>
          <t>USD</t>
        </is>
      </c>
      <c r="F188" s="5" t="n">
        <v>1</v>
      </c>
      <c r="G188" s="3" t="n">
        <v>46341.85</v>
      </c>
      <c r="H188" s="3" t="n">
        <v>46341.85</v>
      </c>
      <c r="I188" s="6" t="n">
        <v>45858</v>
      </c>
      <c r="J188" s="2" t="inlineStr">
        <is>
          <t>Gecikmeli Odendi</t>
        </is>
      </c>
      <c r="K188" s="2" t="inlineStr">
        <is>
          <t>Ihracat Istisnasi</t>
        </is>
      </c>
      <c r="L188" s="2" t="inlineStr">
        <is>
          <t>301</t>
        </is>
      </c>
    </row>
    <row r="189">
      <c r="A189" s="2" t="inlineStr">
        <is>
          <t>FTR-0188</t>
        </is>
      </c>
      <c r="B189" s="6" t="n">
        <v>45828</v>
      </c>
      <c r="C189" s="2" t="inlineStr">
        <is>
          <t>SIP-0149</t>
        </is>
      </c>
      <c r="D189" s="2" t="inlineStr">
        <is>
          <t>MUS-006</t>
        </is>
      </c>
      <c r="E189" s="2" t="inlineStr">
        <is>
          <t>USD</t>
        </is>
      </c>
      <c r="F189" s="5" t="n">
        <v>1</v>
      </c>
      <c r="G189" s="3" t="n">
        <v>31601.54</v>
      </c>
      <c r="H189" s="3" t="n">
        <v>31601.54</v>
      </c>
      <c r="I189" s="6" t="n">
        <v>45843</v>
      </c>
      <c r="J189" s="2" t="inlineStr">
        <is>
          <t>Odendi</t>
        </is>
      </c>
      <c r="K189" s="2" t="inlineStr">
        <is>
          <t>Ihracat Istisnasi</t>
        </is>
      </c>
      <c r="L189" s="2" t="inlineStr">
        <is>
          <t>301</t>
        </is>
      </c>
    </row>
    <row r="190">
      <c r="A190" s="2" t="inlineStr">
        <is>
          <t>FTR-0189</t>
        </is>
      </c>
      <c r="B190" s="6" t="n">
        <v>45825</v>
      </c>
      <c r="C190" s="2" t="inlineStr">
        <is>
          <t>SIP-0150</t>
        </is>
      </c>
      <c r="D190" s="2" t="inlineStr">
        <is>
          <t>MUS-046</t>
        </is>
      </c>
      <c r="E190" s="2" t="inlineStr">
        <is>
          <t>EUR</t>
        </is>
      </c>
      <c r="F190" s="5" t="n">
        <v>1.1556</v>
      </c>
      <c r="G190" s="3" t="n">
        <v>16094.72</v>
      </c>
      <c r="H190" s="3" t="n">
        <v>18599.06</v>
      </c>
      <c r="I190" s="6" t="n">
        <v>45870</v>
      </c>
      <c r="J190" s="2" t="inlineStr">
        <is>
          <t>Gecikmeli Odendi</t>
        </is>
      </c>
      <c r="K190" s="2" t="inlineStr">
        <is>
          <t>Ihracat Istisnasi</t>
        </is>
      </c>
      <c r="L190" s="2" t="inlineStr">
        <is>
          <t>301</t>
        </is>
      </c>
    </row>
    <row r="191">
      <c r="A191" s="2" t="inlineStr">
        <is>
          <t>FTR-0190</t>
        </is>
      </c>
      <c r="B191" s="6" t="n">
        <v>45830</v>
      </c>
      <c r="C191" s="2" t="inlineStr">
        <is>
          <t>SIP-0151</t>
        </is>
      </c>
      <c r="D191" s="2" t="inlineStr">
        <is>
          <t>MUS-046</t>
        </is>
      </c>
      <c r="E191" s="2" t="inlineStr">
        <is>
          <t>EUR</t>
        </is>
      </c>
      <c r="F191" s="5" t="n">
        <v>1.1556</v>
      </c>
      <c r="G191" s="3" t="n">
        <v>19831.7</v>
      </c>
      <c r="H191" s="3" t="n">
        <v>22917.51</v>
      </c>
      <c r="I191" s="6" t="n">
        <v>45875</v>
      </c>
      <c r="J191" s="2" t="inlineStr">
        <is>
          <t>Gecikmeli Odendi</t>
        </is>
      </c>
      <c r="K191" s="2" t="inlineStr">
        <is>
          <t>Ihracat Istisnasi</t>
        </is>
      </c>
      <c r="L191" s="2" t="inlineStr">
        <is>
          <t>301</t>
        </is>
      </c>
    </row>
    <row r="192">
      <c r="A192" s="2" t="inlineStr">
        <is>
          <t>FTR-0191</t>
        </is>
      </c>
      <c r="B192" s="6" t="n">
        <v>45833</v>
      </c>
      <c r="C192" s="2" t="inlineStr">
        <is>
          <t>SIP-0152</t>
        </is>
      </c>
      <c r="D192" s="2" t="inlineStr">
        <is>
          <t>MUS-057</t>
        </is>
      </c>
      <c r="E192" s="2" t="inlineStr">
        <is>
          <t>EUR</t>
        </is>
      </c>
      <c r="F192" s="5" t="n">
        <v>1.1556</v>
      </c>
      <c r="G192" s="3" t="n">
        <v>43525.32</v>
      </c>
      <c r="H192" s="3" t="n">
        <v>50297.86</v>
      </c>
      <c r="I192" s="6" t="n">
        <v>45893</v>
      </c>
      <c r="J192" s="2" t="inlineStr">
        <is>
          <t>Gecikmeli Odendi</t>
        </is>
      </c>
      <c r="K192" s="2" t="inlineStr">
        <is>
          <t>Ihracat Istisnasi</t>
        </is>
      </c>
      <c r="L192" s="2" t="inlineStr">
        <is>
          <t>301</t>
        </is>
      </c>
    </row>
    <row r="193">
      <c r="A193" s="2" t="inlineStr">
        <is>
          <t>FTR-0192</t>
        </is>
      </c>
      <c r="B193" s="6" t="n">
        <v>45859</v>
      </c>
      <c r="C193" s="2" t="inlineStr">
        <is>
          <t>SIP-0153</t>
        </is>
      </c>
      <c r="D193" s="2" t="inlineStr">
        <is>
          <t>MUS-080</t>
        </is>
      </c>
      <c r="E193" s="2" t="inlineStr">
        <is>
          <t>USD</t>
        </is>
      </c>
      <c r="F193" s="5" t="n">
        <v>1</v>
      </c>
      <c r="G193" s="3" t="n">
        <v>39743.02</v>
      </c>
      <c r="H193" s="3" t="n">
        <v>39743.02</v>
      </c>
      <c r="I193" s="6" t="n">
        <v>45919</v>
      </c>
      <c r="J193" s="2" t="inlineStr">
        <is>
          <t>Gecikmeli Odendi</t>
        </is>
      </c>
      <c r="K193" s="2" t="inlineStr">
        <is>
          <t>Ihracat Istisnasi</t>
        </is>
      </c>
      <c r="L193" s="2" t="inlineStr">
        <is>
          <t>301</t>
        </is>
      </c>
    </row>
    <row r="194">
      <c r="A194" s="2" t="inlineStr">
        <is>
          <t>FTR-0193</t>
        </is>
      </c>
      <c r="B194" s="6" t="n">
        <v>45860</v>
      </c>
      <c r="C194" s="2" t="inlineStr">
        <is>
          <t>SIP-0153</t>
        </is>
      </c>
      <c r="D194" s="2" t="inlineStr">
        <is>
          <t>MUS-080</t>
        </is>
      </c>
      <c r="E194" s="2" t="inlineStr">
        <is>
          <t>USD</t>
        </is>
      </c>
      <c r="F194" s="5" t="n">
        <v>1</v>
      </c>
      <c r="G194" s="3" t="n">
        <v>30852.72</v>
      </c>
      <c r="H194" s="3" t="n">
        <v>30852.72</v>
      </c>
      <c r="I194" s="6" t="n">
        <v>45920</v>
      </c>
      <c r="J194" s="2" t="inlineStr">
        <is>
          <t>Odendi</t>
        </is>
      </c>
      <c r="K194" s="2" t="inlineStr">
        <is>
          <t>Ihracat Istisnasi</t>
        </is>
      </c>
      <c r="L194" s="2" t="inlineStr">
        <is>
          <t>301</t>
        </is>
      </c>
    </row>
    <row r="195">
      <c r="A195" s="2" t="inlineStr">
        <is>
          <t>FTR-0194</t>
        </is>
      </c>
      <c r="B195" s="6" t="n">
        <v>45871</v>
      </c>
      <c r="C195" s="2" t="inlineStr">
        <is>
          <t>SIP-0154</t>
        </is>
      </c>
      <c r="D195" s="2" t="inlineStr">
        <is>
          <t>MUS-016</t>
        </is>
      </c>
      <c r="E195" s="2" t="inlineStr">
        <is>
          <t>EUR</t>
        </is>
      </c>
      <c r="F195" s="5" t="n">
        <v>1.1588</v>
      </c>
      <c r="G195" s="3" t="n">
        <v>25667.26</v>
      </c>
      <c r="H195" s="3" t="n">
        <v>29743.22</v>
      </c>
      <c r="I195" s="6" t="n">
        <v>45916</v>
      </c>
      <c r="J195" s="2" t="inlineStr">
        <is>
          <t>Odendi</t>
        </is>
      </c>
      <c r="K195" s="2" t="inlineStr">
        <is>
          <t>Ihracat Istisnasi</t>
        </is>
      </c>
      <c r="L195" s="2" t="inlineStr">
        <is>
          <t>301</t>
        </is>
      </c>
    </row>
    <row r="196">
      <c r="A196" s="2" t="inlineStr">
        <is>
          <t>FTR-0195</t>
        </is>
      </c>
      <c r="B196" s="6" t="n">
        <v>45879</v>
      </c>
      <c r="C196" s="2" t="inlineStr">
        <is>
          <t>SIP-0155</t>
        </is>
      </c>
      <c r="D196" s="2" t="inlineStr">
        <is>
          <t>MUS-008</t>
        </is>
      </c>
      <c r="E196" s="2" t="inlineStr">
        <is>
          <t>USD</t>
        </is>
      </c>
      <c r="F196" s="5" t="n">
        <v>1</v>
      </c>
      <c r="G196" s="3" t="n">
        <v>19940.84</v>
      </c>
      <c r="H196" s="3" t="n">
        <v>19940.84</v>
      </c>
      <c r="I196" s="6" t="n">
        <v>45939</v>
      </c>
      <c r="J196" s="2" t="inlineStr">
        <is>
          <t>Acik</t>
        </is>
      </c>
      <c r="K196" s="2" t="inlineStr">
        <is>
          <t>Ihracat Istisnasi</t>
        </is>
      </c>
      <c r="L196" s="2" t="inlineStr">
        <is>
          <t>301</t>
        </is>
      </c>
    </row>
    <row r="197">
      <c r="A197" s="2" t="inlineStr">
        <is>
          <t>FTR-0196</t>
        </is>
      </c>
      <c r="B197" s="6" t="n">
        <v>45855</v>
      </c>
      <c r="C197" s="2" t="inlineStr">
        <is>
          <t>SIP-0156</t>
        </is>
      </c>
      <c r="D197" s="2" t="inlineStr">
        <is>
          <t>MUS-027</t>
        </is>
      </c>
      <c r="E197" s="2" t="inlineStr">
        <is>
          <t>USD</t>
        </is>
      </c>
      <c r="F197" s="5" t="n">
        <v>1</v>
      </c>
      <c r="G197" s="3" t="n">
        <v>13406.71</v>
      </c>
      <c r="H197" s="3" t="n">
        <v>13406.71</v>
      </c>
      <c r="I197" s="6" t="n">
        <v>45900</v>
      </c>
      <c r="J197" s="2" t="inlineStr">
        <is>
          <t>Odendi</t>
        </is>
      </c>
      <c r="K197" s="2" t="inlineStr">
        <is>
          <t>Ihracat Istisnasi</t>
        </is>
      </c>
      <c r="L197" s="2" t="inlineStr">
        <is>
          <t>301</t>
        </is>
      </c>
    </row>
    <row r="198">
      <c r="A198" s="2" t="inlineStr">
        <is>
          <t>FTR-0197</t>
        </is>
      </c>
      <c r="B198" s="6" t="n">
        <v>45856</v>
      </c>
      <c r="C198" s="2" t="inlineStr">
        <is>
          <t>SIP-0156</t>
        </is>
      </c>
      <c r="D198" s="2" t="inlineStr">
        <is>
          <t>MUS-027</t>
        </is>
      </c>
      <c r="E198" s="2" t="inlineStr">
        <is>
          <t>USD</t>
        </is>
      </c>
      <c r="F198" s="5" t="n">
        <v>1</v>
      </c>
      <c r="G198" s="3" t="n">
        <v>11447.08</v>
      </c>
      <c r="H198" s="3" t="n">
        <v>11447.08</v>
      </c>
      <c r="I198" s="6" t="n">
        <v>45901</v>
      </c>
      <c r="J198" s="2" t="inlineStr">
        <is>
          <t>Odendi</t>
        </is>
      </c>
      <c r="K198" s="2" t="inlineStr">
        <is>
          <t>Ihracat Istisnasi</t>
        </is>
      </c>
      <c r="L198" s="2" t="inlineStr">
        <is>
          <t>301</t>
        </is>
      </c>
    </row>
    <row r="199">
      <c r="A199" s="2" t="inlineStr">
        <is>
          <t>FTR-0198</t>
        </is>
      </c>
      <c r="B199" s="6" t="n">
        <v>45863</v>
      </c>
      <c r="C199" s="2" t="inlineStr">
        <is>
          <t>SIP-0157</t>
        </is>
      </c>
      <c r="D199" s="2" t="inlineStr">
        <is>
          <t>MUS-066</t>
        </is>
      </c>
      <c r="E199" s="2" t="inlineStr">
        <is>
          <t>USD</t>
        </is>
      </c>
      <c r="F199" s="5" t="n">
        <v>1</v>
      </c>
      <c r="G199" s="3" t="n">
        <v>11625.37</v>
      </c>
      <c r="H199" s="3" t="n">
        <v>11625.37</v>
      </c>
      <c r="I199" s="6" t="n">
        <v>45893</v>
      </c>
      <c r="J199" s="2" t="inlineStr">
        <is>
          <t>Gecikmeli Odendi</t>
        </is>
      </c>
      <c r="K199" s="2" t="inlineStr">
        <is>
          <t>Ihracat Istisnasi</t>
        </is>
      </c>
      <c r="L199" s="2" t="inlineStr">
        <is>
          <t>301</t>
        </is>
      </c>
    </row>
    <row r="200">
      <c r="A200" s="2" t="inlineStr">
        <is>
          <t>FTR-0199</t>
        </is>
      </c>
      <c r="B200" s="6" t="n">
        <v>45884</v>
      </c>
      <c r="C200" s="2" t="inlineStr">
        <is>
          <t>SIP-0158</t>
        </is>
      </c>
      <c r="D200" s="2" t="inlineStr">
        <is>
          <t>MUS-079</t>
        </is>
      </c>
      <c r="E200" s="2" t="inlineStr">
        <is>
          <t>USD</t>
        </is>
      </c>
      <c r="F200" s="5" t="n">
        <v>1</v>
      </c>
      <c r="G200" s="3" t="n">
        <v>121152.77</v>
      </c>
      <c r="H200" s="3" t="n">
        <v>121152.77</v>
      </c>
      <c r="I200" s="6" t="n">
        <v>45929</v>
      </c>
      <c r="J200" s="2" t="inlineStr">
        <is>
          <t>Odendi</t>
        </is>
      </c>
      <c r="K200" s="2" t="inlineStr">
        <is>
          <t>Ihracat Istisnasi</t>
        </is>
      </c>
      <c r="L200" s="2" t="inlineStr">
        <is>
          <t>301</t>
        </is>
      </c>
    </row>
    <row r="201">
      <c r="A201" s="2" t="inlineStr">
        <is>
          <t>FTR-0200</t>
        </is>
      </c>
      <c r="B201" s="6" t="n">
        <v>45870</v>
      </c>
      <c r="C201" s="2" t="inlineStr">
        <is>
          <t>SIP-0159</t>
        </is>
      </c>
      <c r="D201" s="2" t="inlineStr">
        <is>
          <t>MUS-033</t>
        </is>
      </c>
      <c r="E201" s="2" t="inlineStr">
        <is>
          <t>USD</t>
        </is>
      </c>
      <c r="F201" s="5" t="n">
        <v>1</v>
      </c>
      <c r="G201" s="3" t="n">
        <v>71265.27</v>
      </c>
      <c r="H201" s="3" t="n">
        <v>71265.27</v>
      </c>
      <c r="I201" s="6" t="n">
        <v>45900</v>
      </c>
      <c r="J201" s="2" t="inlineStr">
        <is>
          <t>Gecikmeli Odendi</t>
        </is>
      </c>
      <c r="K201" s="2" t="inlineStr">
        <is>
          <t>Ihracat Istisnasi</t>
        </is>
      </c>
      <c r="L201" s="2" t="inlineStr">
        <is>
          <t>301</t>
        </is>
      </c>
    </row>
    <row r="202">
      <c r="A202" s="2" t="inlineStr">
        <is>
          <t>FTR-0201</t>
        </is>
      </c>
      <c r="B202" s="6" t="n">
        <v>45853</v>
      </c>
      <c r="C202" s="2" t="inlineStr">
        <is>
          <t>SIP-0160</t>
        </is>
      </c>
      <c r="D202" s="2" t="inlineStr">
        <is>
          <t>MUS-015</t>
        </is>
      </c>
      <c r="E202" s="2" t="inlineStr">
        <is>
          <t>EUR</t>
        </is>
      </c>
      <c r="F202" s="5" t="n">
        <v>1.1588</v>
      </c>
      <c r="G202" s="3" t="n">
        <v>8316.040000000001</v>
      </c>
      <c r="H202" s="3" t="n">
        <v>9636.629999999999</v>
      </c>
      <c r="I202" s="6" t="n">
        <v>45898</v>
      </c>
      <c r="J202" s="2" t="inlineStr">
        <is>
          <t>Gecikmeli Odendi</t>
        </is>
      </c>
      <c r="K202" s="2" t="inlineStr">
        <is>
          <t>Ihracat Istisnasi</t>
        </is>
      </c>
      <c r="L202" s="2" t="inlineStr">
        <is>
          <t>301</t>
        </is>
      </c>
    </row>
    <row r="203">
      <c r="A203" s="2" t="inlineStr">
        <is>
          <t>FTR-0202</t>
        </is>
      </c>
      <c r="B203" s="6" t="n">
        <v>45854</v>
      </c>
      <c r="C203" s="2" t="inlineStr">
        <is>
          <t>SIP-0160</t>
        </is>
      </c>
      <c r="D203" s="2" t="inlineStr">
        <is>
          <t>MUS-015</t>
        </is>
      </c>
      <c r="E203" s="2" t="inlineStr">
        <is>
          <t>EUR</t>
        </is>
      </c>
      <c r="F203" s="5" t="n">
        <v>1.1588</v>
      </c>
      <c r="G203" s="3" t="n">
        <v>9783.41</v>
      </c>
      <c r="H203" s="3" t="n">
        <v>11337.02</v>
      </c>
      <c r="I203" s="6" t="n">
        <v>45899</v>
      </c>
      <c r="J203" s="2" t="inlineStr">
        <is>
          <t>Gecikmeli Odendi</t>
        </is>
      </c>
      <c r="K203" s="2" t="inlineStr">
        <is>
          <t>Ihracat Istisnasi</t>
        </is>
      </c>
      <c r="L203" s="2" t="inlineStr">
        <is>
          <t>301</t>
        </is>
      </c>
    </row>
    <row r="204">
      <c r="A204" s="2" t="inlineStr">
        <is>
          <t>FTR-0203</t>
        </is>
      </c>
      <c r="B204" s="6" t="n">
        <v>45857</v>
      </c>
      <c r="C204" s="2" t="inlineStr">
        <is>
          <t>SIP-0161</t>
        </is>
      </c>
      <c r="D204" s="2" t="inlineStr">
        <is>
          <t>MUS-041</t>
        </is>
      </c>
      <c r="E204" s="2" t="inlineStr">
        <is>
          <t>EUR</t>
        </is>
      </c>
      <c r="F204" s="5" t="n">
        <v>1.1588</v>
      </c>
      <c r="G204" s="3" t="n">
        <v>19364.52</v>
      </c>
      <c r="H204" s="3" t="n">
        <v>22439.61</v>
      </c>
      <c r="I204" s="6" t="n">
        <v>45872</v>
      </c>
      <c r="J204" s="2" t="inlineStr">
        <is>
          <t>Gecikmeli Odendi</t>
        </is>
      </c>
      <c r="K204" s="2" t="inlineStr">
        <is>
          <t>Ihracat Istisnasi</t>
        </is>
      </c>
      <c r="L204" s="2" t="inlineStr">
        <is>
          <t>301</t>
        </is>
      </c>
    </row>
    <row r="205">
      <c r="A205" s="2" t="inlineStr">
        <is>
          <t>FTR-0204</t>
        </is>
      </c>
      <c r="B205" s="6" t="n">
        <v>45865</v>
      </c>
      <c r="C205" s="2" t="inlineStr">
        <is>
          <t>SIP-0162</t>
        </is>
      </c>
      <c r="D205" s="2" t="inlineStr">
        <is>
          <t>MUS-077</t>
        </is>
      </c>
      <c r="E205" s="2" t="inlineStr">
        <is>
          <t>EUR</t>
        </is>
      </c>
      <c r="F205" s="5" t="n">
        <v>1.1588</v>
      </c>
      <c r="G205" s="3" t="n">
        <v>16935.11</v>
      </c>
      <c r="H205" s="3" t="n">
        <v>19624.41</v>
      </c>
      <c r="I205" s="6" t="n">
        <v>45910</v>
      </c>
      <c r="J205" s="2" t="inlineStr">
        <is>
          <t>Odendi</t>
        </is>
      </c>
      <c r="K205" s="2" t="inlineStr">
        <is>
          <t>Ihracat Istisnasi</t>
        </is>
      </c>
      <c r="L205" s="2" t="inlineStr">
        <is>
          <t>301</t>
        </is>
      </c>
    </row>
    <row r="206">
      <c r="A206" s="2" t="inlineStr">
        <is>
          <t>FTR-0205</t>
        </is>
      </c>
      <c r="B206" s="6" t="n">
        <v>45902</v>
      </c>
      <c r="C206" s="2" t="inlineStr">
        <is>
          <t>SIP-0163</t>
        </is>
      </c>
      <c r="D206" s="2" t="inlineStr">
        <is>
          <t>MUS-078</t>
        </is>
      </c>
      <c r="E206" s="2" t="inlineStr">
        <is>
          <t>EUR</t>
        </is>
      </c>
      <c r="F206" s="5" t="n">
        <v>1.1299</v>
      </c>
      <c r="G206" s="3" t="n">
        <v>14417.83</v>
      </c>
      <c r="H206" s="3" t="n">
        <v>16290.71</v>
      </c>
      <c r="I206" s="6" t="n">
        <v>45962</v>
      </c>
      <c r="J206" s="2" t="inlineStr">
        <is>
          <t>Gecikmeli Odendi</t>
        </is>
      </c>
      <c r="K206" s="2" t="inlineStr">
        <is>
          <t>Ihracat Istisnasi</t>
        </is>
      </c>
      <c r="L206" s="2" t="inlineStr">
        <is>
          <t>301</t>
        </is>
      </c>
    </row>
    <row r="207">
      <c r="A207" s="2" t="inlineStr">
        <is>
          <t>FTR-0206</t>
        </is>
      </c>
      <c r="B207" s="6" t="n">
        <v>45856</v>
      </c>
      <c r="C207" s="2" t="inlineStr">
        <is>
          <t>SIP-0164</t>
        </is>
      </c>
      <c r="D207" s="2" t="inlineStr">
        <is>
          <t>MUS-071</t>
        </is>
      </c>
      <c r="E207" s="2" t="inlineStr">
        <is>
          <t>USD</t>
        </is>
      </c>
      <c r="F207" s="5" t="n">
        <v>1</v>
      </c>
      <c r="G207" s="3" t="n">
        <v>22525.92</v>
      </c>
      <c r="H207" s="3" t="n">
        <v>22525.92</v>
      </c>
      <c r="I207" s="6" t="n">
        <v>45916</v>
      </c>
      <c r="J207" s="2" t="inlineStr">
        <is>
          <t>Acik</t>
        </is>
      </c>
      <c r="K207" s="2" t="inlineStr">
        <is>
          <t>Ihracat Istisnasi</t>
        </is>
      </c>
      <c r="L207" s="2" t="inlineStr">
        <is>
          <t>301</t>
        </is>
      </c>
    </row>
    <row r="208">
      <c r="A208" s="2" t="inlineStr">
        <is>
          <t>FTR-0207</t>
        </is>
      </c>
      <c r="B208" s="6" t="n">
        <v>45888</v>
      </c>
      <c r="C208" s="2" t="inlineStr">
        <is>
          <t>SIP-0165</t>
        </is>
      </c>
      <c r="D208" s="2" t="inlineStr">
        <is>
          <t>MUS-052</t>
        </is>
      </c>
      <c r="E208" s="2" t="inlineStr">
        <is>
          <t>USD</t>
        </is>
      </c>
      <c r="F208" s="5" t="n">
        <v>1</v>
      </c>
      <c r="G208" s="3" t="n">
        <v>56845.82</v>
      </c>
      <c r="H208" s="3" t="n">
        <v>56845.82</v>
      </c>
      <c r="I208" s="6" t="n">
        <v>45933</v>
      </c>
      <c r="J208" s="2" t="inlineStr">
        <is>
          <t>Acik</t>
        </is>
      </c>
      <c r="K208" s="2" t="inlineStr">
        <is>
          <t>Ihracat Istisnasi</t>
        </is>
      </c>
      <c r="L208" s="2" t="inlineStr">
        <is>
          <t>301</t>
        </is>
      </c>
    </row>
    <row r="209">
      <c r="A209" s="2" t="inlineStr">
        <is>
          <t>FTR-0208</t>
        </is>
      </c>
      <c r="B209" s="6" t="n">
        <v>45902</v>
      </c>
      <c r="C209" s="2" t="inlineStr">
        <is>
          <t>SIP-0166</t>
        </is>
      </c>
      <c r="D209" s="2" t="inlineStr">
        <is>
          <t>MUS-076</t>
        </is>
      </c>
      <c r="E209" s="2" t="inlineStr">
        <is>
          <t>EUR</t>
        </is>
      </c>
      <c r="F209" s="5" t="n">
        <v>1.1299</v>
      </c>
      <c r="G209" s="3" t="n">
        <v>40430.85</v>
      </c>
      <c r="H209" s="3" t="n">
        <v>45682.82</v>
      </c>
      <c r="I209" s="6" t="n">
        <v>45917</v>
      </c>
      <c r="J209" s="2" t="inlineStr">
        <is>
          <t>Odendi</t>
        </is>
      </c>
      <c r="K209" s="2" t="inlineStr">
        <is>
          <t>Ihracat Istisnasi</t>
        </is>
      </c>
      <c r="L209" s="2" t="inlineStr">
        <is>
          <t>301</t>
        </is>
      </c>
    </row>
    <row r="210">
      <c r="A210" s="2" t="inlineStr">
        <is>
          <t>FTR-0209</t>
        </is>
      </c>
      <c r="B210" s="6" t="n">
        <v>45918</v>
      </c>
      <c r="C210" s="2" t="inlineStr">
        <is>
          <t>SIP-0167</t>
        </is>
      </c>
      <c r="D210" s="2" t="inlineStr">
        <is>
          <t>MUS-066</t>
        </is>
      </c>
      <c r="E210" s="2" t="inlineStr">
        <is>
          <t>USD</t>
        </is>
      </c>
      <c r="F210" s="5" t="n">
        <v>1</v>
      </c>
      <c r="G210" s="3" t="n">
        <v>31185.46</v>
      </c>
      <c r="H210" s="3" t="n">
        <v>31185.46</v>
      </c>
      <c r="I210" s="6" t="n">
        <v>45948</v>
      </c>
      <c r="J210" s="2" t="inlineStr">
        <is>
          <t>Odendi</t>
        </is>
      </c>
      <c r="K210" s="2" t="inlineStr">
        <is>
          <t>Ihracat Istisnasi</t>
        </is>
      </c>
      <c r="L210" s="2" t="inlineStr">
        <is>
          <t>301</t>
        </is>
      </c>
    </row>
    <row r="211">
      <c r="A211" s="2" t="inlineStr">
        <is>
          <t>FTR-0210</t>
        </is>
      </c>
      <c r="B211" s="6" t="n">
        <v>45931</v>
      </c>
      <c r="C211" s="2" t="inlineStr">
        <is>
          <t>SIP-0168</t>
        </is>
      </c>
      <c r="D211" s="2" t="inlineStr">
        <is>
          <t>MUS-061</t>
        </is>
      </c>
      <c r="E211" s="2" t="inlineStr">
        <is>
          <t>USD</t>
        </is>
      </c>
      <c r="F211" s="5" t="n">
        <v>1</v>
      </c>
      <c r="G211" s="3" t="n">
        <v>26873.41</v>
      </c>
      <c r="H211" s="3" t="n">
        <v>26873.41</v>
      </c>
      <c r="I211" s="6" t="n">
        <v>45991</v>
      </c>
      <c r="J211" s="2" t="inlineStr">
        <is>
          <t>Gecikmeli Odendi</t>
        </is>
      </c>
      <c r="K211" s="2" t="inlineStr">
        <is>
          <t>Ihracat Istisnasi</t>
        </is>
      </c>
      <c r="L211" s="2" t="inlineStr">
        <is>
          <t>301</t>
        </is>
      </c>
    </row>
    <row r="212">
      <c r="A212" s="2" t="inlineStr">
        <is>
          <t>FTR-0211</t>
        </is>
      </c>
      <c r="B212" s="6" t="n">
        <v>45932</v>
      </c>
      <c r="C212" s="2" t="inlineStr">
        <is>
          <t>SIP-0168</t>
        </is>
      </c>
      <c r="D212" s="2" t="inlineStr">
        <is>
          <t>MUS-061</t>
        </is>
      </c>
      <c r="E212" s="2" t="inlineStr">
        <is>
          <t>USD</t>
        </is>
      </c>
      <c r="F212" s="5" t="n">
        <v>1</v>
      </c>
      <c r="G212" s="3" t="n">
        <v>26353.35</v>
      </c>
      <c r="H212" s="3" t="n">
        <v>26353.35</v>
      </c>
      <c r="I212" s="6" t="n">
        <v>45992</v>
      </c>
      <c r="J212" s="2" t="inlineStr">
        <is>
          <t>Acik</t>
        </is>
      </c>
      <c r="K212" s="2" t="inlineStr">
        <is>
          <t>Ihracat Istisnasi</t>
        </is>
      </c>
      <c r="L212" s="2" t="inlineStr">
        <is>
          <t>301</t>
        </is>
      </c>
    </row>
    <row r="213">
      <c r="A213" s="2" t="inlineStr">
        <is>
          <t>FTR-0212</t>
        </is>
      </c>
      <c r="B213" s="6" t="n">
        <v>45924</v>
      </c>
      <c r="C213" s="2" t="inlineStr">
        <is>
          <t>SIP-0169</t>
        </is>
      </c>
      <c r="D213" s="2" t="inlineStr">
        <is>
          <t>MUS-066</t>
        </is>
      </c>
      <c r="E213" s="2" t="inlineStr">
        <is>
          <t>USD</t>
        </is>
      </c>
      <c r="F213" s="5" t="n">
        <v>1</v>
      </c>
      <c r="G213" s="3" t="n">
        <v>37281.94</v>
      </c>
      <c r="H213" s="3" t="n">
        <v>37281.94</v>
      </c>
      <c r="I213" s="6" t="n">
        <v>45954</v>
      </c>
      <c r="J213" s="2" t="inlineStr">
        <is>
          <t>Gecikmeli Odendi</t>
        </is>
      </c>
      <c r="K213" s="2" t="inlineStr">
        <is>
          <t>Ihracat Istisnasi</t>
        </is>
      </c>
      <c r="L213" s="2" t="inlineStr">
        <is>
          <t>301</t>
        </is>
      </c>
    </row>
    <row r="214">
      <c r="A214" s="2" t="inlineStr">
        <is>
          <t>FTR-0213</t>
        </is>
      </c>
      <c r="B214" s="6" t="n">
        <v>45911</v>
      </c>
      <c r="C214" s="2" t="inlineStr">
        <is>
          <t>SIP-0170</t>
        </is>
      </c>
      <c r="D214" s="2" t="inlineStr">
        <is>
          <t>MUS-067</t>
        </is>
      </c>
      <c r="E214" s="2" t="inlineStr">
        <is>
          <t>USD</t>
        </is>
      </c>
      <c r="F214" s="5" t="n">
        <v>1</v>
      </c>
      <c r="G214" s="3" t="n">
        <v>85607.83</v>
      </c>
      <c r="H214" s="3" t="n">
        <v>85607.83</v>
      </c>
      <c r="I214" s="6" t="n">
        <v>45941</v>
      </c>
      <c r="J214" s="2" t="inlineStr">
        <is>
          <t>Odendi</t>
        </is>
      </c>
      <c r="K214" s="2" t="inlineStr">
        <is>
          <t>Ihracat Istisnasi</t>
        </is>
      </c>
      <c r="L214" s="2" t="inlineStr">
        <is>
          <t>301</t>
        </is>
      </c>
    </row>
    <row r="215">
      <c r="A215" s="2" t="inlineStr">
        <is>
          <t>FTR-0214</t>
        </is>
      </c>
      <c r="B215" s="6" t="n">
        <v>45905</v>
      </c>
      <c r="C215" s="2" t="inlineStr">
        <is>
          <t>SIP-0171</t>
        </is>
      </c>
      <c r="D215" s="2" t="inlineStr">
        <is>
          <t>MUS-043</t>
        </is>
      </c>
      <c r="E215" s="2" t="inlineStr">
        <is>
          <t>EUR</t>
        </is>
      </c>
      <c r="F215" s="5" t="n">
        <v>1.1299</v>
      </c>
      <c r="G215" s="3" t="n">
        <v>63291.88</v>
      </c>
      <c r="H215" s="3" t="n">
        <v>71513.49000000001</v>
      </c>
      <c r="I215" s="6" t="n">
        <v>45995</v>
      </c>
      <c r="J215" s="2" t="inlineStr">
        <is>
          <t>Odendi</t>
        </is>
      </c>
      <c r="K215" s="2" t="inlineStr">
        <is>
          <t>Ihracat Istisnasi</t>
        </is>
      </c>
      <c r="L215" s="2" t="inlineStr">
        <is>
          <t>301</t>
        </is>
      </c>
    </row>
    <row r="216">
      <c r="A216" s="2" t="inlineStr">
        <is>
          <t>FTR-0215</t>
        </is>
      </c>
      <c r="B216" s="6" t="n">
        <v>45933</v>
      </c>
      <c r="C216" s="2" t="inlineStr">
        <is>
          <t>SIP-0172</t>
        </is>
      </c>
      <c r="D216" s="2" t="inlineStr">
        <is>
          <t>MUS-063</t>
        </is>
      </c>
      <c r="E216" s="2" t="inlineStr">
        <is>
          <t>EUR</t>
        </is>
      </c>
      <c r="F216" s="5" t="n">
        <v>1.137</v>
      </c>
      <c r="G216" s="3" t="n">
        <v>16190.39</v>
      </c>
      <c r="H216" s="3" t="n">
        <v>18408.47</v>
      </c>
      <c r="I216" s="6" t="n">
        <v>46023</v>
      </c>
      <c r="J216" s="2" t="inlineStr">
        <is>
          <t>Gecikmeli Odendi</t>
        </is>
      </c>
      <c r="K216" s="2" t="inlineStr">
        <is>
          <t>Ihracat Istisnasi</t>
        </is>
      </c>
      <c r="L216" s="2" t="inlineStr">
        <is>
          <t>301</t>
        </is>
      </c>
    </row>
    <row r="217">
      <c r="A217" s="2" t="inlineStr">
        <is>
          <t>FTR-0216</t>
        </is>
      </c>
      <c r="B217" s="6" t="n">
        <v>45934</v>
      </c>
      <c r="C217" s="2" t="inlineStr">
        <is>
          <t>SIP-0172</t>
        </is>
      </c>
      <c r="D217" s="2" t="inlineStr">
        <is>
          <t>MUS-063</t>
        </is>
      </c>
      <c r="E217" s="2" t="inlineStr">
        <is>
          <t>EUR</t>
        </is>
      </c>
      <c r="F217" s="5" t="n">
        <v>1.137</v>
      </c>
      <c r="G217" s="3" t="n">
        <v>15692.83</v>
      </c>
      <c r="H217" s="3" t="n">
        <v>17842.75</v>
      </c>
      <c r="I217" s="6" t="n">
        <v>46024</v>
      </c>
      <c r="J217" s="2" t="inlineStr">
        <is>
          <t>Acik</t>
        </is>
      </c>
      <c r="K217" s="2" t="inlineStr">
        <is>
          <t>Ihracat Istisnasi</t>
        </is>
      </c>
      <c r="L217" s="2" t="inlineStr">
        <is>
          <t>301</t>
        </is>
      </c>
    </row>
    <row r="218">
      <c r="A218" s="2" t="inlineStr">
        <is>
          <t>FTR-0217</t>
        </is>
      </c>
      <c r="B218" s="6" t="n">
        <v>45908</v>
      </c>
      <c r="C218" s="2" t="inlineStr">
        <is>
          <t>SIP-0173</t>
        </is>
      </c>
      <c r="D218" s="2" t="inlineStr">
        <is>
          <t>MUS-028</t>
        </is>
      </c>
      <c r="E218" s="2" t="inlineStr">
        <is>
          <t>EUR</t>
        </is>
      </c>
      <c r="F218" s="5" t="n">
        <v>1.137</v>
      </c>
      <c r="G218" s="3" t="n">
        <v>13483.35</v>
      </c>
      <c r="H218" s="3" t="n">
        <v>15330.57</v>
      </c>
      <c r="I218" s="6" t="n">
        <v>45938</v>
      </c>
      <c r="J218" s="2" t="inlineStr">
        <is>
          <t>Odendi</t>
        </is>
      </c>
      <c r="K218" s="2" t="inlineStr">
        <is>
          <t>Ihracat Istisnasi</t>
        </is>
      </c>
      <c r="L218" s="2" t="inlineStr">
        <is>
          <t>301</t>
        </is>
      </c>
    </row>
    <row r="219">
      <c r="A219" s="2" t="inlineStr">
        <is>
          <t>FTR-0218</t>
        </is>
      </c>
      <c r="B219" s="6" t="n">
        <v>45927</v>
      </c>
      <c r="C219" s="2" t="inlineStr">
        <is>
          <t>SIP-0174</t>
        </is>
      </c>
      <c r="D219" s="2" t="inlineStr">
        <is>
          <t>MUS-022</t>
        </is>
      </c>
      <c r="E219" s="2" t="inlineStr">
        <is>
          <t>EUR</t>
        </is>
      </c>
      <c r="F219" s="5" t="n">
        <v>1.137</v>
      </c>
      <c r="G219" s="3" t="n">
        <v>42210.11</v>
      </c>
      <c r="H219" s="3" t="n">
        <v>47992.89</v>
      </c>
      <c r="I219" s="6" t="n">
        <v>46017</v>
      </c>
      <c r="J219" s="2" t="inlineStr">
        <is>
          <t>Gecikmeli Odendi</t>
        </is>
      </c>
      <c r="K219" s="2" t="inlineStr">
        <is>
          <t>Ihracat Istisnasi</t>
        </is>
      </c>
      <c r="L219" s="2" t="inlineStr">
        <is>
          <t>301</t>
        </is>
      </c>
    </row>
    <row r="220">
      <c r="A220" s="2" t="inlineStr">
        <is>
          <t>FTR-0219</t>
        </is>
      </c>
      <c r="B220" s="6" t="n">
        <v>45907</v>
      </c>
      <c r="C220" s="2" t="inlineStr">
        <is>
          <t>SIP-0175</t>
        </is>
      </c>
      <c r="D220" s="2" t="inlineStr">
        <is>
          <t>MUS-061</t>
        </is>
      </c>
      <c r="E220" s="2" t="inlineStr">
        <is>
          <t>USD</t>
        </is>
      </c>
      <c r="F220" s="5" t="n">
        <v>1</v>
      </c>
      <c r="G220" s="3" t="n">
        <v>15753.55</v>
      </c>
      <c r="H220" s="3" t="n">
        <v>15753.55</v>
      </c>
      <c r="I220" s="6" t="n">
        <v>45967</v>
      </c>
      <c r="J220" s="2" t="inlineStr">
        <is>
          <t>Acik</t>
        </is>
      </c>
      <c r="K220" s="2" t="inlineStr">
        <is>
          <t>Ihracat Istisnasi</t>
        </is>
      </c>
      <c r="L220" s="2" t="inlineStr">
        <is>
          <t>301</t>
        </is>
      </c>
    </row>
    <row r="221">
      <c r="A221" s="2" t="inlineStr">
        <is>
          <t>FTR-0220</t>
        </is>
      </c>
      <c r="B221" s="6" t="n">
        <v>45908</v>
      </c>
      <c r="C221" s="2" t="inlineStr">
        <is>
          <t>SIP-0175</t>
        </is>
      </c>
      <c r="D221" s="2" t="inlineStr">
        <is>
          <t>MUS-061</t>
        </is>
      </c>
      <c r="E221" s="2" t="inlineStr">
        <is>
          <t>USD</t>
        </is>
      </c>
      <c r="F221" s="5" t="n">
        <v>1</v>
      </c>
      <c r="G221" s="3" t="n">
        <v>17623.15</v>
      </c>
      <c r="H221" s="3" t="n">
        <v>17623.15</v>
      </c>
      <c r="I221" s="6" t="n">
        <v>45968</v>
      </c>
      <c r="J221" s="2" t="inlineStr">
        <is>
          <t>Odendi</t>
        </is>
      </c>
      <c r="K221" s="2" t="inlineStr">
        <is>
          <t>Ihracat Istisnasi</t>
        </is>
      </c>
      <c r="L221" s="2" t="inlineStr">
        <is>
          <t>301</t>
        </is>
      </c>
    </row>
    <row r="222">
      <c r="A222" s="2" t="inlineStr">
        <is>
          <t>FTR-0221</t>
        </is>
      </c>
      <c r="B222" s="6" t="n">
        <v>45903</v>
      </c>
      <c r="C222" s="2" t="inlineStr">
        <is>
          <t>SIP-0176</t>
        </is>
      </c>
      <c r="D222" s="2" t="inlineStr">
        <is>
          <t>MUS-068</t>
        </is>
      </c>
      <c r="E222" s="2" t="inlineStr">
        <is>
          <t>EUR</t>
        </is>
      </c>
      <c r="F222" s="5" t="n">
        <v>1.137</v>
      </c>
      <c r="G222" s="3" t="n">
        <v>40551.97</v>
      </c>
      <c r="H222" s="3" t="n">
        <v>46107.59</v>
      </c>
      <c r="I222" s="6" t="n">
        <v>45918</v>
      </c>
      <c r="J222" s="2" t="inlineStr">
        <is>
          <t>Gecikmeli Odendi</t>
        </is>
      </c>
      <c r="K222" s="2" t="inlineStr">
        <is>
          <t>Ihracat Istisnasi</t>
        </is>
      </c>
      <c r="L222" s="2" t="inlineStr">
        <is>
          <t>301</t>
        </is>
      </c>
    </row>
    <row r="223">
      <c r="A223" s="2" t="inlineStr">
        <is>
          <t>FTR-0222</t>
        </is>
      </c>
      <c r="B223" s="6" t="n">
        <v>45916</v>
      </c>
      <c r="C223" s="2" t="inlineStr">
        <is>
          <t>SIP-0177</t>
        </is>
      </c>
      <c r="D223" s="2" t="inlineStr">
        <is>
          <t>MUS-023</t>
        </is>
      </c>
      <c r="E223" s="2" t="inlineStr">
        <is>
          <t>USD</t>
        </is>
      </c>
      <c r="F223" s="5" t="n">
        <v>1</v>
      </c>
      <c r="G223" s="3" t="n">
        <v>24016.57</v>
      </c>
      <c r="H223" s="3" t="n">
        <v>24016.57</v>
      </c>
      <c r="I223" s="6" t="n">
        <v>45946</v>
      </c>
      <c r="J223" s="2" t="inlineStr">
        <is>
          <t>Gecikmeli Odendi</t>
        </is>
      </c>
      <c r="K223" s="2" t="inlineStr">
        <is>
          <t>Ihracat Istisnasi</t>
        </is>
      </c>
      <c r="L223" s="2" t="inlineStr">
        <is>
          <t>301</t>
        </is>
      </c>
    </row>
    <row r="224">
      <c r="A224" s="2" t="inlineStr">
        <is>
          <t>FTR-0223</t>
        </is>
      </c>
      <c r="B224" s="6" t="n">
        <v>45912</v>
      </c>
      <c r="C224" s="2" t="inlineStr">
        <is>
          <t>SIP-0178</t>
        </is>
      </c>
      <c r="D224" s="2" t="inlineStr">
        <is>
          <t>MUS-082</t>
        </is>
      </c>
      <c r="E224" s="2" t="inlineStr">
        <is>
          <t>EUR</t>
        </is>
      </c>
      <c r="F224" s="5" t="n">
        <v>1.137</v>
      </c>
      <c r="G224" s="3" t="n">
        <v>34826.36</v>
      </c>
      <c r="H224" s="3" t="n">
        <v>39597.57</v>
      </c>
      <c r="I224" s="6" t="n">
        <v>45957</v>
      </c>
      <c r="J224" s="2" t="inlineStr">
        <is>
          <t>Gecikmeli Odendi</t>
        </is>
      </c>
      <c r="K224" s="2" t="inlineStr">
        <is>
          <t>Ihracat Istisnasi</t>
        </is>
      </c>
      <c r="L224" s="2" t="inlineStr">
        <is>
          <t>301</t>
        </is>
      </c>
    </row>
    <row r="225">
      <c r="A225" s="2" t="inlineStr">
        <is>
          <t>FTR-0224</t>
        </is>
      </c>
      <c r="B225" s="6" t="n">
        <v>45917</v>
      </c>
      <c r="C225" s="2" t="inlineStr">
        <is>
          <t>SIP-0179</t>
        </is>
      </c>
      <c r="D225" s="2" t="inlineStr">
        <is>
          <t>MUS-033</t>
        </is>
      </c>
      <c r="E225" s="2" t="inlineStr">
        <is>
          <t>USD</t>
        </is>
      </c>
      <c r="F225" s="5" t="n">
        <v>1</v>
      </c>
      <c r="G225" s="3" t="n">
        <v>10045.1</v>
      </c>
      <c r="H225" s="3" t="n">
        <v>10045.1</v>
      </c>
      <c r="I225" s="6" t="n">
        <v>45947</v>
      </c>
      <c r="J225" s="2" t="inlineStr">
        <is>
          <t>Odendi</t>
        </is>
      </c>
      <c r="K225" s="2" t="inlineStr">
        <is>
          <t>Ihracat Istisnasi</t>
        </is>
      </c>
      <c r="L225" s="2" t="inlineStr">
        <is>
          <t>301</t>
        </is>
      </c>
    </row>
    <row r="226">
      <c r="A226" s="2" t="inlineStr">
        <is>
          <t>FTR-0225</t>
        </is>
      </c>
      <c r="B226" s="6" t="n">
        <v>45924</v>
      </c>
      <c r="C226" s="2" t="inlineStr">
        <is>
          <t>SIP-0180</t>
        </is>
      </c>
      <c r="D226" s="2" t="inlineStr">
        <is>
          <t>MUS-030</t>
        </is>
      </c>
      <c r="E226" s="2" t="inlineStr">
        <is>
          <t>EUR</t>
        </is>
      </c>
      <c r="F226" s="5" t="n">
        <v>1.137</v>
      </c>
      <c r="G226" s="3" t="n">
        <v>10436.17</v>
      </c>
      <c r="H226" s="3" t="n">
        <v>11865.93</v>
      </c>
      <c r="I226" s="6" t="n">
        <v>45939</v>
      </c>
      <c r="J226" s="2" t="inlineStr">
        <is>
          <t>Gecikmeli Odendi</t>
        </is>
      </c>
      <c r="K226" s="2" t="inlineStr">
        <is>
          <t>Ihracat Istisnasi</t>
        </is>
      </c>
      <c r="L226" s="2" t="inlineStr">
        <is>
          <t>301</t>
        </is>
      </c>
    </row>
    <row r="227">
      <c r="A227" s="2" t="inlineStr">
        <is>
          <t>FTR-0226</t>
        </is>
      </c>
      <c r="B227" s="6" t="n">
        <v>45925</v>
      </c>
      <c r="C227" s="2" t="inlineStr">
        <is>
          <t>SIP-0180</t>
        </is>
      </c>
      <c r="D227" s="2" t="inlineStr">
        <is>
          <t>MUS-030</t>
        </is>
      </c>
      <c r="E227" s="2" t="inlineStr">
        <is>
          <t>EUR</t>
        </is>
      </c>
      <c r="F227" s="5" t="n">
        <v>1.137</v>
      </c>
      <c r="G227" s="3" t="n">
        <v>12617.32</v>
      </c>
      <c r="H227" s="3" t="n">
        <v>14345.89</v>
      </c>
      <c r="I227" s="6" t="n">
        <v>45940</v>
      </c>
      <c r="J227" s="2" t="inlineStr">
        <is>
          <t>Gecikmeli Odendi</t>
        </is>
      </c>
      <c r="K227" s="2" t="inlineStr">
        <is>
          <t>Ihracat Istisnasi</t>
        </is>
      </c>
      <c r="L227" s="2" t="inlineStr">
        <is>
          <t>301</t>
        </is>
      </c>
    </row>
    <row r="228">
      <c r="A228" s="2" t="inlineStr">
        <is>
          <t>FTR-0227</t>
        </is>
      </c>
      <c r="B228" s="6" t="n">
        <v>45931</v>
      </c>
      <c r="C228" s="2" t="inlineStr">
        <is>
          <t>SIP-0181</t>
        </is>
      </c>
      <c r="D228" s="2" t="inlineStr">
        <is>
          <t>MUS-017</t>
        </is>
      </c>
      <c r="E228" s="2" t="inlineStr">
        <is>
          <t>EUR</t>
        </is>
      </c>
      <c r="F228" s="5" t="n">
        <v>1.1234</v>
      </c>
      <c r="G228" s="3" t="n">
        <v>5075.36</v>
      </c>
      <c r="H228" s="3" t="n">
        <v>5701.66</v>
      </c>
      <c r="I228" s="6" t="n">
        <v>45976</v>
      </c>
      <c r="J228" s="2" t="inlineStr">
        <is>
          <t>Gecikmeli Odendi</t>
        </is>
      </c>
      <c r="K228" s="2" t="inlineStr">
        <is>
          <t>Ihracat Istisnasi</t>
        </is>
      </c>
      <c r="L228" s="2" t="inlineStr">
        <is>
          <t>301</t>
        </is>
      </c>
    </row>
    <row r="229">
      <c r="A229" s="2" t="inlineStr">
        <is>
          <t>FTR-0228</t>
        </is>
      </c>
      <c r="B229" s="6" t="n">
        <v>45932</v>
      </c>
      <c r="C229" s="2" t="inlineStr">
        <is>
          <t>SIP-0181</t>
        </is>
      </c>
      <c r="D229" s="2" t="inlineStr">
        <is>
          <t>MUS-017</t>
        </is>
      </c>
      <c r="E229" s="2" t="inlineStr">
        <is>
          <t>EUR</t>
        </is>
      </c>
      <c r="F229" s="5" t="n">
        <v>1.1234</v>
      </c>
      <c r="G229" s="3" t="n">
        <v>4431.67</v>
      </c>
      <c r="H229" s="3" t="n">
        <v>4978.54</v>
      </c>
      <c r="I229" s="6" t="n">
        <v>45977</v>
      </c>
      <c r="J229" s="2" t="inlineStr">
        <is>
          <t>Odendi</t>
        </is>
      </c>
      <c r="K229" s="2" t="inlineStr">
        <is>
          <t>Ihracat Istisnasi</t>
        </is>
      </c>
      <c r="L229" s="2" t="inlineStr">
        <is>
          <t>301</t>
        </is>
      </c>
    </row>
    <row r="230">
      <c r="A230" s="2" t="inlineStr">
        <is>
          <t>FTR-0229</t>
        </is>
      </c>
      <c r="B230" s="6" t="n">
        <v>45957</v>
      </c>
      <c r="C230" s="2" t="inlineStr">
        <is>
          <t>SIP-0182</t>
        </is>
      </c>
      <c r="D230" s="2" t="inlineStr">
        <is>
          <t>MUS-072</t>
        </is>
      </c>
      <c r="E230" s="2" t="inlineStr">
        <is>
          <t>EUR</t>
        </is>
      </c>
      <c r="F230" s="5" t="n">
        <v>1.1234</v>
      </c>
      <c r="G230" s="3" t="n">
        <v>40841.95</v>
      </c>
      <c r="H230" s="3" t="n">
        <v>45881.85</v>
      </c>
      <c r="I230" s="6" t="n">
        <v>46017</v>
      </c>
      <c r="J230" s="2" t="inlineStr">
        <is>
          <t>Gecikmeli Odendi</t>
        </is>
      </c>
      <c r="K230" s="2" t="inlineStr">
        <is>
          <t>Ihracat Istisnasi</t>
        </is>
      </c>
      <c r="L230" s="2" t="inlineStr">
        <is>
          <t>301</t>
        </is>
      </c>
    </row>
    <row r="231">
      <c r="A231" s="2" t="inlineStr">
        <is>
          <t>FTR-0230</t>
        </is>
      </c>
      <c r="B231" s="6" t="n">
        <v>45940</v>
      </c>
      <c r="C231" s="2" t="inlineStr">
        <is>
          <t>SIP-0183</t>
        </is>
      </c>
      <c r="D231" s="2" t="inlineStr">
        <is>
          <t>MUS-005</t>
        </is>
      </c>
      <c r="E231" s="2" t="inlineStr">
        <is>
          <t>EUR</t>
        </is>
      </c>
      <c r="F231" s="5" t="n">
        <v>1.1234</v>
      </c>
      <c r="G231" s="3" t="n">
        <v>59754.73</v>
      </c>
      <c r="H231" s="3" t="n">
        <v>67128.46000000001</v>
      </c>
      <c r="I231" s="6" t="n">
        <v>45985</v>
      </c>
      <c r="J231" s="2" t="inlineStr">
        <is>
          <t>Gecikmeli Odendi</t>
        </is>
      </c>
      <c r="K231" s="2" t="inlineStr">
        <is>
          <t>Ihracat Istisnasi</t>
        </is>
      </c>
      <c r="L231" s="2" t="inlineStr">
        <is>
          <t>301</t>
        </is>
      </c>
    </row>
    <row r="232">
      <c r="A232" s="2" t="inlineStr">
        <is>
          <t>FTR-0231</t>
        </is>
      </c>
      <c r="B232" s="6" t="n">
        <v>45916</v>
      </c>
      <c r="C232" s="2" t="inlineStr">
        <is>
          <t>SIP-0184</t>
        </is>
      </c>
      <c r="D232" s="2" t="inlineStr">
        <is>
          <t>MUS-051</t>
        </is>
      </c>
      <c r="E232" s="2" t="inlineStr">
        <is>
          <t>EUR</t>
        </is>
      </c>
      <c r="F232" s="5" t="n">
        <v>1.1234</v>
      </c>
      <c r="G232" s="3" t="n">
        <v>1761.92</v>
      </c>
      <c r="H232" s="3" t="n">
        <v>1979.34</v>
      </c>
      <c r="I232" s="6" t="n">
        <v>45976</v>
      </c>
      <c r="J232" s="2" t="inlineStr">
        <is>
          <t>Odendi</t>
        </is>
      </c>
      <c r="K232" s="2" t="inlineStr">
        <is>
          <t>Ihracat Istisnasi</t>
        </is>
      </c>
      <c r="L232" s="2" t="inlineStr">
        <is>
          <t>301</t>
        </is>
      </c>
    </row>
    <row r="233">
      <c r="A233" s="2" t="inlineStr">
        <is>
          <t>FTR-0232</t>
        </is>
      </c>
      <c r="B233" s="6" t="n">
        <v>45937</v>
      </c>
      <c r="C233" s="2" t="inlineStr">
        <is>
          <t>SIP-0185</t>
        </is>
      </c>
      <c r="D233" s="2" t="inlineStr">
        <is>
          <t>MUS-054</t>
        </is>
      </c>
      <c r="E233" s="2" t="inlineStr">
        <is>
          <t>USD</t>
        </is>
      </c>
      <c r="F233" s="5" t="n">
        <v>1</v>
      </c>
      <c r="G233" s="3" t="n">
        <v>18718.44</v>
      </c>
      <c r="H233" s="3" t="n">
        <v>18718.44</v>
      </c>
      <c r="I233" s="6" t="n">
        <v>46027</v>
      </c>
      <c r="J233" s="2" t="inlineStr">
        <is>
          <t>Odendi</t>
        </is>
      </c>
      <c r="K233" s="2" t="inlineStr">
        <is>
          <t>Ihracat Istisnasi</t>
        </is>
      </c>
      <c r="L233" s="2" t="inlineStr">
        <is>
          <t>301</t>
        </is>
      </c>
    </row>
    <row r="234">
      <c r="A234" s="2" t="inlineStr">
        <is>
          <t>FTR-0233</t>
        </is>
      </c>
      <c r="B234" s="6" t="n">
        <v>46003</v>
      </c>
      <c r="C234" s="2" t="inlineStr">
        <is>
          <t>SIP-0186</t>
        </is>
      </c>
      <c r="D234" s="2" t="inlineStr">
        <is>
          <t>MUS-031</t>
        </is>
      </c>
      <c r="E234" s="2" t="inlineStr">
        <is>
          <t>EUR</t>
        </is>
      </c>
      <c r="F234" s="5" t="n">
        <v>1.1234</v>
      </c>
      <c r="G234" s="3" t="n">
        <v>15887.78</v>
      </c>
      <c r="H234" s="3" t="n">
        <v>17848.33</v>
      </c>
      <c r="I234" s="6" t="n">
        <v>46018</v>
      </c>
      <c r="J234" s="2" t="inlineStr">
        <is>
          <t>Acik</t>
        </is>
      </c>
      <c r="K234" s="2" t="inlineStr">
        <is>
          <t>Ihracat Istisnasi</t>
        </is>
      </c>
      <c r="L234" s="2" t="inlineStr">
        <is>
          <t>301</t>
        </is>
      </c>
    </row>
    <row r="235">
      <c r="A235" s="2" t="inlineStr">
        <is>
          <t>FTR-0234</t>
        </is>
      </c>
      <c r="B235" s="6" t="n">
        <v>46004</v>
      </c>
      <c r="C235" s="2" t="inlineStr">
        <is>
          <t>SIP-0186</t>
        </is>
      </c>
      <c r="D235" s="2" t="inlineStr">
        <is>
          <t>MUS-031</t>
        </is>
      </c>
      <c r="E235" s="2" t="inlineStr">
        <is>
          <t>EUR</t>
        </is>
      </c>
      <c r="F235" s="5" t="n">
        <v>1.1234</v>
      </c>
      <c r="G235" s="3" t="n">
        <v>18114.63</v>
      </c>
      <c r="H235" s="3" t="n">
        <v>20349.98</v>
      </c>
      <c r="I235" s="6" t="n">
        <v>46019</v>
      </c>
      <c r="J235" s="2" t="inlineStr">
        <is>
          <t>Gecikmeli Odendi</t>
        </is>
      </c>
      <c r="K235" s="2" t="inlineStr">
        <is>
          <t>Ihracat Istisnasi</t>
        </is>
      </c>
      <c r="L235" s="2" t="inlineStr">
        <is>
          <t>301</t>
        </is>
      </c>
    </row>
    <row r="236">
      <c r="A236" s="2" t="inlineStr">
        <is>
          <t>FTR-0235</t>
        </is>
      </c>
      <c r="B236" s="6" t="n">
        <v>45974</v>
      </c>
      <c r="C236" s="2" t="inlineStr">
        <is>
          <t>SIP-0187</t>
        </is>
      </c>
      <c r="D236" s="2" t="inlineStr">
        <is>
          <t>MUS-026</t>
        </is>
      </c>
      <c r="E236" s="2" t="inlineStr">
        <is>
          <t>EUR</t>
        </is>
      </c>
      <c r="F236" s="5" t="n">
        <v>1.1234</v>
      </c>
      <c r="G236" s="3" t="n">
        <v>4543.12</v>
      </c>
      <c r="H236" s="3" t="n">
        <v>5103.74</v>
      </c>
      <c r="I236" s="6" t="n">
        <v>45989</v>
      </c>
      <c r="J236" s="2" t="inlineStr">
        <is>
          <t>Acik</t>
        </is>
      </c>
      <c r="K236" s="2" t="inlineStr">
        <is>
          <t>Ihracat Istisnasi</t>
        </is>
      </c>
      <c r="L236" s="2" t="inlineStr">
        <is>
          <t>301</t>
        </is>
      </c>
    </row>
    <row r="237">
      <c r="A237" s="2" t="inlineStr">
        <is>
          <t>FTR-0236</t>
        </is>
      </c>
      <c r="B237" s="6" t="n">
        <v>45975</v>
      </c>
      <c r="C237" s="2" t="inlineStr">
        <is>
          <t>SIP-0187</t>
        </is>
      </c>
      <c r="D237" s="2" t="inlineStr">
        <is>
          <t>MUS-026</t>
        </is>
      </c>
      <c r="E237" s="2" t="inlineStr">
        <is>
          <t>EUR</t>
        </is>
      </c>
      <c r="F237" s="5" t="n">
        <v>1.1234</v>
      </c>
      <c r="G237" s="3" t="n">
        <v>3656.09</v>
      </c>
      <c r="H237" s="3" t="n">
        <v>4107.25</v>
      </c>
      <c r="I237" s="6" t="n">
        <v>45990</v>
      </c>
      <c r="J237" s="2" t="inlineStr">
        <is>
          <t>Odendi</t>
        </is>
      </c>
      <c r="K237" s="2" t="inlineStr">
        <is>
          <t>Ihracat Istisnasi</t>
        </is>
      </c>
      <c r="L237" s="2" t="inlineStr">
        <is>
          <t>301</t>
        </is>
      </c>
    </row>
    <row r="238">
      <c r="A238" s="2" t="inlineStr">
        <is>
          <t>FTR-0237</t>
        </is>
      </c>
      <c r="B238" s="6" t="n">
        <v>45962</v>
      </c>
      <c r="C238" s="2" t="inlineStr">
        <is>
          <t>SIP-0188</t>
        </is>
      </c>
      <c r="D238" s="2" t="inlineStr">
        <is>
          <t>MUS-019</t>
        </is>
      </c>
      <c r="E238" s="2" t="inlineStr">
        <is>
          <t>USD</t>
        </is>
      </c>
      <c r="F238" s="5" t="n">
        <v>1</v>
      </c>
      <c r="G238" s="3" t="n">
        <v>3824.82</v>
      </c>
      <c r="H238" s="3" t="n">
        <v>3824.82</v>
      </c>
      <c r="I238" s="6" t="n">
        <v>46007</v>
      </c>
      <c r="J238" s="2" t="inlineStr">
        <is>
          <t>Gecikmeli Odendi</t>
        </is>
      </c>
      <c r="K238" s="2" t="inlineStr">
        <is>
          <t>Ihracat Istisnasi</t>
        </is>
      </c>
      <c r="L238" s="2" t="inlineStr">
        <is>
          <t>301</t>
        </is>
      </c>
    </row>
    <row r="239">
      <c r="A239" s="2" t="inlineStr">
        <is>
          <t>FTR-0238</t>
        </is>
      </c>
      <c r="B239" s="6" t="n">
        <v>45963</v>
      </c>
      <c r="C239" s="2" t="inlineStr">
        <is>
          <t>SIP-0188</t>
        </is>
      </c>
      <c r="D239" s="2" t="inlineStr">
        <is>
          <t>MUS-019</t>
        </is>
      </c>
      <c r="E239" s="2" t="inlineStr">
        <is>
          <t>USD</t>
        </is>
      </c>
      <c r="F239" s="5" t="n">
        <v>1</v>
      </c>
      <c r="G239" s="3" t="n">
        <v>4713.63</v>
      </c>
      <c r="H239" s="3" t="n">
        <v>4713.63</v>
      </c>
      <c r="I239" s="6" t="n">
        <v>46008</v>
      </c>
      <c r="J239" s="2" t="inlineStr">
        <is>
          <t>Gecikmeli Odendi</t>
        </is>
      </c>
      <c r="K239" s="2" t="inlineStr">
        <is>
          <t>Ihracat Istisnasi</t>
        </is>
      </c>
      <c r="L239" s="2" t="inlineStr">
        <is>
          <t>301</t>
        </is>
      </c>
    </row>
    <row r="240">
      <c r="A240" s="2" t="inlineStr">
        <is>
          <t>FTR-0239</t>
        </is>
      </c>
      <c r="B240" s="6" t="n">
        <v>45947</v>
      </c>
      <c r="C240" s="2" t="inlineStr">
        <is>
          <t>SIP-0189</t>
        </is>
      </c>
      <c r="D240" s="2" t="inlineStr">
        <is>
          <t>MUS-058</t>
        </is>
      </c>
      <c r="E240" s="2" t="inlineStr">
        <is>
          <t>EUR</t>
        </is>
      </c>
      <c r="F240" s="5" t="n">
        <v>1.1234</v>
      </c>
      <c r="G240" s="3" t="n">
        <v>30581.05</v>
      </c>
      <c r="H240" s="3" t="n">
        <v>34354.75</v>
      </c>
      <c r="I240" s="6" t="n">
        <v>45977</v>
      </c>
      <c r="J240" s="2" t="inlineStr">
        <is>
          <t>Acik</t>
        </is>
      </c>
      <c r="K240" s="2" t="inlineStr">
        <is>
          <t>Ihracat Istisnasi</t>
        </is>
      </c>
      <c r="L240" s="2" t="inlineStr">
        <is>
          <t>301</t>
        </is>
      </c>
    </row>
    <row r="241">
      <c r="A241" s="2" t="inlineStr">
        <is>
          <t>FTR-0240</t>
        </is>
      </c>
      <c r="B241" s="6" t="n">
        <v>45953</v>
      </c>
      <c r="C241" s="2" t="inlineStr">
        <is>
          <t>SIP-0190</t>
        </is>
      </c>
      <c r="D241" s="2" t="inlineStr">
        <is>
          <t>MUS-029</t>
        </is>
      </c>
      <c r="E241" s="2" t="inlineStr">
        <is>
          <t>USD</t>
        </is>
      </c>
      <c r="F241" s="5" t="n">
        <v>1</v>
      </c>
      <c r="G241" s="3" t="n">
        <v>10953.51</v>
      </c>
      <c r="H241" s="3" t="n">
        <v>10953.51</v>
      </c>
      <c r="I241" s="6" t="n">
        <v>45968</v>
      </c>
      <c r="J241" s="2" t="inlineStr">
        <is>
          <t>Odendi</t>
        </is>
      </c>
      <c r="K241" s="2" t="inlineStr">
        <is>
          <t>Ihracat Istisnasi</t>
        </is>
      </c>
      <c r="L241" s="2" t="inlineStr">
        <is>
          <t>301</t>
        </is>
      </c>
    </row>
    <row r="242">
      <c r="A242" s="2" t="inlineStr">
        <is>
          <t>FTR-0241</t>
        </is>
      </c>
      <c r="B242" s="6" t="n">
        <v>45938</v>
      </c>
      <c r="C242" s="2" t="inlineStr">
        <is>
          <t>SIP-0191</t>
        </is>
      </c>
      <c r="D242" s="2" t="inlineStr">
        <is>
          <t>MUS-049</t>
        </is>
      </c>
      <c r="E242" s="2" t="inlineStr">
        <is>
          <t>USD</t>
        </is>
      </c>
      <c r="F242" s="5" t="n">
        <v>1</v>
      </c>
      <c r="G242" s="3" t="n">
        <v>28929.31</v>
      </c>
      <c r="H242" s="3" t="n">
        <v>28929.31</v>
      </c>
      <c r="I242" s="6" t="n">
        <v>45983</v>
      </c>
      <c r="J242" s="2" t="inlineStr">
        <is>
          <t>Gecikmeli Odendi</t>
        </is>
      </c>
      <c r="K242" s="2" t="inlineStr">
        <is>
          <t>Ihracat Istisnasi</t>
        </is>
      </c>
      <c r="L242" s="2" t="inlineStr">
        <is>
          <t>301</t>
        </is>
      </c>
    </row>
    <row r="243">
      <c r="A243" s="2" t="inlineStr">
        <is>
          <t>FTR-0242</t>
        </is>
      </c>
      <c r="B243" s="6" t="n">
        <v>45942</v>
      </c>
      <c r="C243" s="2" t="inlineStr">
        <is>
          <t>SIP-0192</t>
        </is>
      </c>
      <c r="D243" s="2" t="inlineStr">
        <is>
          <t>MUS-020</t>
        </is>
      </c>
      <c r="E243" s="2" t="inlineStr">
        <is>
          <t>USD</t>
        </is>
      </c>
      <c r="F243" s="5" t="n">
        <v>1</v>
      </c>
      <c r="G243" s="3" t="n">
        <v>23059.19</v>
      </c>
      <c r="H243" s="3" t="n">
        <v>23059.19</v>
      </c>
      <c r="I243" s="6" t="n">
        <v>45972</v>
      </c>
      <c r="J243" s="2" t="inlineStr">
        <is>
          <t>Gecikmeli Odendi</t>
        </is>
      </c>
      <c r="K243" s="2" t="inlineStr">
        <is>
          <t>Ihracat Istisnasi</t>
        </is>
      </c>
      <c r="L243" s="2" t="inlineStr">
        <is>
          <t>301</t>
        </is>
      </c>
    </row>
    <row r="244">
      <c r="A244" s="2" t="inlineStr">
        <is>
          <t>FTR-0243</t>
        </is>
      </c>
      <c r="B244" s="6" t="n">
        <v>45943</v>
      </c>
      <c r="C244" s="2" t="inlineStr">
        <is>
          <t>SIP-0192</t>
        </is>
      </c>
      <c r="D244" s="2" t="inlineStr">
        <is>
          <t>MUS-020</t>
        </is>
      </c>
      <c r="E244" s="2" t="inlineStr">
        <is>
          <t>USD</t>
        </is>
      </c>
      <c r="F244" s="5" t="n">
        <v>1</v>
      </c>
      <c r="G244" s="3" t="n">
        <v>19897.45</v>
      </c>
      <c r="H244" s="3" t="n">
        <v>19897.45</v>
      </c>
      <c r="I244" s="6" t="n">
        <v>45973</v>
      </c>
      <c r="J244" s="2" t="inlineStr">
        <is>
          <t>Odendi</t>
        </is>
      </c>
      <c r="K244" s="2" t="inlineStr">
        <is>
          <t>Ihracat Istisnasi</t>
        </is>
      </c>
      <c r="L244" s="2" t="inlineStr">
        <is>
          <t>301</t>
        </is>
      </c>
    </row>
    <row r="245">
      <c r="A245" s="2" t="inlineStr">
        <is>
          <t>FTR-0244</t>
        </is>
      </c>
      <c r="B245" s="6" t="n">
        <v>45945</v>
      </c>
      <c r="C245" s="2" t="inlineStr">
        <is>
          <t>SIP-0193</t>
        </is>
      </c>
      <c r="D245" s="2" t="inlineStr">
        <is>
          <t>MUS-006</t>
        </is>
      </c>
      <c r="E245" s="2" t="inlineStr">
        <is>
          <t>USD</t>
        </is>
      </c>
      <c r="F245" s="5" t="n">
        <v>1</v>
      </c>
      <c r="G245" s="3" t="n">
        <v>41055.69</v>
      </c>
      <c r="H245" s="3" t="n">
        <v>41055.69</v>
      </c>
      <c r="I245" s="6" t="n">
        <v>45960</v>
      </c>
      <c r="J245" s="2" t="inlineStr">
        <is>
          <t>Odendi</t>
        </is>
      </c>
      <c r="K245" s="2" t="inlineStr">
        <is>
          <t>Ihracat Istisnasi</t>
        </is>
      </c>
      <c r="L245" s="2" t="inlineStr">
        <is>
          <t>301</t>
        </is>
      </c>
    </row>
    <row r="246">
      <c r="A246" s="2" t="inlineStr">
        <is>
          <t>FTR-0245</t>
        </is>
      </c>
      <c r="B246" s="6" t="n">
        <v>45938</v>
      </c>
      <c r="C246" s="2" t="inlineStr">
        <is>
          <t>SIP-0194</t>
        </is>
      </c>
      <c r="D246" s="2" t="inlineStr">
        <is>
          <t>MUS-026</t>
        </is>
      </c>
      <c r="E246" s="2" t="inlineStr">
        <is>
          <t>EUR</t>
        </is>
      </c>
      <c r="F246" s="5" t="n">
        <v>1.1234</v>
      </c>
      <c r="G246" s="3" t="n">
        <v>52014.35</v>
      </c>
      <c r="H246" s="3" t="n">
        <v>58432.92</v>
      </c>
      <c r="I246" s="6" t="n">
        <v>45953</v>
      </c>
      <c r="J246" s="2" t="inlineStr">
        <is>
          <t>Odendi</t>
        </is>
      </c>
      <c r="K246" s="2" t="inlineStr">
        <is>
          <t>Ihracat Istisnasi</t>
        </is>
      </c>
      <c r="L246" s="2" t="inlineStr">
        <is>
          <t>301</t>
        </is>
      </c>
    </row>
    <row r="247">
      <c r="A247" s="2" t="inlineStr">
        <is>
          <t>FTR-0246</t>
        </is>
      </c>
      <c r="B247" s="6" t="n">
        <v>46020</v>
      </c>
      <c r="C247" s="2" t="inlineStr">
        <is>
          <t>SIP-0195</t>
        </is>
      </c>
      <c r="D247" s="2" t="inlineStr">
        <is>
          <t>MUS-036</t>
        </is>
      </c>
      <c r="E247" s="2" t="inlineStr">
        <is>
          <t>USD</t>
        </is>
      </c>
      <c r="F247" s="5" t="n">
        <v>1</v>
      </c>
      <c r="G247" s="3" t="n">
        <v>42476.6</v>
      </c>
      <c r="H247" s="3" t="n">
        <v>42476.6</v>
      </c>
      <c r="I247" s="6" t="n">
        <v>46050</v>
      </c>
      <c r="J247" s="2" t="inlineStr">
        <is>
          <t>Odendi</t>
        </is>
      </c>
      <c r="K247" s="2" t="inlineStr">
        <is>
          <t>Ihracat Istisnasi</t>
        </is>
      </c>
      <c r="L247" s="2" t="inlineStr">
        <is>
          <t>301</t>
        </is>
      </c>
    </row>
    <row r="248">
      <c r="A248" s="2" t="inlineStr">
        <is>
          <t>FTR-0247</t>
        </is>
      </c>
      <c r="B248" s="6" t="n">
        <v>45978</v>
      </c>
      <c r="C248" s="2" t="inlineStr">
        <is>
          <t>SIP-0196</t>
        </is>
      </c>
      <c r="D248" s="2" t="inlineStr">
        <is>
          <t>MUS-068</t>
        </is>
      </c>
      <c r="E248" s="2" t="inlineStr">
        <is>
          <t>EUR</t>
        </is>
      </c>
      <c r="F248" s="5" t="n">
        <v>1.1328</v>
      </c>
      <c r="G248" s="3" t="n">
        <v>10373.68</v>
      </c>
      <c r="H248" s="3" t="n">
        <v>11751.3</v>
      </c>
      <c r="I248" s="6" t="n">
        <v>45993</v>
      </c>
      <c r="J248" s="2" t="inlineStr">
        <is>
          <t>Gecikmeli Odendi</t>
        </is>
      </c>
      <c r="K248" s="2" t="inlineStr">
        <is>
          <t>Ihracat Istisnasi</t>
        </is>
      </c>
      <c r="L248" s="2" t="inlineStr">
        <is>
          <t>301</t>
        </is>
      </c>
    </row>
    <row r="249">
      <c r="A249" s="2" t="inlineStr">
        <is>
          <t>FTR-0248</t>
        </is>
      </c>
      <c r="B249" s="6" t="n">
        <v>46003</v>
      </c>
      <c r="C249" s="2" t="inlineStr">
        <is>
          <t>SIP-0197</t>
        </is>
      </c>
      <c r="D249" s="2" t="inlineStr">
        <is>
          <t>MUS-007</t>
        </is>
      </c>
      <c r="E249" s="2" t="inlineStr">
        <is>
          <t>USD</t>
        </is>
      </c>
      <c r="F249" s="5" t="n">
        <v>1</v>
      </c>
      <c r="G249" s="3" t="n">
        <v>20439.76</v>
      </c>
      <c r="H249" s="3" t="n">
        <v>20439.76</v>
      </c>
      <c r="I249" s="6" t="n">
        <v>46063</v>
      </c>
      <c r="J249" s="2" t="inlineStr">
        <is>
          <t>Odendi</t>
        </is>
      </c>
      <c r="K249" s="2" t="inlineStr">
        <is>
          <t>Ihracat Istisnasi</t>
        </is>
      </c>
      <c r="L249" s="2" t="inlineStr">
        <is>
          <t>301</t>
        </is>
      </c>
    </row>
    <row r="250">
      <c r="A250" s="2" t="inlineStr">
        <is>
          <t>FTR-0249</t>
        </is>
      </c>
      <c r="B250" s="6" t="n">
        <v>46010</v>
      </c>
      <c r="C250" s="2" t="inlineStr">
        <is>
          <t>SIP-0198</t>
        </is>
      </c>
      <c r="D250" s="2" t="inlineStr">
        <is>
          <t>MUS-021</t>
        </is>
      </c>
      <c r="E250" s="2" t="inlineStr">
        <is>
          <t>EUR</t>
        </is>
      </c>
      <c r="F250" s="5" t="n">
        <v>1.1328</v>
      </c>
      <c r="G250" s="3" t="n">
        <v>48884.72</v>
      </c>
      <c r="H250" s="3" t="n">
        <v>55376.61</v>
      </c>
      <c r="I250" s="6" t="n">
        <v>46070</v>
      </c>
      <c r="J250" s="2" t="inlineStr">
        <is>
          <t>Odendi</t>
        </is>
      </c>
      <c r="K250" s="2" t="inlineStr">
        <is>
          <t>Ihracat Istisnasi</t>
        </is>
      </c>
      <c r="L250" s="2" t="inlineStr">
        <is>
          <t>301</t>
        </is>
      </c>
    </row>
    <row r="251">
      <c r="A251" s="2" t="inlineStr">
        <is>
          <t>FTR-0250</t>
        </is>
      </c>
      <c r="B251" s="6" t="n">
        <v>45971</v>
      </c>
      <c r="C251" s="2" t="inlineStr">
        <is>
          <t>SIP-0199</t>
        </is>
      </c>
      <c r="D251" s="2" t="inlineStr">
        <is>
          <t>MUS-040</t>
        </is>
      </c>
      <c r="E251" s="2" t="inlineStr">
        <is>
          <t>USD</t>
        </is>
      </c>
      <c r="F251" s="5" t="n">
        <v>1</v>
      </c>
      <c r="G251" s="3" t="n">
        <v>14555.59</v>
      </c>
      <c r="H251" s="3" t="n">
        <v>14555.59</v>
      </c>
      <c r="I251" s="6" t="n">
        <v>46016</v>
      </c>
      <c r="J251" s="2" t="inlineStr">
        <is>
          <t>Gecikmeli Odendi</t>
        </is>
      </c>
      <c r="K251" s="2" t="inlineStr">
        <is>
          <t>Ihracat Istisnasi</t>
        </is>
      </c>
      <c r="L251" s="2" t="inlineStr">
        <is>
          <t>301</t>
        </is>
      </c>
    </row>
    <row r="252">
      <c r="A252" s="2" t="inlineStr">
        <is>
          <t>FTR-0251</t>
        </is>
      </c>
      <c r="B252" s="6" t="n">
        <v>46002</v>
      </c>
      <c r="C252" s="2" t="inlineStr">
        <is>
          <t>SIP-0200</t>
        </is>
      </c>
      <c r="D252" s="2" t="inlineStr">
        <is>
          <t>MUS-053</t>
        </is>
      </c>
      <c r="E252" s="2" t="inlineStr">
        <is>
          <t>EUR</t>
        </is>
      </c>
      <c r="F252" s="5" t="n">
        <v>1.1328</v>
      </c>
      <c r="G252" s="3" t="n">
        <v>51121.64</v>
      </c>
      <c r="H252" s="3" t="n">
        <v>57910.59</v>
      </c>
      <c r="I252" s="6" t="n">
        <v>46062</v>
      </c>
      <c r="J252" s="2" t="inlineStr">
        <is>
          <t>Odendi</t>
        </is>
      </c>
      <c r="K252" s="2" t="inlineStr">
        <is>
          <t>Ihracat Istisnasi</t>
        </is>
      </c>
      <c r="L252" s="2" t="inlineStr">
        <is>
          <t>301</t>
        </is>
      </c>
    </row>
    <row r="253">
      <c r="A253" s="2" t="inlineStr">
        <is>
          <t>FTR-0252</t>
        </is>
      </c>
      <c r="B253" s="6" t="n">
        <v>45975</v>
      </c>
      <c r="C253" s="2" t="inlineStr">
        <is>
          <t>SIP-0201</t>
        </is>
      </c>
      <c r="D253" s="2" t="inlineStr">
        <is>
          <t>MUS-051</t>
        </is>
      </c>
      <c r="E253" s="2" t="inlineStr">
        <is>
          <t>EUR</t>
        </is>
      </c>
      <c r="F253" s="5" t="n">
        <v>1.1328</v>
      </c>
      <c r="G253" s="3" t="n">
        <v>4576.44</v>
      </c>
      <c r="H253" s="3" t="n">
        <v>5184.19</v>
      </c>
      <c r="I253" s="6" t="n">
        <v>46035</v>
      </c>
      <c r="J253" s="2" t="inlineStr">
        <is>
          <t>Gecikmeli Odendi</t>
        </is>
      </c>
      <c r="K253" s="2" t="inlineStr">
        <is>
          <t>Ihracat Istisnasi</t>
        </is>
      </c>
      <c r="L253" s="2" t="inlineStr">
        <is>
          <t>301</t>
        </is>
      </c>
    </row>
    <row r="254">
      <c r="A254" s="2" t="inlineStr">
        <is>
          <t>FTR-0253</t>
        </is>
      </c>
      <c r="B254" s="6" t="n">
        <v>45970</v>
      </c>
      <c r="C254" s="2" t="inlineStr">
        <is>
          <t>SIP-0202</t>
        </is>
      </c>
      <c r="D254" s="2" t="inlineStr">
        <is>
          <t>MUS-035</t>
        </is>
      </c>
      <c r="E254" s="2" t="inlineStr">
        <is>
          <t>EUR</t>
        </is>
      </c>
      <c r="F254" s="5" t="n">
        <v>1.1328</v>
      </c>
      <c r="G254" s="3" t="n">
        <v>22329.01</v>
      </c>
      <c r="H254" s="3" t="n">
        <v>25294.3</v>
      </c>
      <c r="I254" s="6" t="n">
        <v>46015</v>
      </c>
      <c r="J254" s="2" t="inlineStr">
        <is>
          <t>Odendi</t>
        </is>
      </c>
      <c r="K254" s="2" t="inlineStr">
        <is>
          <t>Ihracat Istisnasi</t>
        </is>
      </c>
      <c r="L254" s="2" t="inlineStr">
        <is>
          <t>301</t>
        </is>
      </c>
    </row>
    <row r="255">
      <c r="A255" s="2" t="inlineStr">
        <is>
          <t>FTR-0254</t>
        </is>
      </c>
      <c r="B255" s="6" t="n">
        <v>45971</v>
      </c>
      <c r="C255" s="2" t="inlineStr">
        <is>
          <t>SIP-0202</t>
        </is>
      </c>
      <c r="D255" s="2" t="inlineStr">
        <is>
          <t>MUS-035</t>
        </is>
      </c>
      <c r="E255" s="2" t="inlineStr">
        <is>
          <t>EUR</t>
        </is>
      </c>
      <c r="F255" s="5" t="n">
        <v>1.1328</v>
      </c>
      <c r="G255" s="3" t="n">
        <v>17959.69</v>
      </c>
      <c r="H255" s="3" t="n">
        <v>20344.74</v>
      </c>
      <c r="I255" s="6" t="n">
        <v>46016</v>
      </c>
      <c r="J255" s="2" t="inlineStr">
        <is>
          <t>Odendi</t>
        </is>
      </c>
      <c r="K255" s="2" t="inlineStr">
        <is>
          <t>Ihracat Istisnasi</t>
        </is>
      </c>
      <c r="L255" s="2" t="inlineStr">
        <is>
          <t>301</t>
        </is>
      </c>
    </row>
    <row r="256">
      <c r="A256" s="2" t="inlineStr">
        <is>
          <t>FTR-0255</t>
        </is>
      </c>
      <c r="B256" s="6" t="n">
        <v>45972</v>
      </c>
      <c r="C256" s="2" t="inlineStr">
        <is>
          <t>SIP-0203</t>
        </is>
      </c>
      <c r="D256" s="2" t="inlineStr">
        <is>
          <t>MUS-008</t>
        </is>
      </c>
      <c r="E256" s="2" t="inlineStr">
        <is>
          <t>USD</t>
        </is>
      </c>
      <c r="F256" s="5" t="n">
        <v>1</v>
      </c>
      <c r="G256" s="3" t="n">
        <v>17516.53</v>
      </c>
      <c r="H256" s="3" t="n">
        <v>17516.53</v>
      </c>
      <c r="I256" s="6" t="n">
        <v>46032</v>
      </c>
      <c r="J256" s="2" t="inlineStr">
        <is>
          <t>Odendi</t>
        </is>
      </c>
      <c r="K256" s="2" t="inlineStr">
        <is>
          <t>Ihracat Istisnasi</t>
        </is>
      </c>
      <c r="L256" s="2" t="inlineStr">
        <is>
          <t>301</t>
        </is>
      </c>
    </row>
    <row r="257">
      <c r="A257" s="2" t="inlineStr">
        <is>
          <t>FTR-0256</t>
        </is>
      </c>
      <c r="B257" s="6" t="n">
        <v>45973</v>
      </c>
      <c r="C257" s="2" t="inlineStr">
        <is>
          <t>SIP-0203</t>
        </is>
      </c>
      <c r="D257" s="2" t="inlineStr">
        <is>
          <t>MUS-008</t>
        </is>
      </c>
      <c r="E257" s="2" t="inlineStr">
        <is>
          <t>USD</t>
        </is>
      </c>
      <c r="F257" s="5" t="n">
        <v>1</v>
      </c>
      <c r="G257" s="3" t="n">
        <v>22222.71</v>
      </c>
      <c r="H257" s="3" t="n">
        <v>22222.71</v>
      </c>
      <c r="I257" s="6" t="n">
        <v>46033</v>
      </c>
      <c r="J257" s="2" t="inlineStr">
        <is>
          <t>Gecikmeli Odendi</t>
        </is>
      </c>
      <c r="K257" s="2" t="inlineStr">
        <is>
          <t>Ihracat Istisnasi</t>
        </is>
      </c>
      <c r="L257" s="2" t="inlineStr">
        <is>
          <t>301</t>
        </is>
      </c>
    </row>
    <row r="258">
      <c r="A258" s="2" t="inlineStr">
        <is>
          <t>FTR-0257</t>
        </is>
      </c>
      <c r="B258" s="6" t="n">
        <v>45963</v>
      </c>
      <c r="C258" s="2" t="inlineStr">
        <is>
          <t>SIP-0204</t>
        </is>
      </c>
      <c r="D258" s="2" t="inlineStr">
        <is>
          <t>MUS-053</t>
        </is>
      </c>
      <c r="E258" s="2" t="inlineStr">
        <is>
          <t>EUR</t>
        </is>
      </c>
      <c r="F258" s="5" t="n">
        <v>1.1328</v>
      </c>
      <c r="G258" s="3" t="n">
        <v>20331.11</v>
      </c>
      <c r="H258" s="3" t="n">
        <v>23031.08</v>
      </c>
      <c r="I258" s="6" t="n">
        <v>46023</v>
      </c>
      <c r="J258" s="2" t="inlineStr">
        <is>
          <t>Gecikmeli Odendi</t>
        </is>
      </c>
      <c r="K258" s="2" t="inlineStr">
        <is>
          <t>Ihracat Istisnasi</t>
        </is>
      </c>
      <c r="L258" s="2" t="inlineStr">
        <is>
          <t>301</t>
        </is>
      </c>
    </row>
    <row r="259">
      <c r="A259" s="2" t="inlineStr">
        <is>
          <t>FTR-0258</t>
        </is>
      </c>
      <c r="B259" s="6" t="n">
        <v>45977</v>
      </c>
      <c r="C259" s="2" t="inlineStr">
        <is>
          <t>SIP-0205</t>
        </is>
      </c>
      <c r="D259" s="2" t="inlineStr">
        <is>
          <t>MUS-048</t>
        </is>
      </c>
      <c r="E259" s="2" t="inlineStr">
        <is>
          <t>EUR</t>
        </is>
      </c>
      <c r="F259" s="5" t="n">
        <v>1.1328</v>
      </c>
      <c r="G259" s="3" t="n">
        <v>47376.6</v>
      </c>
      <c r="H259" s="3" t="n">
        <v>53668.21</v>
      </c>
      <c r="I259" s="6" t="n">
        <v>46022</v>
      </c>
      <c r="J259" s="2" t="inlineStr">
        <is>
          <t>Odendi</t>
        </is>
      </c>
      <c r="K259" s="2" t="inlineStr">
        <is>
          <t>Ihracat Istisnasi</t>
        </is>
      </c>
      <c r="L259" s="2" t="inlineStr">
        <is>
          <t>301</t>
        </is>
      </c>
    </row>
    <row r="260">
      <c r="A260" s="2" t="inlineStr">
        <is>
          <t>FTR-0259</t>
        </is>
      </c>
      <c r="B260" s="6" t="n">
        <v>45975</v>
      </c>
      <c r="C260" s="2" t="inlineStr">
        <is>
          <t>SIP-0206</t>
        </is>
      </c>
      <c r="D260" s="2" t="inlineStr">
        <is>
          <t>MUS-016</t>
        </is>
      </c>
      <c r="E260" s="2" t="inlineStr">
        <is>
          <t>EUR</t>
        </is>
      </c>
      <c r="F260" s="5" t="n">
        <v>1.1328</v>
      </c>
      <c r="G260" s="3" t="n">
        <v>2190.68</v>
      </c>
      <c r="H260" s="3" t="n">
        <v>2481.6</v>
      </c>
      <c r="I260" s="6" t="n">
        <v>46020</v>
      </c>
      <c r="J260" s="2" t="inlineStr">
        <is>
          <t>Odendi</t>
        </is>
      </c>
      <c r="K260" s="2" t="inlineStr">
        <is>
          <t>Ihracat Istisnasi</t>
        </is>
      </c>
      <c r="L260" s="2" t="inlineStr">
        <is>
          <t>301</t>
        </is>
      </c>
    </row>
    <row r="261">
      <c r="A261" s="2" t="inlineStr">
        <is>
          <t>FTR-0260</t>
        </is>
      </c>
      <c r="B261" s="6" t="n">
        <v>45978</v>
      </c>
      <c r="C261" s="2" t="inlineStr">
        <is>
          <t>SIP-0207</t>
        </is>
      </c>
      <c r="D261" s="2" t="inlineStr">
        <is>
          <t>MUS-034</t>
        </is>
      </c>
      <c r="E261" s="2" t="inlineStr">
        <is>
          <t>EUR</t>
        </is>
      </c>
      <c r="F261" s="5" t="n">
        <v>1.1328</v>
      </c>
      <c r="G261" s="3" t="n">
        <v>16583.26</v>
      </c>
      <c r="H261" s="3" t="n">
        <v>18785.52</v>
      </c>
      <c r="I261" s="6" t="n">
        <v>46038</v>
      </c>
      <c r="J261" s="2" t="inlineStr">
        <is>
          <t>Acik</t>
        </is>
      </c>
      <c r="K261" s="2" t="inlineStr">
        <is>
          <t>Ihracat Istisnasi</t>
        </is>
      </c>
      <c r="L261" s="2" t="inlineStr">
        <is>
          <t>301</t>
        </is>
      </c>
    </row>
    <row r="262">
      <c r="A262" s="2" t="inlineStr">
        <is>
          <t>FTR-0261</t>
        </is>
      </c>
      <c r="B262" s="6" t="n">
        <v>45983</v>
      </c>
      <c r="C262" s="2" t="inlineStr">
        <is>
          <t>SIP-0208</t>
        </is>
      </c>
      <c r="D262" s="2" t="inlineStr">
        <is>
          <t>MUS-033</t>
        </is>
      </c>
      <c r="E262" s="2" t="inlineStr">
        <is>
          <t>USD</t>
        </is>
      </c>
      <c r="F262" s="5" t="n">
        <v>1</v>
      </c>
      <c r="G262" s="3" t="n">
        <v>11809.37</v>
      </c>
      <c r="H262" s="3" t="n">
        <v>11809.37</v>
      </c>
      <c r="I262" s="6" t="n">
        <v>46013</v>
      </c>
      <c r="J262" s="2" t="inlineStr">
        <is>
          <t>Gecikmeli Odendi</t>
        </is>
      </c>
      <c r="K262" s="2" t="inlineStr">
        <is>
          <t>Ihracat Istisnasi</t>
        </is>
      </c>
      <c r="L262" s="2" t="inlineStr">
        <is>
          <t>301</t>
        </is>
      </c>
    </row>
    <row r="263">
      <c r="A263" s="2" t="inlineStr">
        <is>
          <t>FTR-0262</t>
        </is>
      </c>
      <c r="B263" s="6" t="n">
        <v>46004</v>
      </c>
      <c r="C263" s="2" t="inlineStr">
        <is>
          <t>SIP-0209</t>
        </is>
      </c>
      <c r="D263" s="2" t="inlineStr">
        <is>
          <t>MUS-043</t>
        </is>
      </c>
      <c r="E263" s="2" t="inlineStr">
        <is>
          <t>EUR</t>
        </is>
      </c>
      <c r="F263" s="5" t="n">
        <v>1.1328</v>
      </c>
      <c r="G263" s="3" t="n">
        <v>35094.06</v>
      </c>
      <c r="H263" s="3" t="n">
        <v>39754.55</v>
      </c>
      <c r="I263" s="6" t="n">
        <v>46094</v>
      </c>
      <c r="J263" s="2" t="inlineStr">
        <is>
          <t>Odendi</t>
        </is>
      </c>
      <c r="K263" s="2" t="inlineStr">
        <is>
          <t>Ihracat Istisnasi</t>
        </is>
      </c>
      <c r="L263" s="2" t="inlineStr">
        <is>
          <t>301</t>
        </is>
      </c>
    </row>
    <row r="264">
      <c r="A264" s="2" t="inlineStr">
        <is>
          <t>FTR-0263</t>
        </is>
      </c>
      <c r="B264" s="6" t="n">
        <v>45991</v>
      </c>
      <c r="C264" s="2" t="inlineStr">
        <is>
          <t>SIP-0210</t>
        </is>
      </c>
      <c r="D264" s="2" t="inlineStr">
        <is>
          <t>MUS-084</t>
        </is>
      </c>
      <c r="E264" s="2" t="inlineStr">
        <is>
          <t>EUR</t>
        </is>
      </c>
      <c r="F264" s="5" t="n">
        <v>1.1328</v>
      </c>
      <c r="G264" s="3" t="n">
        <v>27969.31</v>
      </c>
      <c r="H264" s="3" t="n">
        <v>31683.63</v>
      </c>
      <c r="I264" s="6" t="n">
        <v>46081</v>
      </c>
      <c r="J264" s="2" t="inlineStr">
        <is>
          <t>Gecikmeli Odendi</t>
        </is>
      </c>
      <c r="K264" s="2" t="inlineStr">
        <is>
          <t>Ihracat Istisnasi</t>
        </is>
      </c>
      <c r="L264" s="2" t="inlineStr">
        <is>
          <t>301</t>
        </is>
      </c>
    </row>
    <row r="265">
      <c r="A265" s="2" t="inlineStr">
        <is>
          <t>FTR-0264</t>
        </is>
      </c>
      <c r="B265" s="6" t="n">
        <v>45993</v>
      </c>
      <c r="C265" s="2" t="inlineStr">
        <is>
          <t>SIP-0211</t>
        </is>
      </c>
      <c r="D265" s="2" t="inlineStr">
        <is>
          <t>MUS-015</t>
        </is>
      </c>
      <c r="E265" s="2" t="inlineStr">
        <is>
          <t>EUR</t>
        </is>
      </c>
      <c r="F265" s="5" t="n">
        <v>1.1257</v>
      </c>
      <c r="G265" s="3" t="n">
        <v>9757.190000000001</v>
      </c>
      <c r="H265" s="3" t="n">
        <v>10983.67</v>
      </c>
      <c r="I265" s="6" t="n">
        <v>46038</v>
      </c>
      <c r="J265" s="2" t="inlineStr">
        <is>
          <t>Odendi</t>
        </is>
      </c>
      <c r="K265" s="2" t="inlineStr">
        <is>
          <t>Ihracat Istisnasi</t>
        </is>
      </c>
      <c r="L265" s="2" t="inlineStr">
        <is>
          <t>301</t>
        </is>
      </c>
    </row>
    <row r="266">
      <c r="A266" s="2" t="inlineStr">
        <is>
          <t>FTR-0265</t>
        </is>
      </c>
      <c r="B266" s="6" t="n">
        <v>46013</v>
      </c>
      <c r="C266" s="2" t="inlineStr">
        <is>
          <t>SIP-0212</t>
        </is>
      </c>
      <c r="D266" s="2" t="inlineStr">
        <is>
          <t>MUS-054</t>
        </is>
      </c>
      <c r="E266" s="2" t="inlineStr">
        <is>
          <t>USD</t>
        </is>
      </c>
      <c r="F266" s="5" t="n">
        <v>1</v>
      </c>
      <c r="G266" s="3" t="n">
        <v>3948.36</v>
      </c>
      <c r="H266" s="3" t="n">
        <v>3948.36</v>
      </c>
      <c r="I266" s="6" t="n">
        <v>46103</v>
      </c>
      <c r="J266" s="2" t="inlineStr">
        <is>
          <t>Odendi</t>
        </is>
      </c>
      <c r="K266" s="2" t="inlineStr">
        <is>
          <t>Ihracat Istisnasi</t>
        </is>
      </c>
      <c r="L266" s="2" t="inlineStr">
        <is>
          <t>301</t>
        </is>
      </c>
    </row>
    <row r="267">
      <c r="A267" s="2" t="inlineStr">
        <is>
          <t>FTR-0266</t>
        </is>
      </c>
      <c r="B267" s="6" t="n">
        <v>46014</v>
      </c>
      <c r="C267" s="2" t="inlineStr">
        <is>
          <t>SIP-0212</t>
        </is>
      </c>
      <c r="D267" s="2" t="inlineStr">
        <is>
          <t>MUS-054</t>
        </is>
      </c>
      <c r="E267" s="2" t="inlineStr">
        <is>
          <t>USD</t>
        </is>
      </c>
      <c r="F267" s="5" t="n">
        <v>1</v>
      </c>
      <c r="G267" s="3" t="n">
        <v>4514.38</v>
      </c>
      <c r="H267" s="3" t="n">
        <v>4514.38</v>
      </c>
      <c r="I267" s="6" t="n">
        <v>46104</v>
      </c>
      <c r="J267" s="2" t="inlineStr">
        <is>
          <t>Odendi</t>
        </is>
      </c>
      <c r="K267" s="2" t="inlineStr">
        <is>
          <t>Ihracat Istisnasi</t>
        </is>
      </c>
      <c r="L267" s="2" t="inlineStr">
        <is>
          <t>301</t>
        </is>
      </c>
    </row>
    <row r="268">
      <c r="A268" s="2" t="inlineStr">
        <is>
          <t>FTR-0267</t>
        </is>
      </c>
      <c r="B268" s="6" t="n">
        <v>46019</v>
      </c>
      <c r="C268" s="2" t="inlineStr">
        <is>
          <t>SIP-0213</t>
        </is>
      </c>
      <c r="D268" s="2" t="inlineStr">
        <is>
          <t>MUS-023</t>
        </is>
      </c>
      <c r="E268" s="2" t="inlineStr">
        <is>
          <t>USD</t>
        </is>
      </c>
      <c r="F268" s="5" t="n">
        <v>1</v>
      </c>
      <c r="G268" s="3" t="n">
        <v>38329.35</v>
      </c>
      <c r="H268" s="3" t="n">
        <v>38329.35</v>
      </c>
      <c r="I268" s="6" t="n">
        <v>46049</v>
      </c>
      <c r="J268" s="2" t="inlineStr">
        <is>
          <t>Odendi</t>
        </is>
      </c>
      <c r="K268" s="2" t="inlineStr">
        <is>
          <t>Ihracat Istisnasi</t>
        </is>
      </c>
      <c r="L268" s="2" t="inlineStr">
        <is>
          <t>301</t>
        </is>
      </c>
    </row>
    <row r="269">
      <c r="A269" s="2" t="inlineStr">
        <is>
          <t>FTR-0268</t>
        </is>
      </c>
      <c r="B269" s="6" t="n">
        <v>45991</v>
      </c>
      <c r="C269" s="2" t="inlineStr">
        <is>
          <t>SIP-0214</t>
        </is>
      </c>
      <c r="D269" s="2" t="inlineStr">
        <is>
          <t>MUS-060</t>
        </is>
      </c>
      <c r="E269" s="2" t="inlineStr">
        <is>
          <t>EUR</t>
        </is>
      </c>
      <c r="F269" s="5" t="n">
        <v>1.1257</v>
      </c>
      <c r="G269" s="3" t="n">
        <v>14089.08</v>
      </c>
      <c r="H269" s="3" t="n">
        <v>15860.08</v>
      </c>
      <c r="I269" s="6" t="n">
        <v>46021</v>
      </c>
      <c r="J269" s="2" t="inlineStr">
        <is>
          <t>Odendi</t>
        </is>
      </c>
      <c r="K269" s="2" t="inlineStr">
        <is>
          <t>Ihracat Istisnasi</t>
        </is>
      </c>
      <c r="L269" s="2" t="inlineStr">
        <is>
          <t>301</t>
        </is>
      </c>
    </row>
    <row r="270">
      <c r="A270" s="2" t="inlineStr">
        <is>
          <t>FTR-0269</t>
        </is>
      </c>
      <c r="B270" s="6" t="n">
        <v>46033</v>
      </c>
      <c r="C270" s="2" t="inlineStr">
        <is>
          <t>SIP-0215</t>
        </is>
      </c>
      <c r="D270" s="2" t="inlineStr">
        <is>
          <t>MUS-039</t>
        </is>
      </c>
      <c r="E270" s="2" t="inlineStr">
        <is>
          <t>USD</t>
        </is>
      </c>
      <c r="F270" s="5" t="n">
        <v>1</v>
      </c>
      <c r="G270" s="3" t="n">
        <v>29522.33</v>
      </c>
      <c r="H270" s="3" t="n">
        <v>29522.33</v>
      </c>
      <c r="I270" s="6" t="n">
        <v>46063</v>
      </c>
      <c r="J270" s="2" t="inlineStr">
        <is>
          <t>Acik</t>
        </is>
      </c>
      <c r="K270" s="2" t="inlineStr">
        <is>
          <t>Ihracat Istisnasi</t>
        </is>
      </c>
      <c r="L270" s="2" t="inlineStr">
        <is>
          <t>301</t>
        </is>
      </c>
    </row>
    <row r="271">
      <c r="A271" s="2" t="inlineStr">
        <is>
          <t>FTR-0270</t>
        </is>
      </c>
      <c r="B271" s="6" t="n">
        <v>46040</v>
      </c>
      <c r="C271" s="2" t="inlineStr">
        <is>
          <t>SIP-0216</t>
        </is>
      </c>
      <c r="D271" s="2" t="inlineStr">
        <is>
          <t>MUS-032</t>
        </is>
      </c>
      <c r="E271" s="2" t="inlineStr">
        <is>
          <t>USD</t>
        </is>
      </c>
      <c r="F271" s="5" t="n">
        <v>1</v>
      </c>
      <c r="G271" s="3" t="n">
        <v>8227.18</v>
      </c>
      <c r="H271" s="3" t="n">
        <v>8227.18</v>
      </c>
      <c r="I271" s="6" t="n">
        <v>46085</v>
      </c>
      <c r="J271" s="2" t="inlineStr">
        <is>
          <t>Odendi</t>
        </is>
      </c>
      <c r="K271" s="2" t="inlineStr">
        <is>
          <t>Ihracat Istisnasi</t>
        </is>
      </c>
      <c r="L271" s="2" t="inlineStr">
        <is>
          <t>301</t>
        </is>
      </c>
    </row>
    <row r="272">
      <c r="A272" s="2" t="inlineStr">
        <is>
          <t>FTR-0271</t>
        </is>
      </c>
      <c r="B272" s="6" t="n">
        <v>46041</v>
      </c>
      <c r="C272" s="2" t="inlineStr">
        <is>
          <t>SIP-0216</t>
        </is>
      </c>
      <c r="D272" s="2" t="inlineStr">
        <is>
          <t>MUS-032</t>
        </is>
      </c>
      <c r="E272" s="2" t="inlineStr">
        <is>
          <t>USD</t>
        </is>
      </c>
      <c r="F272" s="5" t="n">
        <v>1</v>
      </c>
      <c r="G272" s="3" t="n">
        <v>9433.309999999999</v>
      </c>
      <c r="H272" s="3" t="n">
        <v>9433.309999999999</v>
      </c>
      <c r="I272" s="6" t="n">
        <v>46086</v>
      </c>
      <c r="J272" s="2" t="inlineStr">
        <is>
          <t>Gecikmeli Odendi</t>
        </is>
      </c>
      <c r="K272" s="2" t="inlineStr">
        <is>
          <t>Ihracat Istisnasi</t>
        </is>
      </c>
      <c r="L272" s="2" t="inlineStr">
        <is>
          <t>301</t>
        </is>
      </c>
    </row>
    <row r="273">
      <c r="A273" s="2" t="inlineStr">
        <is>
          <t>FTR-0272</t>
        </is>
      </c>
      <c r="B273" s="6" t="n">
        <v>46018</v>
      </c>
      <c r="C273" s="2" t="inlineStr">
        <is>
          <t>SIP-0217</t>
        </is>
      </c>
      <c r="D273" s="2" t="inlineStr">
        <is>
          <t>MUS-056</t>
        </is>
      </c>
      <c r="E273" s="2" t="inlineStr">
        <is>
          <t>EUR</t>
        </is>
      </c>
      <c r="F273" s="5" t="n">
        <v>1.1257</v>
      </c>
      <c r="G273" s="3" t="n">
        <v>14981.21</v>
      </c>
      <c r="H273" s="3" t="n">
        <v>16864.35</v>
      </c>
      <c r="I273" s="6" t="n">
        <v>46033</v>
      </c>
      <c r="J273" s="2" t="inlineStr">
        <is>
          <t>Odendi</t>
        </is>
      </c>
      <c r="K273" s="2" t="inlineStr">
        <is>
          <t>Ihracat Istisnasi</t>
        </is>
      </c>
      <c r="L273" s="2" t="inlineStr">
        <is>
          <t>301</t>
        </is>
      </c>
    </row>
    <row r="274">
      <c r="A274" s="2" t="inlineStr">
        <is>
          <t>FTR-0273</t>
        </is>
      </c>
      <c r="B274" s="6" t="n">
        <v>46007</v>
      </c>
      <c r="C274" s="2" t="inlineStr">
        <is>
          <t>SIP-0218</t>
        </is>
      </c>
      <c r="D274" s="2" t="inlineStr">
        <is>
          <t>MUS-003</t>
        </is>
      </c>
      <c r="E274" s="2" t="inlineStr">
        <is>
          <t>USD</t>
        </is>
      </c>
      <c r="F274" s="5" t="n">
        <v>1</v>
      </c>
      <c r="G274" s="3" t="n">
        <v>37903.69</v>
      </c>
      <c r="H274" s="3" t="n">
        <v>37903.69</v>
      </c>
      <c r="I274" s="6" t="n">
        <v>46097</v>
      </c>
      <c r="J274" s="2" t="inlineStr">
        <is>
          <t>Odendi</t>
        </is>
      </c>
      <c r="K274" s="2" t="inlineStr">
        <is>
          <t>Ihracat Istisnasi</t>
        </is>
      </c>
      <c r="L274" s="2" t="inlineStr">
        <is>
          <t>301</t>
        </is>
      </c>
    </row>
    <row r="275">
      <c r="A275" s="2" t="inlineStr">
        <is>
          <t>FTR-0274</t>
        </is>
      </c>
      <c r="B275" s="6" t="n">
        <v>46049</v>
      </c>
      <c r="C275" s="2" t="inlineStr">
        <is>
          <t>SIP-0219</t>
        </is>
      </c>
      <c r="D275" s="2" t="inlineStr">
        <is>
          <t>MUS-029</t>
        </is>
      </c>
      <c r="E275" s="2" t="inlineStr">
        <is>
          <t>USD</t>
        </is>
      </c>
      <c r="F275" s="5" t="n">
        <v>1</v>
      </c>
      <c r="G275" s="3" t="n">
        <v>75408.28</v>
      </c>
      <c r="H275" s="3" t="n">
        <v>75408.28</v>
      </c>
      <c r="I275" s="6" t="n">
        <v>46064</v>
      </c>
      <c r="J275" s="2" t="inlineStr">
        <is>
          <t>Gecikmeli Odendi</t>
        </is>
      </c>
      <c r="K275" s="2" t="inlineStr">
        <is>
          <t>Ihracat Istisnasi</t>
        </is>
      </c>
      <c r="L275" s="2" t="inlineStr">
        <is>
          <t>301</t>
        </is>
      </c>
    </row>
    <row r="276">
      <c r="A276" s="2" t="inlineStr">
        <is>
          <t>FTR-0275</t>
        </is>
      </c>
      <c r="B276" s="6" t="n">
        <v>45999</v>
      </c>
      <c r="C276" s="2" t="inlineStr">
        <is>
          <t>SIP-0220</t>
        </is>
      </c>
      <c r="D276" s="2" t="inlineStr">
        <is>
          <t>MUS-068</t>
        </is>
      </c>
      <c r="E276" s="2" t="inlineStr">
        <is>
          <t>EUR</t>
        </is>
      </c>
      <c r="F276" s="5" t="n">
        <v>1.1257</v>
      </c>
      <c r="G276" s="3" t="n">
        <v>10246.5</v>
      </c>
      <c r="H276" s="3" t="n">
        <v>11534.49</v>
      </c>
      <c r="I276" s="6" t="n">
        <v>46014</v>
      </c>
      <c r="J276" s="2" t="inlineStr">
        <is>
          <t>Gecikmeli Odendi</t>
        </is>
      </c>
      <c r="K276" s="2" t="inlineStr">
        <is>
          <t>Ihracat Istisnasi</t>
        </is>
      </c>
      <c r="L276" s="2" t="inlineStr">
        <is>
          <t>301</t>
        </is>
      </c>
    </row>
    <row r="277">
      <c r="A277" s="2" t="inlineStr">
        <is>
          <t>FTR-0276</t>
        </is>
      </c>
      <c r="B277" s="6" t="n">
        <v>46000</v>
      </c>
      <c r="C277" s="2" t="inlineStr">
        <is>
          <t>SIP-0220</t>
        </is>
      </c>
      <c r="D277" s="2" t="inlineStr">
        <is>
          <t>MUS-068</t>
        </is>
      </c>
      <c r="E277" s="2" t="inlineStr">
        <is>
          <t>EUR</t>
        </is>
      </c>
      <c r="F277" s="5" t="n">
        <v>1.1257</v>
      </c>
      <c r="G277" s="3" t="n">
        <v>13791.17</v>
      </c>
      <c r="H277" s="3" t="n">
        <v>15524.72</v>
      </c>
      <c r="I277" s="6" t="n">
        <v>46015</v>
      </c>
      <c r="J277" s="2" t="inlineStr">
        <is>
          <t>Gecikmeli Odendi</t>
        </is>
      </c>
      <c r="K277" s="2" t="inlineStr">
        <is>
          <t>Ihracat Istisnasi</t>
        </is>
      </c>
      <c r="L277" s="2" t="inlineStr">
        <is>
          <t>301</t>
        </is>
      </c>
    </row>
    <row r="278">
      <c r="A278" s="2" t="inlineStr">
        <is>
          <t>FTR-0277</t>
        </is>
      </c>
      <c r="B278" s="6" t="n">
        <v>46014</v>
      </c>
      <c r="C278" s="2" t="inlineStr">
        <is>
          <t>SIP-0221</t>
        </is>
      </c>
      <c r="D278" s="2" t="inlineStr">
        <is>
          <t>MUS-062</t>
        </is>
      </c>
      <c r="E278" s="2" t="inlineStr">
        <is>
          <t>USD</t>
        </is>
      </c>
      <c r="F278" s="5" t="n">
        <v>1</v>
      </c>
      <c r="G278" s="3" t="n">
        <v>6309.45</v>
      </c>
      <c r="H278" s="3" t="n">
        <v>6309.45</v>
      </c>
      <c r="I278" s="6" t="n">
        <v>46059</v>
      </c>
      <c r="J278" s="2" t="inlineStr">
        <is>
          <t>Acik</t>
        </is>
      </c>
      <c r="K278" s="2" t="inlineStr">
        <is>
          <t>Ihracat Istisnasi</t>
        </is>
      </c>
      <c r="L278" s="2" t="inlineStr">
        <is>
          <t>301</t>
        </is>
      </c>
    </row>
    <row r="279">
      <c r="A279" s="2" t="inlineStr">
        <is>
          <t>FTR-0278</t>
        </is>
      </c>
      <c r="B279" s="6" t="n">
        <v>46015</v>
      </c>
      <c r="C279" s="2" t="inlineStr">
        <is>
          <t>SIP-0221</t>
        </is>
      </c>
      <c r="D279" s="2" t="inlineStr">
        <is>
          <t>MUS-062</t>
        </is>
      </c>
      <c r="E279" s="2" t="inlineStr">
        <is>
          <t>USD</t>
        </is>
      </c>
      <c r="F279" s="5" t="n">
        <v>1</v>
      </c>
      <c r="G279" s="3" t="n">
        <v>7714.22</v>
      </c>
      <c r="H279" s="3" t="n">
        <v>7714.22</v>
      </c>
      <c r="I279" s="6" t="n">
        <v>46060</v>
      </c>
      <c r="J279" s="2" t="inlineStr">
        <is>
          <t>Odendi</t>
        </is>
      </c>
      <c r="K279" s="2" t="inlineStr">
        <is>
          <t>Ihracat Istisnasi</t>
        </is>
      </c>
      <c r="L279" s="2" t="inlineStr">
        <is>
          <t>301</t>
        </is>
      </c>
    </row>
    <row r="280">
      <c r="A280" s="2" t="inlineStr">
        <is>
          <t>FTR-0279</t>
        </is>
      </c>
      <c r="B280" s="6" t="n">
        <v>46029</v>
      </c>
      <c r="C280" s="2" t="inlineStr">
        <is>
          <t>SIP-0222</t>
        </is>
      </c>
      <c r="D280" s="2" t="inlineStr">
        <is>
          <t>MUS-046</t>
        </is>
      </c>
      <c r="E280" s="2" t="inlineStr">
        <is>
          <t>EUR</t>
        </is>
      </c>
      <c r="F280" s="5" t="n">
        <v>1.1257</v>
      </c>
      <c r="G280" s="3" t="n">
        <v>18744.38</v>
      </c>
      <c r="H280" s="3" t="n">
        <v>21100.55</v>
      </c>
      <c r="I280" s="6" t="n">
        <v>46074</v>
      </c>
      <c r="J280" s="2" t="inlineStr">
        <is>
          <t>Gecikmeli Odendi</t>
        </is>
      </c>
      <c r="K280" s="2" t="inlineStr">
        <is>
          <t>Ihracat Istisnasi</t>
        </is>
      </c>
      <c r="L280" s="2" t="inlineStr">
        <is>
          <t>301</t>
        </is>
      </c>
    </row>
    <row r="281">
      <c r="A281" s="2" t="inlineStr">
        <is>
          <t>FTR-0280</t>
        </is>
      </c>
      <c r="B281" s="6" t="n">
        <v>46030</v>
      </c>
      <c r="C281" s="2" t="inlineStr">
        <is>
          <t>SIP-0222</t>
        </is>
      </c>
      <c r="D281" s="2" t="inlineStr">
        <is>
          <t>MUS-046</t>
        </is>
      </c>
      <c r="E281" s="2" t="inlineStr">
        <is>
          <t>EUR</t>
        </is>
      </c>
      <c r="F281" s="5" t="n">
        <v>1.1257</v>
      </c>
      <c r="G281" s="3" t="n">
        <v>24135.78</v>
      </c>
      <c r="H281" s="3" t="n">
        <v>27169.65</v>
      </c>
      <c r="I281" s="6" t="n">
        <v>46075</v>
      </c>
      <c r="J281" s="2" t="inlineStr">
        <is>
          <t>Gecikmeli Odendi</t>
        </is>
      </c>
      <c r="K281" s="2" t="inlineStr">
        <is>
          <t>Ihracat Istisnasi</t>
        </is>
      </c>
      <c r="L281" s="2" t="inlineStr">
        <is>
          <t>301</t>
        </is>
      </c>
    </row>
    <row r="282">
      <c r="A282" s="2" t="inlineStr">
        <is>
          <t>FTR-0281</t>
        </is>
      </c>
      <c r="B282" s="6" t="n">
        <v>46048</v>
      </c>
      <c r="C282" s="2" t="inlineStr">
        <is>
          <t>SIP-0223</t>
        </is>
      </c>
      <c r="D282" s="2" t="inlineStr">
        <is>
          <t>MUS-064</t>
        </is>
      </c>
      <c r="E282" s="2" t="inlineStr">
        <is>
          <t>EUR</t>
        </is>
      </c>
      <c r="F282" s="5" t="n">
        <v>1.1131</v>
      </c>
      <c r="G282" s="3" t="n">
        <v>14484.37</v>
      </c>
      <c r="H282" s="3" t="n">
        <v>16122.55</v>
      </c>
      <c r="I282" s="6" t="n">
        <v>46093</v>
      </c>
      <c r="J282" s="2" t="inlineStr">
        <is>
          <t>Gecikmeli Odendi</t>
        </is>
      </c>
      <c r="K282" s="2" t="inlineStr">
        <is>
          <t>Ihracat Istisnasi</t>
        </is>
      </c>
      <c r="L282" s="2" t="inlineStr">
        <is>
          <t>301</t>
        </is>
      </c>
    </row>
    <row r="283">
      <c r="A283" s="2" t="inlineStr">
        <is>
          <t>FTR-0282</t>
        </is>
      </c>
      <c r="B283" s="6" t="n">
        <v>46053</v>
      </c>
      <c r="C283" s="2" t="inlineStr">
        <is>
          <t>SIP-0224</t>
        </is>
      </c>
      <c r="D283" s="2" t="inlineStr">
        <is>
          <t>MUS-067</t>
        </is>
      </c>
      <c r="E283" s="2" t="inlineStr">
        <is>
          <t>USD</t>
        </is>
      </c>
      <c r="F283" s="5" t="n">
        <v>1</v>
      </c>
      <c r="G283" s="3" t="n">
        <v>9482.530000000001</v>
      </c>
      <c r="H283" s="3" t="n">
        <v>9482.530000000001</v>
      </c>
      <c r="I283" s="6" t="n">
        <v>46083</v>
      </c>
      <c r="J283" s="2" t="inlineStr">
        <is>
          <t>Odendi</t>
        </is>
      </c>
      <c r="K283" s="2" t="inlineStr">
        <is>
          <t>Ihracat Istisnasi</t>
        </is>
      </c>
      <c r="L283" s="2" t="inlineStr">
        <is>
          <t>301</t>
        </is>
      </c>
    </row>
    <row r="284">
      <c r="A284" s="2" t="inlineStr">
        <is>
          <t>FTR-0283</t>
        </is>
      </c>
      <c r="B284" s="6" t="n">
        <v>46054</v>
      </c>
      <c r="C284" s="2" t="inlineStr">
        <is>
          <t>SIP-0224</t>
        </is>
      </c>
      <c r="D284" s="2" t="inlineStr">
        <is>
          <t>MUS-067</t>
        </is>
      </c>
      <c r="E284" s="2" t="inlineStr">
        <is>
          <t>USD</t>
        </is>
      </c>
      <c r="F284" s="5" t="n">
        <v>1</v>
      </c>
      <c r="G284" s="3" t="n">
        <v>9198.209999999999</v>
      </c>
      <c r="H284" s="3" t="n">
        <v>9198.209999999999</v>
      </c>
      <c r="I284" s="6" t="n">
        <v>46084</v>
      </c>
      <c r="J284" s="2" t="inlineStr">
        <is>
          <t>Gecikmeli Odendi</t>
        </is>
      </c>
      <c r="K284" s="2" t="inlineStr">
        <is>
          <t>Ihracat Istisnasi</t>
        </is>
      </c>
      <c r="L284" s="2" t="inlineStr">
        <is>
          <t>301</t>
        </is>
      </c>
    </row>
    <row r="285">
      <c r="A285" s="2" t="inlineStr">
        <is>
          <t>FTR-0284</t>
        </is>
      </c>
      <c r="B285" s="6" t="n">
        <v>46026</v>
      </c>
      <c r="C285" s="2" t="inlineStr">
        <is>
          <t>SIP-0225</t>
        </is>
      </c>
      <c r="D285" s="2" t="inlineStr">
        <is>
          <t>MUS-044</t>
        </is>
      </c>
      <c r="E285" s="2" t="inlineStr">
        <is>
          <t>EUR</t>
        </is>
      </c>
      <c r="F285" s="5" t="n">
        <v>1.1131</v>
      </c>
      <c r="G285" s="3" t="n">
        <v>25045.16</v>
      </c>
      <c r="H285" s="3" t="n">
        <v>27877.77</v>
      </c>
      <c r="I285" s="6" t="n">
        <v>46086</v>
      </c>
      <c r="J285" s="2" t="inlineStr">
        <is>
          <t>Odendi</t>
        </is>
      </c>
      <c r="K285" s="2" t="inlineStr">
        <is>
          <t>Ihracat Istisnasi</t>
        </is>
      </c>
      <c r="L285" s="2" t="inlineStr">
        <is>
          <t>301</t>
        </is>
      </c>
    </row>
    <row r="286">
      <c r="A286" s="2" t="inlineStr">
        <is>
          <t>FTR-0285</t>
        </is>
      </c>
      <c r="B286" s="6" t="n">
        <v>46029</v>
      </c>
      <c r="C286" s="2" t="inlineStr">
        <is>
          <t>SIP-0226</t>
        </is>
      </c>
      <c r="D286" s="2" t="inlineStr">
        <is>
          <t>MUS-015</t>
        </is>
      </c>
      <c r="E286" s="2" t="inlineStr">
        <is>
          <t>EUR</t>
        </is>
      </c>
      <c r="F286" s="5" t="n">
        <v>1.1131</v>
      </c>
      <c r="G286" s="3" t="n">
        <v>14461.92</v>
      </c>
      <c r="H286" s="3" t="n">
        <v>16097.56</v>
      </c>
      <c r="I286" s="6" t="n">
        <v>46074</v>
      </c>
      <c r="J286" s="2" t="inlineStr">
        <is>
          <t>Odendi</t>
        </is>
      </c>
      <c r="K286" s="2" t="inlineStr">
        <is>
          <t>Ihracat Istisnasi</t>
        </is>
      </c>
      <c r="L286" s="2" t="inlineStr">
        <is>
          <t>301</t>
        </is>
      </c>
    </row>
    <row r="287">
      <c r="A287" s="2" t="inlineStr">
        <is>
          <t>FTR-0286</t>
        </is>
      </c>
      <c r="B287" s="6" t="n">
        <v>46013</v>
      </c>
      <c r="C287" s="2" t="inlineStr">
        <is>
          <t>SIP-0227</t>
        </is>
      </c>
      <c r="D287" s="2" t="inlineStr">
        <is>
          <t>MUS-083</t>
        </is>
      </c>
      <c r="E287" s="2" t="inlineStr">
        <is>
          <t>EUR</t>
        </is>
      </c>
      <c r="F287" s="5" t="n">
        <v>1.1131</v>
      </c>
      <c r="G287" s="3" t="n">
        <v>47441.45</v>
      </c>
      <c r="H287" s="3" t="n">
        <v>52807.08</v>
      </c>
      <c r="I287" s="6" t="n">
        <v>46073</v>
      </c>
      <c r="J287" s="2" t="inlineStr">
        <is>
          <t>Odendi</t>
        </is>
      </c>
      <c r="K287" s="2" t="inlineStr">
        <is>
          <t>Ihracat Istisnasi</t>
        </is>
      </c>
      <c r="L287" s="2" t="inlineStr">
        <is>
          <t>301</t>
        </is>
      </c>
    </row>
    <row r="288">
      <c r="A288" s="2" t="inlineStr">
        <is>
          <t>FTR-0287</t>
        </is>
      </c>
      <c r="B288" s="6" t="n">
        <v>46030</v>
      </c>
      <c r="C288" s="2" t="inlineStr">
        <is>
          <t>SIP-0228</t>
        </is>
      </c>
      <c r="D288" s="2" t="inlineStr">
        <is>
          <t>MUS-039</t>
        </is>
      </c>
      <c r="E288" s="2" t="inlineStr">
        <is>
          <t>USD</t>
        </is>
      </c>
      <c r="F288" s="5" t="n">
        <v>1</v>
      </c>
      <c r="G288" s="3" t="n">
        <v>21340.2</v>
      </c>
      <c r="H288" s="3" t="n">
        <v>21340.2</v>
      </c>
      <c r="I288" s="6" t="n">
        <v>46060</v>
      </c>
      <c r="J288" s="2" t="inlineStr">
        <is>
          <t>Odendi</t>
        </is>
      </c>
      <c r="K288" s="2" t="inlineStr">
        <is>
          <t>Ihracat Istisnasi</t>
        </is>
      </c>
      <c r="L288" s="2" t="inlineStr">
        <is>
          <t>301</t>
        </is>
      </c>
    </row>
    <row r="289">
      <c r="A289" s="2" t="inlineStr">
        <is>
          <t>FTR-0288</t>
        </is>
      </c>
      <c r="B289" s="6" t="n">
        <v>46051</v>
      </c>
      <c r="C289" s="2" t="inlineStr">
        <is>
          <t>SIP-0229</t>
        </is>
      </c>
      <c r="D289" s="2" t="inlineStr">
        <is>
          <t>MUS-022</t>
        </is>
      </c>
      <c r="E289" s="2" t="inlineStr">
        <is>
          <t>EUR</t>
        </is>
      </c>
      <c r="F289" s="5" t="n">
        <v>1.1131</v>
      </c>
      <c r="G289" s="3" t="n">
        <v>14061.87</v>
      </c>
      <c r="H289" s="3" t="n">
        <v>15652.27</v>
      </c>
      <c r="I289" s="6" t="n">
        <v>46141</v>
      </c>
      <c r="J289" s="2" t="inlineStr">
        <is>
          <t>Odendi</t>
        </is>
      </c>
      <c r="K289" s="2" t="inlineStr">
        <is>
          <t>Ihracat Istisnasi</t>
        </is>
      </c>
      <c r="L289" s="2" t="inlineStr">
        <is>
          <t>301</t>
        </is>
      </c>
    </row>
    <row r="290">
      <c r="A290" s="2" t="inlineStr">
        <is>
          <t>FTR-0289</t>
        </is>
      </c>
      <c r="B290" s="6" t="n">
        <v>46061</v>
      </c>
      <c r="C290" s="2" t="inlineStr">
        <is>
          <t>SIP-0230</t>
        </is>
      </c>
      <c r="D290" s="2" t="inlineStr">
        <is>
          <t>MUS-067</t>
        </is>
      </c>
      <c r="E290" s="2" t="inlineStr">
        <is>
          <t>USD</t>
        </is>
      </c>
      <c r="F290" s="5" t="n">
        <v>1</v>
      </c>
      <c r="G290" s="3" t="n">
        <v>12857.99</v>
      </c>
      <c r="H290" s="3" t="n">
        <v>12857.99</v>
      </c>
      <c r="I290" s="6" t="n">
        <v>46091</v>
      </c>
      <c r="J290" s="2" t="inlineStr">
        <is>
          <t>Odendi</t>
        </is>
      </c>
      <c r="K290" s="2" t="inlineStr">
        <is>
          <t>Ihracat Istisnasi</t>
        </is>
      </c>
      <c r="L290" s="2" t="inlineStr">
        <is>
          <t>301</t>
        </is>
      </c>
    </row>
    <row r="291">
      <c r="A291" s="2" t="inlineStr">
        <is>
          <t>FTR-0290</t>
        </is>
      </c>
      <c r="B291" s="6" t="n">
        <v>46062</v>
      </c>
      <c r="C291" s="2" t="inlineStr">
        <is>
          <t>SIP-0230</t>
        </is>
      </c>
      <c r="D291" s="2" t="inlineStr">
        <is>
          <t>MUS-067</t>
        </is>
      </c>
      <c r="E291" s="2" t="inlineStr">
        <is>
          <t>USD</t>
        </is>
      </c>
      <c r="F291" s="5" t="n">
        <v>1</v>
      </c>
      <c r="G291" s="3" t="n">
        <v>16078.44</v>
      </c>
      <c r="H291" s="3" t="n">
        <v>16078.44</v>
      </c>
      <c r="I291" s="6" t="n">
        <v>46092</v>
      </c>
      <c r="J291" s="2" t="inlineStr">
        <is>
          <t>Odendi</t>
        </is>
      </c>
      <c r="K291" s="2" t="inlineStr">
        <is>
          <t>Ihracat Istisnasi</t>
        </is>
      </c>
      <c r="L291" s="2" t="inlineStr">
        <is>
          <t>301</t>
        </is>
      </c>
    </row>
    <row r="292">
      <c r="A292" s="2" t="inlineStr">
        <is>
          <t>FTR-0291</t>
        </is>
      </c>
      <c r="B292" s="6" t="n">
        <v>46023</v>
      </c>
      <c r="C292" s="2" t="inlineStr">
        <is>
          <t>SIP-0231</t>
        </is>
      </c>
      <c r="D292" s="2" t="inlineStr">
        <is>
          <t>MUS-042</t>
        </is>
      </c>
      <c r="E292" s="2" t="inlineStr">
        <is>
          <t>USD</t>
        </is>
      </c>
      <c r="F292" s="5" t="n">
        <v>1</v>
      </c>
      <c r="G292" s="3" t="n">
        <v>34704.04</v>
      </c>
      <c r="H292" s="3" t="n">
        <v>34704.04</v>
      </c>
      <c r="I292" s="6" t="n">
        <v>46083</v>
      </c>
      <c r="J292" s="2" t="inlineStr">
        <is>
          <t>Odendi</t>
        </is>
      </c>
      <c r="K292" s="2" t="inlineStr">
        <is>
          <t>Ihracat Istisnasi</t>
        </is>
      </c>
      <c r="L292" s="2" t="inlineStr">
        <is>
          <t>301</t>
        </is>
      </c>
    </row>
    <row r="293">
      <c r="A293" s="2" t="inlineStr">
        <is>
          <t>FTR-0292</t>
        </is>
      </c>
      <c r="B293" s="6" t="n">
        <v>46077</v>
      </c>
      <c r="C293" s="2" t="inlineStr">
        <is>
          <t>SIP-0232</t>
        </is>
      </c>
      <c r="D293" s="2" t="inlineStr">
        <is>
          <t>MUS-069</t>
        </is>
      </c>
      <c r="E293" s="2" t="inlineStr">
        <is>
          <t>EUR</t>
        </is>
      </c>
      <c r="F293" s="5" t="n">
        <v>1.1131</v>
      </c>
      <c r="G293" s="3" t="n">
        <v>61577.31</v>
      </c>
      <c r="H293" s="3" t="n">
        <v>68541.7</v>
      </c>
      <c r="I293" s="6" t="n">
        <v>46107</v>
      </c>
      <c r="J293" s="2" t="inlineStr">
        <is>
          <t>Acik</t>
        </is>
      </c>
      <c r="K293" s="2" t="inlineStr">
        <is>
          <t>Ihracat Istisnasi</t>
        </is>
      </c>
      <c r="L293" s="2" t="inlineStr">
        <is>
          <t>301</t>
        </is>
      </c>
    </row>
    <row r="294">
      <c r="A294" s="2" t="inlineStr">
        <is>
          <t>FTR-0293</t>
        </is>
      </c>
      <c r="B294" s="6" t="n">
        <v>46017</v>
      </c>
      <c r="C294" s="2" t="inlineStr">
        <is>
          <t>SIP-0233</t>
        </is>
      </c>
      <c r="D294" s="2" t="inlineStr">
        <is>
          <t>MUS-015</t>
        </is>
      </c>
      <c r="E294" s="2" t="inlineStr">
        <is>
          <t>EUR</t>
        </is>
      </c>
      <c r="F294" s="5" t="n">
        <v>1.1131</v>
      </c>
      <c r="G294" s="3" t="n">
        <v>18958.44</v>
      </c>
      <c r="H294" s="3" t="n">
        <v>21102.64</v>
      </c>
      <c r="I294" s="6" t="n">
        <v>46062</v>
      </c>
      <c r="J294" s="2" t="inlineStr">
        <is>
          <t>Gecikmeli Odendi</t>
        </is>
      </c>
      <c r="K294" s="2" t="inlineStr">
        <is>
          <t>Ihracat Istisnasi</t>
        </is>
      </c>
      <c r="L294" s="2" t="inlineStr">
        <is>
          <t>301</t>
        </is>
      </c>
    </row>
    <row r="295">
      <c r="A295" s="2" t="inlineStr">
        <is>
          <t>FTR-0294</t>
        </is>
      </c>
      <c r="B295" s="6" t="n">
        <v>46075</v>
      </c>
      <c r="C295" s="2" t="inlineStr">
        <is>
          <t>SIP-0234</t>
        </is>
      </c>
      <c r="D295" s="2" t="inlineStr">
        <is>
          <t>MUS-052</t>
        </is>
      </c>
      <c r="E295" s="2" t="inlineStr">
        <is>
          <t>USD</t>
        </is>
      </c>
      <c r="F295" s="5" t="n">
        <v>1</v>
      </c>
      <c r="G295" s="3" t="n">
        <v>70915.60000000001</v>
      </c>
      <c r="H295" s="3" t="n">
        <v>70915.60000000001</v>
      </c>
      <c r="I295" s="6" t="n">
        <v>46120</v>
      </c>
      <c r="J295" s="2" t="inlineStr">
        <is>
          <t>Gecikmeli Odendi</t>
        </is>
      </c>
      <c r="K295" s="2" t="inlineStr">
        <is>
          <t>Ihracat Istisnasi</t>
        </is>
      </c>
      <c r="L295" s="2" t="inlineStr">
        <is>
          <t>301</t>
        </is>
      </c>
    </row>
    <row r="296">
      <c r="A296" s="2" t="inlineStr">
        <is>
          <t>FTR-0295</t>
        </is>
      </c>
      <c r="B296" s="6" t="n">
        <v>46080</v>
      </c>
      <c r="C296" s="2" t="inlineStr">
        <is>
          <t>SIP-0235</t>
        </is>
      </c>
      <c r="D296" s="2" t="inlineStr">
        <is>
          <t>MUS-003</t>
        </is>
      </c>
      <c r="E296" s="2" t="inlineStr">
        <is>
          <t>USD</t>
        </is>
      </c>
      <c r="F296" s="5" t="n">
        <v>1</v>
      </c>
      <c r="G296" s="3" t="n">
        <v>42735.78</v>
      </c>
      <c r="H296" s="3" t="n">
        <v>42735.78</v>
      </c>
      <c r="I296" s="6" t="n">
        <v>46170</v>
      </c>
      <c r="J296" s="2" t="inlineStr">
        <is>
          <t>Odendi</t>
        </is>
      </c>
      <c r="K296" s="2" t="inlineStr">
        <is>
          <t>Ihracat Istisnasi</t>
        </is>
      </c>
      <c r="L296" s="2" t="inlineStr">
        <is>
          <t>301</t>
        </is>
      </c>
    </row>
    <row r="297">
      <c r="A297" s="2" t="inlineStr">
        <is>
          <t>FTR-0296</t>
        </is>
      </c>
      <c r="B297" s="6" t="n">
        <v>46063</v>
      </c>
      <c r="C297" s="2" t="inlineStr">
        <is>
          <t>SIP-0236</t>
        </is>
      </c>
      <c r="D297" s="2" t="inlineStr">
        <is>
          <t>MUS-021</t>
        </is>
      </c>
      <c r="E297" s="2" t="inlineStr">
        <is>
          <t>EUR</t>
        </is>
      </c>
      <c r="F297" s="5" t="n">
        <v>1.1131</v>
      </c>
      <c r="G297" s="3" t="n">
        <v>51046.62</v>
      </c>
      <c r="H297" s="3" t="n">
        <v>56819.99</v>
      </c>
      <c r="I297" s="6" t="n">
        <v>46123</v>
      </c>
      <c r="J297" s="2" t="inlineStr">
        <is>
          <t>Odendi</t>
        </is>
      </c>
      <c r="K297" s="2" t="inlineStr">
        <is>
          <t>Ihracat Istisnasi</t>
        </is>
      </c>
      <c r="L297" s="2" t="inlineStr">
        <is>
          <t>301</t>
        </is>
      </c>
    </row>
    <row r="298">
      <c r="A298" s="2" t="inlineStr">
        <is>
          <t>FTR-0297</t>
        </is>
      </c>
      <c r="B298" s="6" t="n">
        <v>46072</v>
      </c>
      <c r="C298" s="2" t="inlineStr">
        <is>
          <t>SIP-0237</t>
        </is>
      </c>
      <c r="D298" s="2" t="inlineStr">
        <is>
          <t>MUS-008</t>
        </is>
      </c>
      <c r="E298" s="2" t="inlineStr">
        <is>
          <t>USD</t>
        </is>
      </c>
      <c r="F298" s="5" t="n">
        <v>1</v>
      </c>
      <c r="G298" s="3" t="n">
        <v>54302.29</v>
      </c>
      <c r="H298" s="3" t="n">
        <v>54302.29</v>
      </c>
      <c r="I298" s="6" t="n">
        <v>46132</v>
      </c>
      <c r="J298" s="2" t="inlineStr">
        <is>
          <t>Odendi</t>
        </is>
      </c>
      <c r="K298" s="2" t="inlineStr">
        <is>
          <t>Ihracat Istisnasi</t>
        </is>
      </c>
      <c r="L298" s="2" t="inlineStr">
        <is>
          <t>301</t>
        </is>
      </c>
    </row>
    <row r="299">
      <c r="A299" s="2" t="inlineStr">
        <is>
          <t>FTR-0298</t>
        </is>
      </c>
      <c r="B299" s="6" t="n">
        <v>46025</v>
      </c>
      <c r="C299" s="2" t="inlineStr">
        <is>
          <t>SIP-0238</t>
        </is>
      </c>
      <c r="D299" s="2" t="inlineStr">
        <is>
          <t>MUS-001</t>
        </is>
      </c>
      <c r="E299" s="2" t="inlineStr">
        <is>
          <t>USD</t>
        </is>
      </c>
      <c r="F299" s="5" t="n">
        <v>1</v>
      </c>
      <c r="G299" s="3" t="n">
        <v>7949.11</v>
      </c>
      <c r="H299" s="3" t="n">
        <v>7949.11</v>
      </c>
      <c r="I299" s="6" t="n">
        <v>46085</v>
      </c>
      <c r="J299" s="2" t="inlineStr">
        <is>
          <t>Odendi</t>
        </is>
      </c>
      <c r="K299" s="2" t="inlineStr">
        <is>
          <t>Ihracat Istisnasi</t>
        </is>
      </c>
      <c r="L299" s="2" t="inlineStr">
        <is>
          <t>301</t>
        </is>
      </c>
    </row>
    <row r="300">
      <c r="A300" s="2" t="inlineStr">
        <is>
          <t>FTR-0299</t>
        </is>
      </c>
      <c r="B300" s="6" t="n">
        <v>46043</v>
      </c>
      <c r="C300" s="2" t="inlineStr">
        <is>
          <t>SIP-0239</t>
        </is>
      </c>
      <c r="D300" s="2" t="inlineStr">
        <is>
          <t>MUS-053</t>
        </is>
      </c>
      <c r="E300" s="2" t="inlineStr">
        <is>
          <t>EUR</t>
        </is>
      </c>
      <c r="F300" s="5" t="n">
        <v>1.1131</v>
      </c>
      <c r="G300" s="3" t="n">
        <v>20535.28</v>
      </c>
      <c r="H300" s="3" t="n">
        <v>22857.82</v>
      </c>
      <c r="I300" s="6" t="n">
        <v>46103</v>
      </c>
      <c r="J300" s="2" t="inlineStr">
        <is>
          <t>Odendi</t>
        </is>
      </c>
      <c r="K300" s="2" t="inlineStr">
        <is>
          <t>Ihracat Istisnasi</t>
        </is>
      </c>
      <c r="L300" s="2" t="inlineStr">
        <is>
          <t>301</t>
        </is>
      </c>
    </row>
    <row r="301">
      <c r="A301" s="2" t="inlineStr">
        <is>
          <t>FTR-0300</t>
        </is>
      </c>
      <c r="B301" s="6" t="n">
        <v>46059</v>
      </c>
      <c r="C301" s="2" t="inlineStr">
        <is>
          <t>SIP-0240</t>
        </is>
      </c>
      <c r="D301" s="2" t="inlineStr">
        <is>
          <t>MUS-063</t>
        </is>
      </c>
      <c r="E301" s="2" t="inlineStr">
        <is>
          <t>EUR</t>
        </is>
      </c>
      <c r="F301" s="5" t="n">
        <v>1.1131</v>
      </c>
      <c r="G301" s="3" t="n">
        <v>59748.89</v>
      </c>
      <c r="H301" s="3" t="n">
        <v>66506.49000000001</v>
      </c>
      <c r="I301" s="6" t="n">
        <v>46149</v>
      </c>
      <c r="J301" s="2" t="inlineStr">
        <is>
          <t>Gecikmeli Odendi</t>
        </is>
      </c>
      <c r="K301" s="2" t="inlineStr">
        <is>
          <t>Ihracat Istisnasi</t>
        </is>
      </c>
      <c r="L301" s="2" t="inlineStr">
        <is>
          <t>301</t>
        </is>
      </c>
    </row>
    <row r="302">
      <c r="A302" s="2" t="inlineStr">
        <is>
          <t>FTR-0301</t>
        </is>
      </c>
      <c r="B302" s="6" t="n">
        <v>46065</v>
      </c>
      <c r="C302" s="2" t="inlineStr">
        <is>
          <t>SIP-0241</t>
        </is>
      </c>
      <c r="D302" s="2" t="inlineStr">
        <is>
          <t>MUS-033</t>
        </is>
      </c>
      <c r="E302" s="2" t="inlineStr">
        <is>
          <t>USD</t>
        </is>
      </c>
      <c r="F302" s="5" t="n">
        <v>1</v>
      </c>
      <c r="G302" s="3" t="n">
        <v>5207.6</v>
      </c>
      <c r="H302" s="3" t="n">
        <v>5207.6</v>
      </c>
      <c r="I302" s="6" t="n">
        <v>46095</v>
      </c>
      <c r="J302" s="2" t="inlineStr">
        <is>
          <t>Gecikmeli Odendi</t>
        </is>
      </c>
      <c r="K302" s="2" t="inlineStr">
        <is>
          <t>Ihracat Istisnasi</t>
        </is>
      </c>
      <c r="L302" s="2" t="inlineStr">
        <is>
          <t>301</t>
        </is>
      </c>
    </row>
    <row r="303">
      <c r="A303" s="2" t="inlineStr">
        <is>
          <t>FTR-0302</t>
        </is>
      </c>
      <c r="B303" s="6" t="n">
        <v>46083</v>
      </c>
      <c r="C303" s="2" t="inlineStr">
        <is>
          <t>SIP-0242</t>
        </is>
      </c>
      <c r="D303" s="2" t="inlineStr">
        <is>
          <t>MUS-039</t>
        </is>
      </c>
      <c r="E303" s="2" t="inlineStr">
        <is>
          <t>USD</t>
        </is>
      </c>
      <c r="F303" s="5" t="n">
        <v>1</v>
      </c>
      <c r="G303" s="3" t="n">
        <v>34422.82</v>
      </c>
      <c r="H303" s="3" t="n">
        <v>34422.82</v>
      </c>
      <c r="I303" s="6" t="n">
        <v>46113</v>
      </c>
      <c r="J303" s="2" t="inlineStr">
        <is>
          <t>Gecikmeli Odendi</t>
        </is>
      </c>
      <c r="K303" s="2" t="inlineStr">
        <is>
          <t>Ihracat Istisnasi</t>
        </is>
      </c>
      <c r="L303" s="2" t="inlineStr">
        <is>
          <t>301</t>
        </is>
      </c>
    </row>
    <row r="304">
      <c r="A304" s="2" t="inlineStr">
        <is>
          <t>FTR-0303</t>
        </is>
      </c>
      <c r="B304" s="6" t="n">
        <v>46055</v>
      </c>
      <c r="C304" s="2" t="inlineStr">
        <is>
          <t>SIP-0243</t>
        </is>
      </c>
      <c r="D304" s="2" t="inlineStr">
        <is>
          <t>MUS-029</t>
        </is>
      </c>
      <c r="E304" s="2" t="inlineStr">
        <is>
          <t>USD</t>
        </is>
      </c>
      <c r="F304" s="5" t="n">
        <v>1</v>
      </c>
      <c r="G304" s="3" t="n">
        <v>37264.9</v>
      </c>
      <c r="H304" s="3" t="n">
        <v>37264.9</v>
      </c>
      <c r="I304" s="6" t="n">
        <v>46070</v>
      </c>
      <c r="J304" s="2" t="inlineStr">
        <is>
          <t>Gecikmeli Odendi</t>
        </is>
      </c>
      <c r="K304" s="2" t="inlineStr">
        <is>
          <t>Ihracat Istisnasi</t>
        </is>
      </c>
      <c r="L304" s="2" t="inlineStr">
        <is>
          <t>301</t>
        </is>
      </c>
    </row>
    <row r="305">
      <c r="A305" s="2" t="inlineStr">
        <is>
          <t>FTR-0304</t>
        </is>
      </c>
      <c r="B305" s="6" t="n">
        <v>46056</v>
      </c>
      <c r="C305" s="2" t="inlineStr">
        <is>
          <t>SIP-0243</t>
        </is>
      </c>
      <c r="D305" s="2" t="inlineStr">
        <is>
          <t>MUS-029</t>
        </is>
      </c>
      <c r="E305" s="2" t="inlineStr">
        <is>
          <t>USD</t>
        </is>
      </c>
      <c r="F305" s="5" t="n">
        <v>1</v>
      </c>
      <c r="G305" s="3" t="n">
        <v>44609.6</v>
      </c>
      <c r="H305" s="3" t="n">
        <v>44609.6</v>
      </c>
      <c r="I305" s="6" t="n">
        <v>46071</v>
      </c>
      <c r="J305" s="2" t="inlineStr">
        <is>
          <t>Gecikmeli Odendi</t>
        </is>
      </c>
      <c r="K305" s="2" t="inlineStr">
        <is>
          <t>Ihracat Istisnasi</t>
        </is>
      </c>
      <c r="L305" s="2" t="inlineStr">
        <is>
          <t>301</t>
        </is>
      </c>
    </row>
    <row r="306">
      <c r="A306" s="2" t="inlineStr">
        <is>
          <t>FTR-0305</t>
        </is>
      </c>
      <c r="B306" s="6" t="n">
        <v>46059</v>
      </c>
      <c r="C306" s="2" t="inlineStr">
        <is>
          <t>SIP-0244</t>
        </is>
      </c>
      <c r="D306" s="2" t="inlineStr">
        <is>
          <t>MUS-073</t>
        </is>
      </c>
      <c r="E306" s="2" t="inlineStr">
        <is>
          <t>USD</t>
        </is>
      </c>
      <c r="F306" s="5" t="n">
        <v>1</v>
      </c>
      <c r="G306" s="3" t="n">
        <v>83462.13</v>
      </c>
      <c r="H306" s="3" t="n">
        <v>83462.13</v>
      </c>
      <c r="I306" s="6" t="n">
        <v>46119</v>
      </c>
      <c r="J306" s="2" t="inlineStr">
        <is>
          <t>Odendi</t>
        </is>
      </c>
      <c r="K306" s="2" t="inlineStr">
        <is>
          <t>Ihracat Istisnasi</t>
        </is>
      </c>
      <c r="L306" s="2" t="inlineStr">
        <is>
          <t>301</t>
        </is>
      </c>
    </row>
    <row r="307">
      <c r="A307" s="2" t="inlineStr">
        <is>
          <t>FTR-0306</t>
        </is>
      </c>
      <c r="B307" s="6" t="n">
        <v>46083</v>
      </c>
      <c r="C307" s="2" t="inlineStr">
        <is>
          <t>SIP-0245</t>
        </is>
      </c>
      <c r="D307" s="2" t="inlineStr">
        <is>
          <t>MUS-037</t>
        </is>
      </c>
      <c r="E307" s="2" t="inlineStr">
        <is>
          <t>EUR</t>
        </is>
      </c>
      <c r="F307" s="5" t="n">
        <v>1.0849</v>
      </c>
      <c r="G307" s="3" t="n">
        <v>36694.01</v>
      </c>
      <c r="H307" s="3" t="n">
        <v>39809.33</v>
      </c>
      <c r="I307" s="6" t="n">
        <v>46173</v>
      </c>
      <c r="J307" s="2" t="inlineStr">
        <is>
          <t>Gecikmeli Odendi</t>
        </is>
      </c>
      <c r="K307" s="2" t="inlineStr">
        <is>
          <t>Ihracat Istisnasi</t>
        </is>
      </c>
      <c r="L307" s="2" t="inlineStr">
        <is>
          <t>301</t>
        </is>
      </c>
    </row>
    <row r="308">
      <c r="A308" s="2" t="inlineStr">
        <is>
          <t>FTR-0307</t>
        </is>
      </c>
      <c r="B308" s="6" t="n">
        <v>46090</v>
      </c>
      <c r="C308" s="2" t="inlineStr">
        <is>
          <t>SIP-0246</t>
        </is>
      </c>
      <c r="D308" s="2" t="inlineStr">
        <is>
          <t>MUS-056</t>
        </is>
      </c>
      <c r="E308" s="2" t="inlineStr">
        <is>
          <t>EUR</t>
        </is>
      </c>
      <c r="F308" s="5" t="n">
        <v>1.0849</v>
      </c>
      <c r="G308" s="3" t="n">
        <v>63021.25</v>
      </c>
      <c r="H308" s="3" t="n">
        <v>68371.75</v>
      </c>
      <c r="I308" s="6" t="n">
        <v>46105</v>
      </c>
      <c r="J308" s="2" t="inlineStr">
        <is>
          <t>Odendi</t>
        </is>
      </c>
      <c r="K308" s="2" t="inlineStr">
        <is>
          <t>Ihracat Istisnasi</t>
        </is>
      </c>
      <c r="L308" s="2" t="inlineStr">
        <is>
          <t>301</t>
        </is>
      </c>
    </row>
    <row r="309">
      <c r="A309" s="2" t="inlineStr">
        <is>
          <t>FTR-0308</t>
        </is>
      </c>
      <c r="B309" s="6" t="n">
        <v>46083</v>
      </c>
      <c r="C309" s="2" t="inlineStr">
        <is>
          <t>SIP-0247</t>
        </is>
      </c>
      <c r="D309" s="2" t="inlineStr">
        <is>
          <t>MUS-032</t>
        </is>
      </c>
      <c r="E309" s="2" t="inlineStr">
        <is>
          <t>USD</t>
        </is>
      </c>
      <c r="F309" s="5" t="n">
        <v>1</v>
      </c>
      <c r="G309" s="3" t="n">
        <v>59838.35</v>
      </c>
      <c r="H309" s="3" t="n">
        <v>59838.35</v>
      </c>
      <c r="I309" s="6" t="n">
        <v>46128</v>
      </c>
      <c r="J309" s="2" t="inlineStr">
        <is>
          <t>Acik</t>
        </is>
      </c>
      <c r="K309" s="2" t="inlineStr">
        <is>
          <t>Ihracat Istisnasi</t>
        </is>
      </c>
      <c r="L309" s="2" t="inlineStr">
        <is>
          <t>301</t>
        </is>
      </c>
    </row>
    <row r="310">
      <c r="A310" s="2" t="inlineStr">
        <is>
          <t>FTR-0309</t>
        </is>
      </c>
      <c r="B310" s="6" t="n">
        <v>46071</v>
      </c>
      <c r="C310" s="2" t="inlineStr">
        <is>
          <t>SIP-0248</t>
        </is>
      </c>
      <c r="D310" s="2" t="inlineStr">
        <is>
          <t>MUS-081</t>
        </is>
      </c>
      <c r="E310" s="2" t="inlineStr">
        <is>
          <t>USD</t>
        </is>
      </c>
      <c r="F310" s="5" t="n">
        <v>1</v>
      </c>
      <c r="G310" s="3" t="n">
        <v>10025.83</v>
      </c>
      <c r="H310" s="3" t="n">
        <v>10025.83</v>
      </c>
      <c r="I310" s="6" t="n">
        <v>46101</v>
      </c>
      <c r="J310" s="2" t="inlineStr">
        <is>
          <t>Odendi</t>
        </is>
      </c>
      <c r="K310" s="2" t="inlineStr">
        <is>
          <t>Ihracat Istisnasi</t>
        </is>
      </c>
      <c r="L310" s="2" t="inlineStr">
        <is>
          <t>301</t>
        </is>
      </c>
    </row>
    <row r="311">
      <c r="A311" s="2" t="inlineStr">
        <is>
          <t>FTR-0310</t>
        </is>
      </c>
      <c r="B311" s="6" t="n">
        <v>46072</v>
      </c>
      <c r="C311" s="2" t="inlineStr">
        <is>
          <t>SIP-0248</t>
        </is>
      </c>
      <c r="D311" s="2" t="inlineStr">
        <is>
          <t>MUS-081</t>
        </is>
      </c>
      <c r="E311" s="2" t="inlineStr">
        <is>
          <t>USD</t>
        </is>
      </c>
      <c r="F311" s="5" t="n">
        <v>1</v>
      </c>
      <c r="G311" s="3" t="n">
        <v>8776.139999999999</v>
      </c>
      <c r="H311" s="3" t="n">
        <v>8776.139999999999</v>
      </c>
      <c r="I311" s="6" t="n">
        <v>46102</v>
      </c>
      <c r="J311" s="2" t="inlineStr">
        <is>
          <t>Gecikmeli Odendi</t>
        </is>
      </c>
      <c r="K311" s="2" t="inlineStr">
        <is>
          <t>Ihracat Istisnasi</t>
        </is>
      </c>
      <c r="L311" s="2" t="inlineStr">
        <is>
          <t>301</t>
        </is>
      </c>
    </row>
    <row r="312">
      <c r="A312" s="2" t="inlineStr">
        <is>
          <t>FTR-0311</t>
        </is>
      </c>
      <c r="B312" s="6" t="n">
        <v>46111</v>
      </c>
      <c r="C312" s="2" t="inlineStr">
        <is>
          <t>SIP-0249</t>
        </is>
      </c>
      <c r="D312" s="2" t="inlineStr">
        <is>
          <t>MUS-011</t>
        </is>
      </c>
      <c r="E312" s="2" t="inlineStr">
        <is>
          <t>USD</t>
        </is>
      </c>
      <c r="F312" s="5" t="n">
        <v>1</v>
      </c>
      <c r="G312" s="3" t="n">
        <v>70123.13</v>
      </c>
      <c r="H312" s="3" t="n">
        <v>70123.13</v>
      </c>
      <c r="I312" s="6" t="n">
        <v>46171</v>
      </c>
      <c r="J312" s="2" t="inlineStr">
        <is>
          <t>Odendi</t>
        </is>
      </c>
      <c r="K312" s="2" t="inlineStr">
        <is>
          <t>Ihracat Istisnasi</t>
        </is>
      </c>
      <c r="L312" s="2" t="inlineStr">
        <is>
          <t>301</t>
        </is>
      </c>
    </row>
    <row r="313">
      <c r="A313" s="2" t="inlineStr">
        <is>
          <t>FTR-0312</t>
        </is>
      </c>
      <c r="B313" s="6" t="n">
        <v>46158</v>
      </c>
      <c r="C313" s="2" t="inlineStr">
        <is>
          <t>SIP-0250</t>
        </is>
      </c>
      <c r="D313" s="2" t="inlineStr">
        <is>
          <t>MUS-008</t>
        </is>
      </c>
      <c r="E313" s="2" t="inlineStr">
        <is>
          <t>USD</t>
        </is>
      </c>
      <c r="F313" s="5" t="n">
        <v>1</v>
      </c>
      <c r="G313" s="3" t="n">
        <v>33130.34</v>
      </c>
      <c r="H313" s="3" t="n">
        <v>33130.34</v>
      </c>
      <c r="I313" s="6" t="n">
        <v>46218</v>
      </c>
      <c r="J313" s="2" t="inlineStr">
        <is>
          <t>Odendi</t>
        </is>
      </c>
      <c r="K313" s="2" t="inlineStr">
        <is>
          <t>Ihracat Istisnasi</t>
        </is>
      </c>
      <c r="L313" s="2" t="inlineStr">
        <is>
          <t>301</t>
        </is>
      </c>
    </row>
    <row r="314">
      <c r="A314" s="2" t="inlineStr">
        <is>
          <t>FTR-0313</t>
        </is>
      </c>
      <c r="B314" s="6" t="n">
        <v>46132</v>
      </c>
      <c r="C314" s="2" t="inlineStr">
        <is>
          <t>SIP-0251</t>
        </is>
      </c>
      <c r="D314" s="2" t="inlineStr">
        <is>
          <t>MUS-064</t>
        </is>
      </c>
      <c r="E314" s="2" t="inlineStr">
        <is>
          <t>EUR</t>
        </is>
      </c>
      <c r="F314" s="5" t="n">
        <v>1.0938</v>
      </c>
      <c r="G314" s="3" t="n">
        <v>66419.06</v>
      </c>
      <c r="H314" s="3" t="n">
        <v>72649.17</v>
      </c>
      <c r="I314" s="6" t="n">
        <v>46177</v>
      </c>
      <c r="J314" s="2" t="inlineStr">
        <is>
          <t>Acik</t>
        </is>
      </c>
      <c r="K314" s="2" t="inlineStr">
        <is>
          <t>Ihracat Istisnasi</t>
        </is>
      </c>
      <c r="L314" s="2" t="inlineStr">
        <is>
          <t>301</t>
        </is>
      </c>
    </row>
    <row r="315">
      <c r="A315" s="2" t="inlineStr">
        <is>
          <t>FTR-0314</t>
        </is>
      </c>
      <c r="B315" s="6" t="n">
        <v>46088</v>
      </c>
      <c r="C315" s="2" t="inlineStr">
        <is>
          <t>SIP-0252</t>
        </is>
      </c>
      <c r="D315" s="2" t="inlineStr">
        <is>
          <t>MUS-044</t>
        </is>
      </c>
      <c r="E315" s="2" t="inlineStr">
        <is>
          <t>EUR</t>
        </is>
      </c>
      <c r="F315" s="5" t="n">
        <v>1.0938</v>
      </c>
      <c r="G315" s="3" t="n">
        <v>3218.16</v>
      </c>
      <c r="H315" s="3" t="n">
        <v>3520.02</v>
      </c>
      <c r="I315" s="6" t="n">
        <v>46148</v>
      </c>
      <c r="J315" s="2" t="inlineStr">
        <is>
          <t>Odendi</t>
        </is>
      </c>
      <c r="K315" s="2" t="inlineStr">
        <is>
          <t>Ihracat Istisnasi</t>
        </is>
      </c>
      <c r="L315" s="2" t="inlineStr">
        <is>
          <t>301</t>
        </is>
      </c>
    </row>
    <row r="316">
      <c r="A316" s="2" t="inlineStr">
        <is>
          <t>FTR-0315</t>
        </is>
      </c>
      <c r="B316" s="6" t="n">
        <v>46120</v>
      </c>
      <c r="C316" s="2" t="inlineStr">
        <is>
          <t>SIP-0253</t>
        </is>
      </c>
      <c r="D316" s="2" t="inlineStr">
        <is>
          <t>MUS-039</t>
        </is>
      </c>
      <c r="E316" s="2" t="inlineStr">
        <is>
          <t>USD</t>
        </is>
      </c>
      <c r="F316" s="5" t="n">
        <v>1</v>
      </c>
      <c r="G316" s="3" t="n">
        <v>20239.14</v>
      </c>
      <c r="H316" s="3" t="n">
        <v>20239.14</v>
      </c>
      <c r="I316" s="6" t="n">
        <v>46150</v>
      </c>
      <c r="J316" s="2" t="inlineStr">
        <is>
          <t>Odendi</t>
        </is>
      </c>
      <c r="K316" s="2" t="inlineStr">
        <is>
          <t>Ihracat Istisnasi</t>
        </is>
      </c>
      <c r="L316" s="2" t="inlineStr">
        <is>
          <t>301</t>
        </is>
      </c>
    </row>
    <row r="317">
      <c r="A317" s="2" t="inlineStr">
        <is>
          <t>FTR-0316</t>
        </is>
      </c>
      <c r="B317" s="6" t="n">
        <v>46100</v>
      </c>
      <c r="C317" s="2" t="inlineStr">
        <is>
          <t>SIP-0254</t>
        </is>
      </c>
      <c r="D317" s="2" t="inlineStr">
        <is>
          <t>MUS-030</t>
        </is>
      </c>
      <c r="E317" s="2" t="inlineStr">
        <is>
          <t>EUR</t>
        </is>
      </c>
      <c r="F317" s="5" t="n">
        <v>1.0938</v>
      </c>
      <c r="G317" s="3" t="n">
        <v>55591.36</v>
      </c>
      <c r="H317" s="3" t="n">
        <v>60805.83</v>
      </c>
      <c r="I317" s="6" t="n">
        <v>46115</v>
      </c>
      <c r="J317" s="2" t="inlineStr">
        <is>
          <t>Gecikmeli Odendi</t>
        </is>
      </c>
      <c r="K317" s="2" t="inlineStr">
        <is>
          <t>Ihracat Istisnasi</t>
        </is>
      </c>
      <c r="L317" s="2" t="inlineStr">
        <is>
          <t>301</t>
        </is>
      </c>
    </row>
    <row r="318">
      <c r="A318" s="2" t="inlineStr">
        <is>
          <t>FTR-0317</t>
        </is>
      </c>
      <c r="B318" s="6" t="n">
        <v>46104</v>
      </c>
      <c r="C318" s="2" t="inlineStr">
        <is>
          <t>SIP-0255</t>
        </is>
      </c>
      <c r="D318" s="2" t="inlineStr">
        <is>
          <t>MUS-017</t>
        </is>
      </c>
      <c r="E318" s="2" t="inlineStr">
        <is>
          <t>EUR</t>
        </is>
      </c>
      <c r="F318" s="5" t="n">
        <v>1.0938</v>
      </c>
      <c r="G318" s="3" t="n">
        <v>9842.639999999999</v>
      </c>
      <c r="H318" s="3" t="n">
        <v>10765.88</v>
      </c>
      <c r="I318" s="6" t="n">
        <v>46149</v>
      </c>
      <c r="J318" s="2" t="inlineStr">
        <is>
          <t>Odendi</t>
        </is>
      </c>
      <c r="K318" s="2" t="inlineStr">
        <is>
          <t>Ihracat Istisnasi</t>
        </is>
      </c>
      <c r="L318" s="2" t="inlineStr">
        <is>
          <t>301</t>
        </is>
      </c>
    </row>
    <row r="319">
      <c r="A319" s="2" t="inlineStr">
        <is>
          <t>FTR-0318</t>
        </is>
      </c>
      <c r="B319" s="6" t="n">
        <v>46105</v>
      </c>
      <c r="C319" s="2" t="inlineStr">
        <is>
          <t>SIP-0255</t>
        </is>
      </c>
      <c r="D319" s="2" t="inlineStr">
        <is>
          <t>MUS-017</t>
        </is>
      </c>
      <c r="E319" s="2" t="inlineStr">
        <is>
          <t>EUR</t>
        </is>
      </c>
      <c r="F319" s="5" t="n">
        <v>1.0938</v>
      </c>
      <c r="G319" s="3" t="n">
        <v>9349.66</v>
      </c>
      <c r="H319" s="3" t="n">
        <v>10226.66</v>
      </c>
      <c r="I319" s="6" t="n">
        <v>46150</v>
      </c>
      <c r="J319" s="2" t="inlineStr">
        <is>
          <t>Odendi</t>
        </is>
      </c>
      <c r="K319" s="2" t="inlineStr">
        <is>
          <t>Ihracat Istisnasi</t>
        </is>
      </c>
      <c r="L319" s="2" t="inlineStr">
        <is>
          <t>301</t>
        </is>
      </c>
    </row>
    <row r="320">
      <c r="A320" s="2" t="inlineStr">
        <is>
          <t>FTR-0319</t>
        </is>
      </c>
      <c r="B320" s="6" t="n">
        <v>46111</v>
      </c>
      <c r="C320" s="2" t="inlineStr">
        <is>
          <t>SIP-0256</t>
        </is>
      </c>
      <c r="D320" s="2" t="inlineStr">
        <is>
          <t>MUS-034</t>
        </is>
      </c>
      <c r="E320" s="2" t="inlineStr">
        <is>
          <t>EUR</t>
        </is>
      </c>
      <c r="F320" s="5" t="n">
        <v>1.0938</v>
      </c>
      <c r="G320" s="3" t="n">
        <v>70267.81</v>
      </c>
      <c r="H320" s="3" t="n">
        <v>76858.92999999999</v>
      </c>
      <c r="I320" s="6" t="n">
        <v>46171</v>
      </c>
      <c r="J320" s="2" t="inlineStr">
        <is>
          <t>Odendi</t>
        </is>
      </c>
      <c r="K320" s="2" t="inlineStr">
        <is>
          <t>Ihracat Istisnasi</t>
        </is>
      </c>
      <c r="L320" s="2" t="inlineStr">
        <is>
          <t>301</t>
        </is>
      </c>
    </row>
    <row r="321">
      <c r="A321" s="2" t="inlineStr">
        <is>
          <t>FTR-0320</t>
        </is>
      </c>
      <c r="B321" s="6" t="n">
        <v>46088</v>
      </c>
      <c r="C321" s="2" t="inlineStr">
        <is>
          <t>SIP-0257</t>
        </is>
      </c>
      <c r="D321" s="2" t="inlineStr">
        <is>
          <t>MUS-016</t>
        </is>
      </c>
      <c r="E321" s="2" t="inlineStr">
        <is>
          <t>EUR</t>
        </is>
      </c>
      <c r="F321" s="5" t="n">
        <v>1.0938</v>
      </c>
      <c r="G321" s="3" t="n">
        <v>18005.28</v>
      </c>
      <c r="H321" s="3" t="n">
        <v>19694.17</v>
      </c>
      <c r="I321" s="6" t="n">
        <v>46133</v>
      </c>
      <c r="J321" s="2" t="inlineStr">
        <is>
          <t>Odendi</t>
        </is>
      </c>
      <c r="K321" s="2" t="inlineStr">
        <is>
          <t>Ihracat Istisnasi</t>
        </is>
      </c>
      <c r="L321" s="2" t="inlineStr">
        <is>
          <t>301</t>
        </is>
      </c>
    </row>
    <row r="322">
      <c r="A322" s="2" t="inlineStr">
        <is>
          <t>FTR-0321</t>
        </is>
      </c>
      <c r="B322" s="6" t="n">
        <v>46089</v>
      </c>
      <c r="C322" s="2" t="inlineStr">
        <is>
          <t>SIP-0257</t>
        </is>
      </c>
      <c r="D322" s="2" t="inlineStr">
        <is>
          <t>MUS-016</t>
        </is>
      </c>
      <c r="E322" s="2" t="inlineStr">
        <is>
          <t>EUR</t>
        </is>
      </c>
      <c r="F322" s="5" t="n">
        <v>1.0938</v>
      </c>
      <c r="G322" s="3" t="n">
        <v>16433.54</v>
      </c>
      <c r="H322" s="3" t="n">
        <v>17975.01</v>
      </c>
      <c r="I322" s="6" t="n">
        <v>46134</v>
      </c>
      <c r="J322" s="2" t="inlineStr">
        <is>
          <t>Gecikmeli Odendi</t>
        </is>
      </c>
      <c r="K322" s="2" t="inlineStr">
        <is>
          <t>Ihracat Istisnasi</t>
        </is>
      </c>
      <c r="L322" s="2" t="inlineStr">
        <is>
          <t>301</t>
        </is>
      </c>
    </row>
    <row r="323">
      <c r="A323" s="2" t="inlineStr">
        <is>
          <t>FTR-0322</t>
        </is>
      </c>
      <c r="B323" s="6" t="n">
        <v>46112</v>
      </c>
      <c r="C323" s="2" t="inlineStr">
        <is>
          <t>SIP-0258</t>
        </is>
      </c>
      <c r="D323" s="2" t="inlineStr">
        <is>
          <t>MUS-084</t>
        </is>
      </c>
      <c r="E323" s="2" t="inlineStr">
        <is>
          <t>EUR</t>
        </is>
      </c>
      <c r="F323" s="5" t="n">
        <v>1.0657</v>
      </c>
      <c r="G323" s="3" t="n">
        <v>17113.02</v>
      </c>
      <c r="H323" s="3" t="n">
        <v>18237.35</v>
      </c>
      <c r="I323" s="6" t="n">
        <v>46202</v>
      </c>
      <c r="J323" s="2" t="inlineStr">
        <is>
          <t>Gecikmeli Odendi</t>
        </is>
      </c>
      <c r="K323" s="2" t="inlineStr">
        <is>
          <t>Ihracat Istisnasi</t>
        </is>
      </c>
      <c r="L323" s="2" t="inlineStr">
        <is>
          <t>301</t>
        </is>
      </c>
    </row>
    <row r="324">
      <c r="A324" s="2" t="inlineStr">
        <is>
          <t>FTR-0323</t>
        </is>
      </c>
      <c r="B324" s="6" t="n">
        <v>46117</v>
      </c>
      <c r="C324" s="2" t="inlineStr">
        <is>
          <t>SIP-0259</t>
        </is>
      </c>
      <c r="D324" s="2" t="inlineStr">
        <is>
          <t>MUS-066</t>
        </is>
      </c>
      <c r="E324" s="2" t="inlineStr">
        <is>
          <t>USD</t>
        </is>
      </c>
      <c r="F324" s="5" t="n">
        <v>1</v>
      </c>
      <c r="G324" s="3" t="n">
        <v>7361.58</v>
      </c>
      <c r="H324" s="3" t="n">
        <v>7361.58</v>
      </c>
      <c r="I324" s="6" t="n">
        <v>46147</v>
      </c>
      <c r="J324" s="2" t="inlineStr">
        <is>
          <t>Odendi</t>
        </is>
      </c>
      <c r="K324" s="2" t="inlineStr">
        <is>
          <t>Ihracat Istisnasi</t>
        </is>
      </c>
      <c r="L324" s="2" t="inlineStr">
        <is>
          <t>301</t>
        </is>
      </c>
    </row>
    <row r="325">
      <c r="A325" s="2" t="inlineStr">
        <is>
          <t>FTR-0324</t>
        </is>
      </c>
      <c r="B325" s="6" t="n">
        <v>46118</v>
      </c>
      <c r="C325" s="2" t="inlineStr">
        <is>
          <t>SIP-0259</t>
        </is>
      </c>
      <c r="D325" s="2" t="inlineStr">
        <is>
          <t>MUS-066</t>
        </is>
      </c>
      <c r="E325" s="2" t="inlineStr">
        <is>
          <t>USD</t>
        </is>
      </c>
      <c r="F325" s="5" t="n">
        <v>1</v>
      </c>
      <c r="G325" s="3" t="n">
        <v>6186.6</v>
      </c>
      <c r="H325" s="3" t="n">
        <v>6186.6</v>
      </c>
      <c r="I325" s="6" t="n">
        <v>46148</v>
      </c>
      <c r="J325" s="2" t="inlineStr">
        <is>
          <t>Gecikmeli Odendi</t>
        </is>
      </c>
      <c r="K325" s="2" t="inlineStr">
        <is>
          <t>Ihracat Istisnasi</t>
        </is>
      </c>
      <c r="L325" s="2" t="inlineStr">
        <is>
          <t>301</t>
        </is>
      </c>
    </row>
    <row r="326">
      <c r="A326" s="2" t="inlineStr">
        <is>
          <t>FTR-0325</t>
        </is>
      </c>
      <c r="B326" s="6" t="n">
        <v>46126</v>
      </c>
      <c r="C326" s="2" t="inlineStr">
        <is>
          <t>SIP-0260</t>
        </is>
      </c>
      <c r="D326" s="2" t="inlineStr">
        <is>
          <t>MUS-041</t>
        </is>
      </c>
      <c r="E326" s="2" t="inlineStr">
        <is>
          <t>EUR</t>
        </is>
      </c>
      <c r="F326" s="5" t="n">
        <v>1.0657</v>
      </c>
      <c r="G326" s="3" t="n">
        <v>44352.89</v>
      </c>
      <c r="H326" s="3" t="n">
        <v>47266.87</v>
      </c>
      <c r="I326" s="6" t="n">
        <v>46141</v>
      </c>
      <c r="J326" s="2" t="inlineStr">
        <is>
          <t>Odendi</t>
        </is>
      </c>
      <c r="K326" s="2" t="inlineStr">
        <is>
          <t>Ihracat Istisnasi</t>
        </is>
      </c>
      <c r="L326" s="2" t="inlineStr">
        <is>
          <t>301</t>
        </is>
      </c>
    </row>
    <row r="327">
      <c r="A327" s="2" t="inlineStr">
        <is>
          <t>FTR-0326</t>
        </is>
      </c>
      <c r="B327" s="6" t="n">
        <v>46141</v>
      </c>
      <c r="C327" s="2" t="inlineStr">
        <is>
          <t>SIP-0261</t>
        </is>
      </c>
      <c r="D327" s="2" t="inlineStr">
        <is>
          <t>MUS-072</t>
        </is>
      </c>
      <c r="E327" s="2" t="inlineStr">
        <is>
          <t>EUR</t>
        </is>
      </c>
      <c r="F327" s="5" t="n">
        <v>1.0657</v>
      </c>
      <c r="G327" s="3" t="n">
        <v>38096.34</v>
      </c>
      <c r="H327" s="3" t="n">
        <v>40599.27</v>
      </c>
      <c r="I327" s="6" t="n">
        <v>46201</v>
      </c>
      <c r="J327" s="2" t="inlineStr">
        <is>
          <t>Gecikmeli Odendi</t>
        </is>
      </c>
      <c r="K327" s="2" t="inlineStr">
        <is>
          <t>Ihracat Istisnasi</t>
        </is>
      </c>
      <c r="L327" s="2" t="inlineStr">
        <is>
          <t>301</t>
        </is>
      </c>
    </row>
    <row r="328">
      <c r="A328" s="2" t="inlineStr">
        <is>
          <t>FTR-0327</t>
        </is>
      </c>
      <c r="B328" s="6" t="n">
        <v>46107</v>
      </c>
      <c r="C328" s="2" t="inlineStr">
        <is>
          <t>SIP-0262</t>
        </is>
      </c>
      <c r="D328" s="2" t="inlineStr">
        <is>
          <t>MUS-058</t>
        </is>
      </c>
      <c r="E328" s="2" t="inlineStr">
        <is>
          <t>EUR</t>
        </is>
      </c>
      <c r="F328" s="5" t="n">
        <v>1.0657</v>
      </c>
      <c r="G328" s="3" t="n">
        <v>18159.13</v>
      </c>
      <c r="H328" s="3" t="n">
        <v>19352.19</v>
      </c>
      <c r="I328" s="6" t="n">
        <v>46137</v>
      </c>
      <c r="J328" s="2" t="inlineStr">
        <is>
          <t>Odendi</t>
        </is>
      </c>
      <c r="K328" s="2" t="inlineStr">
        <is>
          <t>Ihracat Istisnasi</t>
        </is>
      </c>
      <c r="L328" s="2" t="inlineStr">
        <is>
          <t>301</t>
        </is>
      </c>
    </row>
    <row r="329">
      <c r="A329" s="2" t="inlineStr">
        <is>
          <t>FTR-0328</t>
        </is>
      </c>
      <c r="B329" s="6" t="n">
        <v>46113</v>
      </c>
      <c r="C329" s="2" t="inlineStr">
        <is>
          <t>SIP-0263</t>
        </is>
      </c>
      <c r="D329" s="2" t="inlineStr">
        <is>
          <t>MUS-001</t>
        </is>
      </c>
      <c r="E329" s="2" t="inlineStr">
        <is>
          <t>USD</t>
        </is>
      </c>
      <c r="F329" s="5" t="n">
        <v>1</v>
      </c>
      <c r="G329" s="3" t="n">
        <v>72924.2</v>
      </c>
      <c r="H329" s="3" t="n">
        <v>72924.2</v>
      </c>
      <c r="I329" s="6" t="n">
        <v>46173</v>
      </c>
      <c r="J329" s="2" t="inlineStr">
        <is>
          <t>Odendi</t>
        </is>
      </c>
      <c r="K329" s="2" t="inlineStr">
        <is>
          <t>Ihracat Istisnasi</t>
        </is>
      </c>
      <c r="L329" s="2" t="inlineStr">
        <is>
          <t>301</t>
        </is>
      </c>
    </row>
    <row r="330">
      <c r="A330" s="2" t="inlineStr">
        <is>
          <t>FTR-0329</t>
        </is>
      </c>
      <c r="B330" s="6" t="n">
        <v>46118</v>
      </c>
      <c r="C330" s="2" t="inlineStr">
        <is>
          <t>SIP-0264</t>
        </is>
      </c>
      <c r="D330" s="2" t="inlineStr">
        <is>
          <t>MUS-046</t>
        </is>
      </c>
      <c r="E330" s="2" t="inlineStr">
        <is>
          <t>EUR</t>
        </is>
      </c>
      <c r="F330" s="5" t="n">
        <v>1.0657</v>
      </c>
      <c r="G330" s="3" t="n">
        <v>14053.88</v>
      </c>
      <c r="H330" s="3" t="n">
        <v>14977.22</v>
      </c>
      <c r="I330" s="6" t="n">
        <v>46163</v>
      </c>
      <c r="J330" s="2" t="inlineStr">
        <is>
          <t>Odendi</t>
        </is>
      </c>
      <c r="K330" s="2" t="inlineStr">
        <is>
          <t>Ihracat Istisnasi</t>
        </is>
      </c>
      <c r="L330" s="2" t="inlineStr">
        <is>
          <t>301</t>
        </is>
      </c>
    </row>
    <row r="331">
      <c r="A331" s="2" t="inlineStr">
        <is>
          <t>FTR-0330</t>
        </is>
      </c>
      <c r="B331" s="6" t="n">
        <v>46119</v>
      </c>
      <c r="C331" s="2" t="inlineStr">
        <is>
          <t>SIP-0264</t>
        </is>
      </c>
      <c r="D331" s="2" t="inlineStr">
        <is>
          <t>MUS-046</t>
        </is>
      </c>
      <c r="E331" s="2" t="inlineStr">
        <is>
          <t>EUR</t>
        </is>
      </c>
      <c r="F331" s="5" t="n">
        <v>1.0657</v>
      </c>
      <c r="G331" s="3" t="n">
        <v>15439.88</v>
      </c>
      <c r="H331" s="3" t="n">
        <v>16454.28</v>
      </c>
      <c r="I331" s="6" t="n">
        <v>46164</v>
      </c>
      <c r="J331" s="2" t="inlineStr">
        <is>
          <t>Gecikmeli Odendi</t>
        </is>
      </c>
      <c r="K331" s="2" t="inlineStr">
        <is>
          <t>Ihracat Istisnasi</t>
        </is>
      </c>
      <c r="L331" s="2" t="inlineStr">
        <is>
          <t>301</t>
        </is>
      </c>
    </row>
    <row r="332">
      <c r="A332" s="2" t="inlineStr">
        <is>
          <t>FTR-0331</t>
        </is>
      </c>
      <c r="B332" s="6" t="n">
        <v>46156</v>
      </c>
      <c r="C332" s="2" t="inlineStr">
        <is>
          <t>SIP-0265</t>
        </is>
      </c>
      <c r="D332" s="2" t="inlineStr">
        <is>
          <t>MUS-007</t>
        </is>
      </c>
      <c r="E332" s="2" t="inlineStr">
        <is>
          <t>USD</t>
        </is>
      </c>
      <c r="F332" s="5" t="n">
        <v>1</v>
      </c>
      <c r="G332" s="3" t="n">
        <v>32015.16</v>
      </c>
      <c r="H332" s="3" t="n">
        <v>32015.16</v>
      </c>
      <c r="I332" s="6" t="n">
        <v>46216</v>
      </c>
      <c r="J332" s="2" t="inlineStr">
        <is>
          <t>Acik</t>
        </is>
      </c>
      <c r="K332" s="2" t="inlineStr">
        <is>
          <t>Ihracat Istisnasi</t>
        </is>
      </c>
      <c r="L332" s="2" t="inlineStr">
        <is>
          <t>301</t>
        </is>
      </c>
    </row>
    <row r="333">
      <c r="A333" s="2" t="inlineStr">
        <is>
          <t>FTR-0332</t>
        </is>
      </c>
      <c r="B333" s="6" t="n">
        <v>46146</v>
      </c>
      <c r="C333" s="2" t="inlineStr">
        <is>
          <t>SIP-0266</t>
        </is>
      </c>
      <c r="D333" s="2" t="inlineStr">
        <is>
          <t>MUS-017</t>
        </is>
      </c>
      <c r="E333" s="2" t="inlineStr">
        <is>
          <t>EUR</t>
        </is>
      </c>
      <c r="F333" s="5" t="n">
        <v>1.0657</v>
      </c>
      <c r="G333" s="3" t="n">
        <v>6104.63</v>
      </c>
      <c r="H333" s="3" t="n">
        <v>6505.7</v>
      </c>
      <c r="I333" s="6" t="n">
        <v>46191</v>
      </c>
      <c r="J333" s="2" t="inlineStr">
        <is>
          <t>Gecikmeli Odendi</t>
        </is>
      </c>
      <c r="K333" s="2" t="inlineStr">
        <is>
          <t>Ihracat Istisnasi</t>
        </is>
      </c>
      <c r="L333" s="2" t="inlineStr">
        <is>
          <t>301</t>
        </is>
      </c>
    </row>
    <row r="334">
      <c r="A334" s="2" t="inlineStr">
        <is>
          <t>FTR-0333</t>
        </is>
      </c>
      <c r="B334" s="6" t="n">
        <v>46147</v>
      </c>
      <c r="C334" s="2" t="inlineStr">
        <is>
          <t>SIP-0266</t>
        </is>
      </c>
      <c r="D334" s="2" t="inlineStr">
        <is>
          <t>MUS-017</t>
        </is>
      </c>
      <c r="E334" s="2" t="inlineStr">
        <is>
          <t>EUR</t>
        </is>
      </c>
      <c r="F334" s="5" t="n">
        <v>1.0657</v>
      </c>
      <c r="G334" s="3" t="n">
        <v>5283.31</v>
      </c>
      <c r="H334" s="3" t="n">
        <v>5630.42</v>
      </c>
      <c r="I334" s="6" t="n">
        <v>46192</v>
      </c>
      <c r="J334" s="2" t="inlineStr">
        <is>
          <t>Odendi</t>
        </is>
      </c>
      <c r="K334" s="2" t="inlineStr">
        <is>
          <t>Ihracat Istisnasi</t>
        </is>
      </c>
      <c r="L334" s="2" t="inlineStr">
        <is>
          <t>301</t>
        </is>
      </c>
    </row>
    <row r="335">
      <c r="A335" s="2" t="inlineStr">
        <is>
          <t>FTR-0334</t>
        </is>
      </c>
      <c r="B335" s="6" t="n">
        <v>46118</v>
      </c>
      <c r="C335" s="2" t="inlineStr">
        <is>
          <t>SIP-0267</t>
        </is>
      </c>
      <c r="D335" s="2" t="inlineStr">
        <is>
          <t>MUS-036</t>
        </is>
      </c>
      <c r="E335" s="2" t="inlineStr">
        <is>
          <t>USD</t>
        </is>
      </c>
      <c r="F335" s="5" t="n">
        <v>1</v>
      </c>
      <c r="G335" s="3" t="n">
        <v>16062.61</v>
      </c>
      <c r="H335" s="3" t="n">
        <v>16062.61</v>
      </c>
      <c r="I335" s="6" t="n">
        <v>46148</v>
      </c>
      <c r="J335" s="2" t="inlineStr">
        <is>
          <t>Gecikmeli Odendi</t>
        </is>
      </c>
      <c r="K335" s="2" t="inlineStr">
        <is>
          <t>Ihracat Istisnasi</t>
        </is>
      </c>
      <c r="L335" s="2" t="inlineStr">
        <is>
          <t>301</t>
        </is>
      </c>
    </row>
    <row r="336">
      <c r="A336" s="2" t="inlineStr">
        <is>
          <t>FTR-0335</t>
        </is>
      </c>
      <c r="B336" s="6" t="n">
        <v>46119</v>
      </c>
      <c r="C336" s="2" t="inlineStr">
        <is>
          <t>SIP-0267</t>
        </is>
      </c>
      <c r="D336" s="2" t="inlineStr">
        <is>
          <t>MUS-036</t>
        </is>
      </c>
      <c r="E336" s="2" t="inlineStr">
        <is>
          <t>USD</t>
        </is>
      </c>
      <c r="F336" s="5" t="n">
        <v>1</v>
      </c>
      <c r="G336" s="3" t="n">
        <v>20803.99</v>
      </c>
      <c r="H336" s="3" t="n">
        <v>20803.99</v>
      </c>
      <c r="I336" s="6" t="n">
        <v>46149</v>
      </c>
      <c r="J336" s="2" t="inlineStr">
        <is>
          <t>Odendi</t>
        </is>
      </c>
      <c r="K336" s="2" t="inlineStr">
        <is>
          <t>Ihracat Istisnasi</t>
        </is>
      </c>
      <c r="L336" s="2" t="inlineStr">
        <is>
          <t>301</t>
        </is>
      </c>
    </row>
    <row r="337">
      <c r="A337" s="2" t="inlineStr">
        <is>
          <t>FTR-0336</t>
        </is>
      </c>
      <c r="B337" s="6" t="n">
        <v>46137</v>
      </c>
      <c r="C337" s="2" t="inlineStr">
        <is>
          <t>SIP-0268</t>
        </is>
      </c>
      <c r="D337" s="2" t="inlineStr">
        <is>
          <t>MUS-047</t>
        </is>
      </c>
      <c r="E337" s="2" t="inlineStr">
        <is>
          <t>USD</t>
        </is>
      </c>
      <c r="F337" s="5" t="n">
        <v>1</v>
      </c>
      <c r="G337" s="3" t="n">
        <v>13862.61</v>
      </c>
      <c r="H337" s="3" t="n">
        <v>13862.61</v>
      </c>
      <c r="I337" s="6" t="n">
        <v>46197</v>
      </c>
      <c r="J337" s="2" t="inlineStr">
        <is>
          <t>Odendi</t>
        </is>
      </c>
      <c r="K337" s="2" t="inlineStr">
        <is>
          <t>Ihracat Istisnasi</t>
        </is>
      </c>
      <c r="L337" s="2" t="inlineStr">
        <is>
          <t>301</t>
        </is>
      </c>
    </row>
    <row r="338">
      <c r="A338" s="2" t="inlineStr">
        <is>
          <t>FTR-0337</t>
        </is>
      </c>
      <c r="B338" s="6" t="n">
        <v>46138</v>
      </c>
      <c r="C338" s="2" t="inlineStr">
        <is>
          <t>SIP-0268</t>
        </is>
      </c>
      <c r="D338" s="2" t="inlineStr">
        <is>
          <t>MUS-047</t>
        </is>
      </c>
      <c r="E338" s="2" t="inlineStr">
        <is>
          <t>USD</t>
        </is>
      </c>
      <c r="F338" s="5" t="n">
        <v>1</v>
      </c>
      <c r="G338" s="3" t="n">
        <v>15635.67</v>
      </c>
      <c r="H338" s="3" t="n">
        <v>15635.67</v>
      </c>
      <c r="I338" s="6" t="n">
        <v>46198</v>
      </c>
      <c r="J338" s="2" t="inlineStr">
        <is>
          <t>Acik</t>
        </is>
      </c>
      <c r="K338" s="2" t="inlineStr">
        <is>
          <t>Ihracat Istisnasi</t>
        </is>
      </c>
      <c r="L338" s="2" t="inlineStr">
        <is>
          <t>301</t>
        </is>
      </c>
    </row>
    <row r="339">
      <c r="A339" s="2" t="inlineStr">
        <is>
          <t>FTR-0338</t>
        </is>
      </c>
      <c r="B339" s="6" t="n">
        <v>46140</v>
      </c>
      <c r="C339" s="2" t="inlineStr">
        <is>
          <t>SIP-0269</t>
        </is>
      </c>
      <c r="D339" s="2" t="inlineStr">
        <is>
          <t>MUS-039</t>
        </is>
      </c>
      <c r="E339" s="2" t="inlineStr">
        <is>
          <t>USD</t>
        </is>
      </c>
      <c r="F339" s="5" t="n">
        <v>1</v>
      </c>
      <c r="G339" s="3" t="n">
        <v>67550.97</v>
      </c>
      <c r="H339" s="3" t="n">
        <v>67550.97</v>
      </c>
      <c r="I339" s="6" t="n">
        <v>46170</v>
      </c>
      <c r="J339" s="2" t="inlineStr">
        <is>
          <t>Odendi</t>
        </is>
      </c>
      <c r="K339" s="2" t="inlineStr">
        <is>
          <t>Ihracat Istisnasi</t>
        </is>
      </c>
      <c r="L339" s="2" t="inlineStr">
        <is>
          <t>301</t>
        </is>
      </c>
    </row>
    <row r="340">
      <c r="A340" s="2" t="inlineStr">
        <is>
          <t>FTR-0339</t>
        </is>
      </c>
      <c r="B340" s="6" t="n">
        <v>46149</v>
      </c>
      <c r="C340" s="2" t="inlineStr">
        <is>
          <t>SIP-0270</t>
        </is>
      </c>
      <c r="D340" s="2" t="inlineStr">
        <is>
          <t>MUS-081</t>
        </is>
      </c>
      <c r="E340" s="2" t="inlineStr">
        <is>
          <t>USD</t>
        </is>
      </c>
      <c r="F340" s="5" t="n">
        <v>1</v>
      </c>
      <c r="G340" s="3" t="n">
        <v>35992.14</v>
      </c>
      <c r="H340" s="3" t="n">
        <v>35992.14</v>
      </c>
      <c r="I340" s="6" t="n">
        <v>46179</v>
      </c>
      <c r="J340" s="2" t="inlineStr">
        <is>
          <t>Acik</t>
        </is>
      </c>
      <c r="K340" s="2" t="inlineStr">
        <is>
          <t>Ihracat Istisnasi</t>
        </is>
      </c>
      <c r="L340" s="2" t="inlineStr">
        <is>
          <t>301</t>
        </is>
      </c>
    </row>
    <row r="341">
      <c r="A341" s="2" t="inlineStr">
        <is>
          <t>FTR-0340</t>
        </is>
      </c>
      <c r="B341" s="6" t="n">
        <v>46192</v>
      </c>
      <c r="C341" s="2" t="inlineStr">
        <is>
          <t>SIP-0271</t>
        </is>
      </c>
      <c r="D341" s="2" t="inlineStr">
        <is>
          <t>MUS-033</t>
        </is>
      </c>
      <c r="E341" s="2" t="inlineStr">
        <is>
          <t>USD</t>
        </is>
      </c>
      <c r="F341" s="5" t="n">
        <v>1</v>
      </c>
      <c r="G341" s="3" t="n">
        <v>63566.89</v>
      </c>
      <c r="H341" s="3" t="n">
        <v>63566.89</v>
      </c>
      <c r="I341" s="6" t="n">
        <v>46222</v>
      </c>
      <c r="J341" s="2" t="inlineStr">
        <is>
          <t>Gecikmeli Odendi</t>
        </is>
      </c>
      <c r="K341" s="2" t="inlineStr">
        <is>
          <t>Ihracat Istisnasi</t>
        </is>
      </c>
      <c r="L341" s="2" t="inlineStr">
        <is>
          <t>301</t>
        </is>
      </c>
    </row>
    <row r="342">
      <c r="A342" s="2" t="inlineStr">
        <is>
          <t>FTR-0341</t>
        </is>
      </c>
      <c r="B342" s="6" t="n">
        <v>46166</v>
      </c>
      <c r="C342" s="2" t="inlineStr">
        <is>
          <t>SIP-0272</t>
        </is>
      </c>
      <c r="D342" s="2" t="inlineStr">
        <is>
          <t>MUS-078</t>
        </is>
      </c>
      <c r="E342" s="2" t="inlineStr">
        <is>
          <t>EUR</t>
        </is>
      </c>
      <c r="F342" s="5" t="n">
        <v>1.0656</v>
      </c>
      <c r="G342" s="3" t="n">
        <v>18133.93</v>
      </c>
      <c r="H342" s="3" t="n">
        <v>19323.52</v>
      </c>
      <c r="I342" s="6" t="n">
        <v>46226</v>
      </c>
      <c r="J342" s="2" t="inlineStr">
        <is>
          <t>Gecikmeli Odendi</t>
        </is>
      </c>
      <c r="K342" s="2" t="inlineStr">
        <is>
          <t>Ihracat Istisnasi</t>
        </is>
      </c>
      <c r="L342" s="2" t="inlineStr">
        <is>
          <t>301</t>
        </is>
      </c>
    </row>
    <row r="343">
      <c r="A343" s="2" t="inlineStr">
        <is>
          <t>FTR-0342</t>
        </is>
      </c>
      <c r="B343" s="6" t="n">
        <v>46147</v>
      </c>
      <c r="C343" s="2" t="inlineStr">
        <is>
          <t>SIP-0273</t>
        </is>
      </c>
      <c r="D343" s="2" t="inlineStr">
        <is>
          <t>MUS-078</t>
        </is>
      </c>
      <c r="E343" s="2" t="inlineStr">
        <is>
          <t>EUR</t>
        </is>
      </c>
      <c r="F343" s="5" t="n">
        <v>1.0656</v>
      </c>
      <c r="G343" s="3" t="n">
        <v>4499.88</v>
      </c>
      <c r="H343" s="3" t="n">
        <v>4795.07</v>
      </c>
      <c r="I343" s="6" t="n">
        <v>46207</v>
      </c>
      <c r="J343" s="2" t="inlineStr">
        <is>
          <t>Gecikmeli Odendi</t>
        </is>
      </c>
      <c r="K343" s="2" t="inlineStr">
        <is>
          <t>Ihracat Istisnasi</t>
        </is>
      </c>
      <c r="L343" s="2" t="inlineStr">
        <is>
          <t>301</t>
        </is>
      </c>
    </row>
    <row r="344">
      <c r="A344" s="2" t="inlineStr">
        <is>
          <t>FTR-0343</t>
        </is>
      </c>
      <c r="B344" s="6" t="n">
        <v>46150</v>
      </c>
      <c r="C344" s="2" t="inlineStr">
        <is>
          <t>SIP-0274</t>
        </is>
      </c>
      <c r="D344" s="2" t="inlineStr">
        <is>
          <t>MUS-019</t>
        </is>
      </c>
      <c r="E344" s="2" t="inlineStr">
        <is>
          <t>USD</t>
        </is>
      </c>
      <c r="F344" s="5" t="n">
        <v>1</v>
      </c>
      <c r="G344" s="3" t="n">
        <v>41658.72</v>
      </c>
      <c r="H344" s="3" t="n">
        <v>41658.72</v>
      </c>
      <c r="I344" s="6" t="n">
        <v>46195</v>
      </c>
      <c r="J344" s="2" t="inlineStr">
        <is>
          <t>Odendi</t>
        </is>
      </c>
      <c r="K344" s="2" t="inlineStr">
        <is>
          <t>Ihracat Istisnasi</t>
        </is>
      </c>
      <c r="L344" s="2" t="inlineStr">
        <is>
          <t>301</t>
        </is>
      </c>
    </row>
    <row r="345">
      <c r="A345" s="2" t="inlineStr">
        <is>
          <t>FTR-0344</t>
        </is>
      </c>
      <c r="B345" s="6" t="n">
        <v>46145</v>
      </c>
      <c r="C345" s="2" t="inlineStr">
        <is>
          <t>SIP-0275</t>
        </is>
      </c>
      <c r="D345" s="2" t="inlineStr">
        <is>
          <t>MUS-031</t>
        </is>
      </c>
      <c r="E345" s="2" t="inlineStr">
        <is>
          <t>EUR</t>
        </is>
      </c>
      <c r="F345" s="5" t="n">
        <v>1.0656</v>
      </c>
      <c r="G345" s="3" t="n">
        <v>14806.02</v>
      </c>
      <c r="H345" s="3" t="n">
        <v>15777.3</v>
      </c>
      <c r="I345" s="6" t="n">
        <v>46160</v>
      </c>
      <c r="J345" s="2" t="inlineStr">
        <is>
          <t>Odendi</t>
        </is>
      </c>
      <c r="K345" s="2" t="inlineStr">
        <is>
          <t>Ihracat Istisnasi</t>
        </is>
      </c>
      <c r="L345" s="2" t="inlineStr">
        <is>
          <t>301</t>
        </is>
      </c>
    </row>
    <row r="346">
      <c r="A346" s="2" t="inlineStr">
        <is>
          <t>FTR-0345</t>
        </is>
      </c>
      <c r="B346" s="6" t="n">
        <v>46167</v>
      </c>
      <c r="C346" s="2" t="inlineStr">
        <is>
          <t>SIP-0276</t>
        </is>
      </c>
      <c r="D346" s="2" t="inlineStr">
        <is>
          <t>MUS-034</t>
        </is>
      </c>
      <c r="E346" s="2" t="inlineStr">
        <is>
          <t>EUR</t>
        </is>
      </c>
      <c r="F346" s="5" t="n">
        <v>1.0656</v>
      </c>
      <c r="G346" s="3" t="n">
        <v>4094.9</v>
      </c>
      <c r="H346" s="3" t="n">
        <v>4363.53</v>
      </c>
      <c r="I346" s="6" t="n">
        <v>46227</v>
      </c>
      <c r="J346" s="2" t="inlineStr">
        <is>
          <t>Gecikmeli Odendi</t>
        </is>
      </c>
      <c r="K346" s="2" t="inlineStr">
        <is>
          <t>Ihracat Istisnasi</t>
        </is>
      </c>
      <c r="L346" s="2" t="inlineStr">
        <is>
          <t>301</t>
        </is>
      </c>
    </row>
    <row r="347">
      <c r="A347" s="2" t="inlineStr">
        <is>
          <t>FTR-0346</t>
        </is>
      </c>
      <c r="B347" s="6" t="n">
        <v>46168</v>
      </c>
      <c r="C347" s="2" t="inlineStr">
        <is>
          <t>SIP-0276</t>
        </is>
      </c>
      <c r="D347" s="2" t="inlineStr">
        <is>
          <t>MUS-034</t>
        </is>
      </c>
      <c r="E347" s="2" t="inlineStr">
        <is>
          <t>EUR</t>
        </is>
      </c>
      <c r="F347" s="5" t="n">
        <v>1.0656</v>
      </c>
      <c r="G347" s="3" t="n">
        <v>4724.11</v>
      </c>
      <c r="H347" s="3" t="n">
        <v>5034.01</v>
      </c>
      <c r="I347" s="6" t="n">
        <v>46228</v>
      </c>
      <c r="J347" s="2" t="inlineStr">
        <is>
          <t>Odendi</t>
        </is>
      </c>
      <c r="K347" s="2" t="inlineStr">
        <is>
          <t>Ihracat Istisnasi</t>
        </is>
      </c>
      <c r="L347" s="2" t="inlineStr">
        <is>
          <t>301</t>
        </is>
      </c>
    </row>
    <row r="348">
      <c r="A348" s="2" t="inlineStr">
        <is>
          <t>FTR-0347</t>
        </is>
      </c>
      <c r="B348" s="6" t="n">
        <v>46182</v>
      </c>
      <c r="C348" s="2" t="inlineStr">
        <is>
          <t>SIP-0277</t>
        </is>
      </c>
      <c r="D348" s="2" t="inlineStr">
        <is>
          <t>MUS-008</t>
        </is>
      </c>
      <c r="E348" s="2" t="inlineStr">
        <is>
          <t>USD</t>
        </is>
      </c>
      <c r="F348" s="5" t="n">
        <v>1</v>
      </c>
      <c r="G348" s="3" t="n">
        <v>30554.41</v>
      </c>
      <c r="H348" s="3" t="n">
        <v>30554.41</v>
      </c>
      <c r="I348" s="6" t="n">
        <v>46242</v>
      </c>
      <c r="J348" s="2" t="inlineStr">
        <is>
          <t>Odendi</t>
        </is>
      </c>
      <c r="K348" s="2" t="inlineStr">
        <is>
          <t>Ihracat Istisnasi</t>
        </is>
      </c>
      <c r="L348" s="2" t="inlineStr">
        <is>
          <t>301</t>
        </is>
      </c>
    </row>
    <row r="349">
      <c r="A349" s="2" t="inlineStr">
        <is>
          <t>FTR-0348</t>
        </is>
      </c>
      <c r="B349" s="6" t="n">
        <v>46145</v>
      </c>
      <c r="C349" s="2" t="inlineStr">
        <is>
          <t>SIP-0278</t>
        </is>
      </c>
      <c r="D349" s="2" t="inlineStr">
        <is>
          <t>MUS-033</t>
        </is>
      </c>
      <c r="E349" s="2" t="inlineStr">
        <is>
          <t>USD</t>
        </is>
      </c>
      <c r="F349" s="5" t="n">
        <v>1</v>
      </c>
      <c r="G349" s="3" t="n">
        <v>31602.7</v>
      </c>
      <c r="H349" s="3" t="n">
        <v>31602.7</v>
      </c>
      <c r="I349" s="6" t="n">
        <v>46175</v>
      </c>
      <c r="J349" s="2" t="inlineStr">
        <is>
          <t>Acik</t>
        </is>
      </c>
      <c r="K349" s="2" t="inlineStr">
        <is>
          <t>Ihracat Istisnasi</t>
        </is>
      </c>
      <c r="L349" s="2" t="inlineStr">
        <is>
          <t>301</t>
        </is>
      </c>
    </row>
    <row r="350">
      <c r="A350" s="2" t="inlineStr">
        <is>
          <t>FTR-0349</t>
        </is>
      </c>
      <c r="B350" s="6" t="n">
        <v>46166</v>
      </c>
      <c r="C350" s="2" t="inlineStr">
        <is>
          <t>SIP-0279</t>
        </is>
      </c>
      <c r="D350" s="2" t="inlineStr">
        <is>
          <t>MUS-024</t>
        </is>
      </c>
      <c r="E350" s="2" t="inlineStr">
        <is>
          <t>USD</t>
        </is>
      </c>
      <c r="F350" s="5" t="n">
        <v>1</v>
      </c>
      <c r="G350" s="3" t="n">
        <v>8126.59</v>
      </c>
      <c r="H350" s="3" t="n">
        <v>8126.59</v>
      </c>
      <c r="I350" s="6" t="n">
        <v>46196</v>
      </c>
      <c r="J350" s="2" t="inlineStr">
        <is>
          <t>Gecikmeli Odendi</t>
        </is>
      </c>
      <c r="K350" s="2" t="inlineStr">
        <is>
          <t>Ihracat Istisnasi</t>
        </is>
      </c>
      <c r="L350" s="2" t="inlineStr">
        <is>
          <t>301</t>
        </is>
      </c>
    </row>
    <row r="351">
      <c r="A351" s="2" t="inlineStr">
        <is>
          <t>FTR-0350</t>
        </is>
      </c>
      <c r="B351" s="6" t="n">
        <v>46167</v>
      </c>
      <c r="C351" s="2" t="inlineStr">
        <is>
          <t>SIP-0279</t>
        </is>
      </c>
      <c r="D351" s="2" t="inlineStr">
        <is>
          <t>MUS-024</t>
        </is>
      </c>
      <c r="E351" s="2" t="inlineStr">
        <is>
          <t>USD</t>
        </is>
      </c>
      <c r="F351" s="5" t="n">
        <v>1</v>
      </c>
      <c r="G351" s="3" t="n">
        <v>10234.05</v>
      </c>
      <c r="H351" s="3" t="n">
        <v>10234.05</v>
      </c>
      <c r="I351" s="6" t="n">
        <v>46197</v>
      </c>
      <c r="J351" s="2" t="inlineStr">
        <is>
          <t>Odendi</t>
        </is>
      </c>
      <c r="K351" s="2" t="inlineStr">
        <is>
          <t>Ihracat Istisnasi</t>
        </is>
      </c>
      <c r="L351" s="2" t="inlineStr">
        <is>
          <t>301</t>
        </is>
      </c>
    </row>
    <row r="352">
      <c r="A352" s="2" t="inlineStr">
        <is>
          <t>FTR-0351</t>
        </is>
      </c>
      <c r="B352" s="6" t="n">
        <v>46157</v>
      </c>
      <c r="C352" s="2" t="inlineStr">
        <is>
          <t>SIP-0280</t>
        </is>
      </c>
      <c r="D352" s="2" t="inlineStr">
        <is>
          <t>MUS-058</t>
        </is>
      </c>
      <c r="E352" s="2" t="inlineStr">
        <is>
          <t>EUR</t>
        </is>
      </c>
      <c r="F352" s="5" t="n">
        <v>1.0656</v>
      </c>
      <c r="G352" s="3" t="n">
        <v>12047.26</v>
      </c>
      <c r="H352" s="3" t="n">
        <v>12837.56</v>
      </c>
      <c r="I352" s="6" t="n">
        <v>46187</v>
      </c>
      <c r="J352" s="2" t="inlineStr">
        <is>
          <t>Odendi</t>
        </is>
      </c>
      <c r="K352" s="2" t="inlineStr">
        <is>
          <t>Ihracat Istisnasi</t>
        </is>
      </c>
      <c r="L352" s="2" t="inlineStr">
        <is>
          <t>301</t>
        </is>
      </c>
    </row>
    <row r="353">
      <c r="A353" s="2" t="inlineStr">
        <is>
          <t>FTR-0352</t>
        </is>
      </c>
      <c r="B353" s="6" t="n">
        <v>46158</v>
      </c>
      <c r="C353" s="2" t="inlineStr">
        <is>
          <t>SIP-0280</t>
        </is>
      </c>
      <c r="D353" s="2" t="inlineStr">
        <is>
          <t>MUS-058</t>
        </is>
      </c>
      <c r="E353" s="2" t="inlineStr">
        <is>
          <t>EUR</t>
        </is>
      </c>
      <c r="F353" s="5" t="n">
        <v>1.0656</v>
      </c>
      <c r="G353" s="3" t="n">
        <v>14005.31</v>
      </c>
      <c r="H353" s="3" t="n">
        <v>14924.06</v>
      </c>
      <c r="I353" s="6" t="n">
        <v>46188</v>
      </c>
      <c r="J353" s="2" t="inlineStr">
        <is>
          <t>Gecikmeli Odendi</t>
        </is>
      </c>
      <c r="K353" s="2" t="inlineStr">
        <is>
          <t>Ihracat Istisnasi</t>
        </is>
      </c>
      <c r="L353" s="2" t="inlineStr">
        <is>
          <t>301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7" customWidth="1" min="4" max="4"/>
    <col width="25" customWidth="1" min="5" max="5"/>
    <col width="17" customWidth="1" min="6" max="6"/>
    <col width="13" customWidth="1" min="7" max="7"/>
    <col width="22" customWidth="1" min="8" max="8"/>
    <col width="17" customWidth="1" min="9" max="9"/>
  </cols>
  <sheetData>
    <row r="1">
      <c r="A1" s="1" t="inlineStr">
        <is>
          <t>Tahsilat_No</t>
        </is>
      </c>
      <c r="B1" s="1" t="inlineStr">
        <is>
          <t>Fatura_No</t>
        </is>
      </c>
      <c r="C1" s="1" t="inlineStr">
        <is>
          <t>Musteri_Kodu</t>
        </is>
      </c>
      <c r="D1" s="1" t="inlineStr">
        <is>
          <t>Tahsilat_Tarihi</t>
        </is>
      </c>
      <c r="E1" s="1" t="inlineStr">
        <is>
          <t>Tahsil_Edilen_Tutar_USD</t>
        </is>
      </c>
      <c r="F1" s="1" t="inlineStr">
        <is>
          <t>Odeme_Yontemi</t>
        </is>
      </c>
      <c r="G1" s="1" t="inlineStr">
        <is>
          <t>Gecikme_Gun</t>
        </is>
      </c>
      <c r="H1" s="1" t="inlineStr">
        <is>
          <t>Kur_Farki_Etkisi_USD</t>
        </is>
      </c>
      <c r="I1" s="1" t="inlineStr">
        <is>
          <t>Tahsilat_Durumu</t>
        </is>
      </c>
    </row>
    <row r="2">
      <c r="A2" s="2" t="inlineStr">
        <is>
          <t>THS-0001</t>
        </is>
      </c>
      <c r="B2" s="2" t="inlineStr">
        <is>
          <t>FTR-0002</t>
        </is>
      </c>
      <c r="C2" s="2" t="inlineStr">
        <is>
          <t>MUS-062</t>
        </is>
      </c>
      <c r="D2" s="6" t="n">
        <v>45515</v>
      </c>
      <c r="E2" s="3" t="n">
        <v>28948.01</v>
      </c>
      <c r="F2" s="2" t="inlineStr">
        <is>
          <t>Swift</t>
        </is>
      </c>
      <c r="G2" s="5" t="n">
        <v>5</v>
      </c>
      <c r="H2" s="3" t="n">
        <v>-333.56</v>
      </c>
      <c r="I2" s="2" t="inlineStr">
        <is>
          <t>Tam</t>
        </is>
      </c>
    </row>
    <row r="3">
      <c r="A3" s="2" t="inlineStr">
        <is>
          <t>THS-0002</t>
        </is>
      </c>
      <c r="B3" s="2" t="inlineStr">
        <is>
          <t>FTR-0004</t>
        </is>
      </c>
      <c r="C3" s="2" t="inlineStr">
        <is>
          <t>MUS-006</t>
        </is>
      </c>
      <c r="D3" s="6" t="n">
        <v>45523</v>
      </c>
      <c r="E3" s="3" t="n">
        <v>25246.81</v>
      </c>
      <c r="F3" s="2" t="inlineStr">
        <is>
          <t>Pesin Havale</t>
        </is>
      </c>
      <c r="G3" s="5" t="n">
        <v>12</v>
      </c>
      <c r="H3" s="3" t="n">
        <v>175.11</v>
      </c>
      <c r="I3" s="2" t="inlineStr">
        <is>
          <t>Tam</t>
        </is>
      </c>
    </row>
    <row r="4">
      <c r="A4" s="2" t="inlineStr">
        <is>
          <t>THS-0003</t>
        </is>
      </c>
      <c r="B4" s="2" t="inlineStr">
        <is>
          <t>FTR-0005</t>
        </is>
      </c>
      <c r="C4" s="2" t="inlineStr">
        <is>
          <t>MUS-065</t>
        </is>
      </c>
      <c r="D4" s="6" t="n">
        <v>45547</v>
      </c>
      <c r="E4" s="3" t="n">
        <v>72655.17</v>
      </c>
      <c r="F4" s="2" t="inlineStr">
        <is>
          <t>Vesaik Mukabili</t>
        </is>
      </c>
      <c r="G4" s="5" t="n">
        <v>0</v>
      </c>
      <c r="H4" s="3" t="n">
        <v>-45.08</v>
      </c>
      <c r="I4" s="2" t="inlineStr">
        <is>
          <t>Tam</t>
        </is>
      </c>
    </row>
    <row r="5">
      <c r="A5" s="2" t="inlineStr">
        <is>
          <t>THS-0004</t>
        </is>
      </c>
      <c r="B5" s="2" t="inlineStr">
        <is>
          <t>FTR-0007</t>
        </is>
      </c>
      <c r="C5" s="2" t="inlineStr">
        <is>
          <t>MUS-056</t>
        </is>
      </c>
      <c r="D5" s="6" t="n">
        <v>45506</v>
      </c>
      <c r="E5" s="3" t="n">
        <v>13649.38</v>
      </c>
      <c r="F5" s="2" t="inlineStr">
        <is>
          <t>Swift</t>
        </is>
      </c>
      <c r="G5" s="5" t="n">
        <v>12</v>
      </c>
      <c r="H5" s="3" t="n">
        <v>144.21</v>
      </c>
      <c r="I5" s="2" t="inlineStr">
        <is>
          <t>Tam</t>
        </is>
      </c>
    </row>
    <row r="6">
      <c r="A6" s="2" t="inlineStr">
        <is>
          <t>THS-0005</t>
        </is>
      </c>
      <c r="B6" s="2" t="inlineStr">
        <is>
          <t>FTR-0009</t>
        </is>
      </c>
      <c r="C6" s="2" t="inlineStr">
        <is>
          <t>MUS-015</t>
        </is>
      </c>
      <c r="D6" s="6" t="n">
        <v>45536</v>
      </c>
      <c r="E6" s="3" t="n">
        <v>25598.86</v>
      </c>
      <c r="F6" s="2" t="inlineStr">
        <is>
          <t>Pesin Havale</t>
        </is>
      </c>
      <c r="G6" s="5" t="n">
        <v>12</v>
      </c>
      <c r="H6" s="3" t="n">
        <v>245.25</v>
      </c>
      <c r="I6" s="2" t="inlineStr">
        <is>
          <t>Tam</t>
        </is>
      </c>
    </row>
    <row r="7">
      <c r="A7" s="2" t="inlineStr">
        <is>
          <t>THS-0006</t>
        </is>
      </c>
      <c r="B7" s="2" t="inlineStr">
        <is>
          <t>FTR-0010</t>
        </is>
      </c>
      <c r="C7" s="2" t="inlineStr">
        <is>
          <t>MUS-044</t>
        </is>
      </c>
      <c r="D7" s="6" t="n">
        <v>45524</v>
      </c>
      <c r="E7" s="3" t="n">
        <v>33917.51</v>
      </c>
      <c r="F7" s="2" t="inlineStr">
        <is>
          <t>Swift</t>
        </is>
      </c>
      <c r="G7" s="5" t="n">
        <v>5</v>
      </c>
      <c r="H7" s="3" t="n">
        <v>-185.06</v>
      </c>
      <c r="I7" s="2" t="inlineStr">
        <is>
          <t>Tam</t>
        </is>
      </c>
    </row>
    <row r="8">
      <c r="A8" s="2" t="inlineStr">
        <is>
          <t>THS-0007</t>
        </is>
      </c>
      <c r="B8" s="2" t="inlineStr">
        <is>
          <t>FTR-0011</t>
        </is>
      </c>
      <c r="C8" s="2" t="inlineStr">
        <is>
          <t>MUS-072</t>
        </is>
      </c>
      <c r="D8" s="6" t="n">
        <v>45516</v>
      </c>
      <c r="E8" s="3" t="n">
        <v>60730.88</v>
      </c>
      <c r="F8" s="2" t="inlineStr">
        <is>
          <t>Swift</t>
        </is>
      </c>
      <c r="G8" s="5" t="n">
        <v>0</v>
      </c>
      <c r="H8" s="3" t="n">
        <v>534.6900000000001</v>
      </c>
      <c r="I8" s="2" t="inlineStr">
        <is>
          <t>Tam</t>
        </is>
      </c>
    </row>
    <row r="9">
      <c r="A9" s="2" t="inlineStr">
        <is>
          <t>THS-0008</t>
        </is>
      </c>
      <c r="B9" s="2" t="inlineStr">
        <is>
          <t>FTR-0012</t>
        </is>
      </c>
      <c r="C9" s="2" t="inlineStr">
        <is>
          <t>MUS-066</t>
        </is>
      </c>
      <c r="D9" s="6" t="n">
        <v>45509</v>
      </c>
      <c r="E9" s="3" t="n">
        <v>42759.84</v>
      </c>
      <c r="F9" s="2" t="inlineStr">
        <is>
          <t>Vesaik Mukabili</t>
        </is>
      </c>
      <c r="G9" s="5" t="n">
        <v>5</v>
      </c>
      <c r="H9" s="3" t="n">
        <v>760.01</v>
      </c>
      <c r="I9" s="2" t="inlineStr">
        <is>
          <t>Tam</t>
        </is>
      </c>
    </row>
    <row r="10">
      <c r="A10" s="2" t="inlineStr">
        <is>
          <t>THS-0009</t>
        </is>
      </c>
      <c r="B10" s="2" t="inlineStr">
        <is>
          <t>FTR-0013</t>
        </is>
      </c>
      <c r="C10" s="2" t="inlineStr">
        <is>
          <t>MUS-038</t>
        </is>
      </c>
      <c r="D10" s="6" t="n">
        <v>45567</v>
      </c>
      <c r="E10" s="3" t="n">
        <v>77972.95</v>
      </c>
      <c r="F10" s="2" t="inlineStr">
        <is>
          <t>Pesin Havale</t>
        </is>
      </c>
      <c r="G10" s="5" t="n">
        <v>12</v>
      </c>
      <c r="H10" s="3" t="n">
        <v>-456.32</v>
      </c>
      <c r="I10" s="2" t="inlineStr">
        <is>
          <t>Kismi</t>
        </is>
      </c>
    </row>
    <row r="11">
      <c r="A11" s="2" t="inlineStr">
        <is>
          <t>THS-0010</t>
        </is>
      </c>
      <c r="B11" s="2" t="inlineStr">
        <is>
          <t>FTR-0014</t>
        </is>
      </c>
      <c r="C11" s="2" t="inlineStr">
        <is>
          <t>MUS-064</t>
        </is>
      </c>
      <c r="D11" s="6" t="n">
        <v>45494</v>
      </c>
      <c r="E11" s="3" t="n">
        <v>16554.46</v>
      </c>
      <c r="F11" s="2" t="inlineStr">
        <is>
          <t>Swift</t>
        </is>
      </c>
      <c r="G11" s="5" t="n">
        <v>0</v>
      </c>
      <c r="H11" s="3" t="n">
        <v>-136.98</v>
      </c>
      <c r="I11" s="2" t="inlineStr">
        <is>
          <t>Tam</t>
        </is>
      </c>
    </row>
    <row r="12">
      <c r="A12" s="2" t="inlineStr">
        <is>
          <t>THS-0011</t>
        </is>
      </c>
      <c r="B12" s="2" t="inlineStr">
        <is>
          <t>FTR-0016</t>
        </is>
      </c>
      <c r="C12" s="2" t="inlineStr">
        <is>
          <t>MUS-027</t>
        </is>
      </c>
      <c r="D12" s="6" t="n">
        <v>45517</v>
      </c>
      <c r="E12" s="3" t="n">
        <v>25117.77</v>
      </c>
      <c r="F12" s="2" t="inlineStr">
        <is>
          <t>Vesaik Mukabili</t>
        </is>
      </c>
      <c r="G12" s="5" t="n">
        <v>0</v>
      </c>
      <c r="H12" s="3" t="n">
        <v>-262.48</v>
      </c>
      <c r="I12" s="2" t="inlineStr">
        <is>
          <t>Tam</t>
        </is>
      </c>
    </row>
    <row r="13">
      <c r="A13" s="2" t="inlineStr">
        <is>
          <t>THS-0012</t>
        </is>
      </c>
      <c r="B13" s="2" t="inlineStr">
        <is>
          <t>FTR-0017</t>
        </is>
      </c>
      <c r="C13" s="2" t="inlineStr">
        <is>
          <t>MUS-017</t>
        </is>
      </c>
      <c r="D13" s="6" t="n">
        <v>45517</v>
      </c>
      <c r="E13" s="3" t="n">
        <v>14707.58</v>
      </c>
      <c r="F13" s="2" t="inlineStr">
        <is>
          <t>Pesin Havale</t>
        </is>
      </c>
      <c r="G13" s="5" t="n">
        <v>12</v>
      </c>
      <c r="H13" s="3" t="n">
        <v>-170.88</v>
      </c>
      <c r="I13" s="2" t="inlineStr">
        <is>
          <t>Tam</t>
        </is>
      </c>
    </row>
    <row r="14">
      <c r="A14" s="2" t="inlineStr">
        <is>
          <t>THS-0013</t>
        </is>
      </c>
      <c r="B14" s="2" t="inlineStr">
        <is>
          <t>FTR-0018</t>
        </is>
      </c>
      <c r="C14" s="2" t="inlineStr">
        <is>
          <t>MUS-017</t>
        </is>
      </c>
      <c r="D14" s="6" t="n">
        <v>45506</v>
      </c>
      <c r="E14" s="3" t="n">
        <v>12089.99</v>
      </c>
      <c r="F14" s="2" t="inlineStr">
        <is>
          <t>Swift</t>
        </is>
      </c>
      <c r="G14" s="5" t="n">
        <v>0</v>
      </c>
      <c r="H14" s="3" t="n">
        <v>112.43</v>
      </c>
      <c r="I14" s="2" t="inlineStr">
        <is>
          <t>Tam</t>
        </is>
      </c>
    </row>
    <row r="15">
      <c r="A15" s="2" t="inlineStr">
        <is>
          <t>THS-0014</t>
        </is>
      </c>
      <c r="B15" s="2" t="inlineStr">
        <is>
          <t>FTR-0019</t>
        </is>
      </c>
      <c r="C15" s="2" t="inlineStr">
        <is>
          <t>MUS-017</t>
        </is>
      </c>
      <c r="D15" s="6" t="n">
        <v>45538</v>
      </c>
      <c r="E15" s="3" t="n">
        <v>58743.26</v>
      </c>
      <c r="F15" s="2" t="inlineStr">
        <is>
          <t>Swift</t>
        </is>
      </c>
      <c r="G15" s="5" t="n">
        <v>5</v>
      </c>
      <c r="H15" s="3" t="n">
        <v>177.57</v>
      </c>
      <c r="I15" s="2" t="inlineStr">
        <is>
          <t>Tam</t>
        </is>
      </c>
    </row>
    <row r="16">
      <c r="A16" s="2" t="inlineStr">
        <is>
          <t>THS-0015</t>
        </is>
      </c>
      <c r="B16" s="2" t="inlineStr">
        <is>
          <t>FTR-0020</t>
        </is>
      </c>
      <c r="C16" s="2" t="inlineStr">
        <is>
          <t>MUS-071</t>
        </is>
      </c>
      <c r="D16" s="6" t="n">
        <v>45554</v>
      </c>
      <c r="E16" s="3" t="n">
        <v>38235.92</v>
      </c>
      <c r="F16" s="2" t="inlineStr">
        <is>
          <t>Pesin Havale</t>
        </is>
      </c>
      <c r="G16" s="5" t="n">
        <v>0</v>
      </c>
      <c r="H16" s="3" t="n">
        <v>195.24</v>
      </c>
      <c r="I16" s="2" t="inlineStr">
        <is>
          <t>Tam</t>
        </is>
      </c>
    </row>
    <row r="17">
      <c r="A17" s="2" t="inlineStr">
        <is>
          <t>THS-0016</t>
        </is>
      </c>
      <c r="B17" s="2" t="inlineStr">
        <is>
          <t>FTR-0022</t>
        </is>
      </c>
      <c r="C17" s="2" t="inlineStr">
        <is>
          <t>MUS-042</t>
        </is>
      </c>
      <c r="D17" s="6" t="n">
        <v>45570</v>
      </c>
      <c r="E17" s="3" t="n">
        <v>21816.1</v>
      </c>
      <c r="F17" s="2" t="inlineStr">
        <is>
          <t>Swift</t>
        </is>
      </c>
      <c r="G17" s="5" t="n">
        <v>12</v>
      </c>
      <c r="H17" s="3" t="n">
        <v>-74.59999999999999</v>
      </c>
      <c r="I17" s="2" t="inlineStr">
        <is>
          <t>Tam</t>
        </is>
      </c>
    </row>
    <row r="18">
      <c r="A18" s="2" t="inlineStr">
        <is>
          <t>THS-0017</t>
        </is>
      </c>
      <c r="B18" s="2" t="inlineStr">
        <is>
          <t>FTR-0023</t>
        </is>
      </c>
      <c r="C18" s="2" t="inlineStr">
        <is>
          <t>MUS-063</t>
        </is>
      </c>
      <c r="D18" s="6" t="n">
        <v>45594</v>
      </c>
      <c r="E18" s="3" t="n">
        <v>34674.39</v>
      </c>
      <c r="F18" s="2" t="inlineStr">
        <is>
          <t>Swift</t>
        </is>
      </c>
      <c r="G18" s="5" t="n">
        <v>12</v>
      </c>
      <c r="H18" s="3" t="n">
        <v>667.15</v>
      </c>
      <c r="I18" s="2" t="inlineStr">
        <is>
          <t>Tam</t>
        </is>
      </c>
    </row>
    <row r="19">
      <c r="A19" s="2" t="inlineStr">
        <is>
          <t>THS-0018</t>
        </is>
      </c>
      <c r="B19" s="2" t="inlineStr">
        <is>
          <t>FTR-0024</t>
        </is>
      </c>
      <c r="C19" s="2" t="inlineStr">
        <is>
          <t>MUS-028</t>
        </is>
      </c>
      <c r="D19" s="6" t="n">
        <v>45517</v>
      </c>
      <c r="E19" s="3" t="n">
        <v>36660.32</v>
      </c>
      <c r="F19" s="2" t="inlineStr">
        <is>
          <t>Pesin Havale</t>
        </is>
      </c>
      <c r="G19" s="5" t="n">
        <v>12</v>
      </c>
      <c r="H19" s="3" t="n">
        <v>-311.42</v>
      </c>
      <c r="I19" s="2" t="inlineStr">
        <is>
          <t>Tam</t>
        </is>
      </c>
    </row>
    <row r="20">
      <c r="A20" s="2" t="inlineStr">
        <is>
          <t>THS-0019</t>
        </is>
      </c>
      <c r="B20" s="2" t="inlineStr">
        <is>
          <t>FTR-0025</t>
        </is>
      </c>
      <c r="C20" s="2" t="inlineStr">
        <is>
          <t>MUS-010</t>
        </is>
      </c>
      <c r="D20" s="6" t="n">
        <v>45524</v>
      </c>
      <c r="E20" s="3" t="n">
        <v>24966.69</v>
      </c>
      <c r="F20" s="2" t="inlineStr">
        <is>
          <t>Swift</t>
        </is>
      </c>
      <c r="G20" s="5" t="n">
        <v>12</v>
      </c>
      <c r="H20" s="3" t="n">
        <v>334.31</v>
      </c>
      <c r="I20" s="2" t="inlineStr">
        <is>
          <t>Tam</t>
        </is>
      </c>
    </row>
    <row r="21">
      <c r="A21" s="2" t="inlineStr">
        <is>
          <t>THS-0020</t>
        </is>
      </c>
      <c r="B21" s="2" t="inlineStr">
        <is>
          <t>FTR-0026</t>
        </is>
      </c>
      <c r="C21" s="2" t="inlineStr">
        <is>
          <t>MUS-048</t>
        </is>
      </c>
      <c r="D21" s="6" t="n">
        <v>45569</v>
      </c>
      <c r="E21" s="3" t="n">
        <v>10649.32</v>
      </c>
      <c r="F21" s="2" t="inlineStr">
        <is>
          <t>Swift</t>
        </is>
      </c>
      <c r="G21" s="5" t="n">
        <v>0</v>
      </c>
      <c r="H21" s="3" t="n">
        <v>-81.66</v>
      </c>
      <c r="I21" s="2" t="inlineStr">
        <is>
          <t>Tam</t>
        </is>
      </c>
    </row>
    <row r="22">
      <c r="A22" s="2" t="inlineStr">
        <is>
          <t>THS-0021</t>
        </is>
      </c>
      <c r="B22" s="2" t="inlineStr">
        <is>
          <t>FTR-0027</t>
        </is>
      </c>
      <c r="C22" s="2" t="inlineStr">
        <is>
          <t>MUS-051</t>
        </is>
      </c>
      <c r="D22" s="6" t="n">
        <v>45579</v>
      </c>
      <c r="E22" s="3" t="n">
        <v>3446.58</v>
      </c>
      <c r="F22" s="2" t="inlineStr">
        <is>
          <t>Swift</t>
        </is>
      </c>
      <c r="G22" s="5" t="n">
        <v>5</v>
      </c>
      <c r="H22" s="3" t="n">
        <v>57.11</v>
      </c>
      <c r="I22" s="2" t="inlineStr">
        <is>
          <t>Tam</t>
        </is>
      </c>
    </row>
    <row r="23">
      <c r="A23" s="2" t="inlineStr">
        <is>
          <t>THS-0022</t>
        </is>
      </c>
      <c r="B23" s="2" t="inlineStr">
        <is>
          <t>FTR-0028</t>
        </is>
      </c>
      <c r="C23" s="2" t="inlineStr">
        <is>
          <t>MUS-015</t>
        </is>
      </c>
      <c r="D23" s="6" t="n">
        <v>45610</v>
      </c>
      <c r="E23" s="3" t="n">
        <v>5698.68</v>
      </c>
      <c r="F23" s="2" t="inlineStr">
        <is>
          <t>Pesin Havale</t>
        </is>
      </c>
      <c r="G23" s="5" t="n">
        <v>0</v>
      </c>
      <c r="H23" s="3" t="n">
        <v>-42.5</v>
      </c>
      <c r="I23" s="2" t="inlineStr">
        <is>
          <t>Tam</t>
        </is>
      </c>
    </row>
    <row r="24">
      <c r="A24" s="2" t="inlineStr">
        <is>
          <t>THS-0023</t>
        </is>
      </c>
      <c r="B24" s="2" t="inlineStr">
        <is>
          <t>FTR-0030</t>
        </is>
      </c>
      <c r="C24" s="2" t="inlineStr">
        <is>
          <t>MUS-054</t>
        </is>
      </c>
      <c r="D24" s="6" t="n">
        <v>45624</v>
      </c>
      <c r="E24" s="3" t="n">
        <v>22130.75</v>
      </c>
      <c r="F24" s="2" t="inlineStr">
        <is>
          <t>Swift</t>
        </is>
      </c>
      <c r="G24" s="5" t="n">
        <v>0</v>
      </c>
      <c r="H24" s="3" t="n">
        <v>147.84</v>
      </c>
      <c r="I24" s="2" t="inlineStr">
        <is>
          <t>Tam</t>
        </is>
      </c>
    </row>
    <row r="25">
      <c r="A25" s="2" t="inlineStr">
        <is>
          <t>THS-0024</t>
        </is>
      </c>
      <c r="B25" s="2" t="inlineStr">
        <is>
          <t>FTR-0031</t>
        </is>
      </c>
      <c r="C25" s="2" t="inlineStr">
        <is>
          <t>MUS-011</t>
        </is>
      </c>
      <c r="D25" s="6" t="n">
        <v>45603</v>
      </c>
      <c r="E25" s="3" t="n">
        <v>11014.09</v>
      </c>
      <c r="F25" s="2" t="inlineStr">
        <is>
          <t>Swift</t>
        </is>
      </c>
      <c r="G25" s="5" t="n">
        <v>35</v>
      </c>
      <c r="H25" s="3" t="n">
        <v>-156.98</v>
      </c>
      <c r="I25" s="2" t="inlineStr">
        <is>
          <t>Tam</t>
        </is>
      </c>
    </row>
    <row r="26">
      <c r="A26" s="2" t="inlineStr">
        <is>
          <t>THS-0025</t>
        </is>
      </c>
      <c r="B26" s="2" t="inlineStr">
        <is>
          <t>FTR-0032</t>
        </is>
      </c>
      <c r="C26" s="2" t="inlineStr">
        <is>
          <t>MUS-067</t>
        </is>
      </c>
      <c r="D26" s="6" t="n">
        <v>45580</v>
      </c>
      <c r="E26" s="3" t="n">
        <v>37994.92</v>
      </c>
      <c r="F26" s="2" t="inlineStr">
        <is>
          <t>Vesaik Mukabili</t>
        </is>
      </c>
      <c r="G26" s="5" t="n">
        <v>12</v>
      </c>
      <c r="H26" s="3" t="n">
        <v>457.73</v>
      </c>
      <c r="I26" s="2" t="inlineStr">
        <is>
          <t>Kismi</t>
        </is>
      </c>
    </row>
    <row r="27">
      <c r="A27" s="2" t="inlineStr">
        <is>
          <t>THS-0026</t>
        </is>
      </c>
      <c r="B27" s="2" t="inlineStr">
        <is>
          <t>FTR-0033</t>
        </is>
      </c>
      <c r="C27" s="2" t="inlineStr">
        <is>
          <t>MUS-082</t>
        </is>
      </c>
      <c r="D27" s="6" t="n">
        <v>45562</v>
      </c>
      <c r="E27" s="3" t="n">
        <v>3269.17</v>
      </c>
      <c r="F27" s="2" t="inlineStr">
        <is>
          <t>Swift</t>
        </is>
      </c>
      <c r="G27" s="5" t="n">
        <v>0</v>
      </c>
      <c r="H27" s="3" t="n">
        <v>-7.48</v>
      </c>
      <c r="I27" s="2" t="inlineStr">
        <is>
          <t>Kismi</t>
        </is>
      </c>
    </row>
    <row r="28">
      <c r="A28" s="2" t="inlineStr">
        <is>
          <t>THS-0027</t>
        </is>
      </c>
      <c r="B28" s="2" t="inlineStr">
        <is>
          <t>FTR-0034</t>
        </is>
      </c>
      <c r="C28" s="2" t="inlineStr">
        <is>
          <t>MUS-082</t>
        </is>
      </c>
      <c r="D28" s="6" t="n">
        <v>45568</v>
      </c>
      <c r="E28" s="3" t="n">
        <v>4962.21</v>
      </c>
      <c r="F28" s="2" t="inlineStr">
        <is>
          <t>Swift</t>
        </is>
      </c>
      <c r="G28" s="5" t="n">
        <v>5</v>
      </c>
      <c r="H28" s="3" t="n">
        <v>37.13</v>
      </c>
      <c r="I28" s="2" t="inlineStr">
        <is>
          <t>Tam</t>
        </is>
      </c>
    </row>
    <row r="29">
      <c r="A29" s="2" t="inlineStr">
        <is>
          <t>THS-0028</t>
        </is>
      </c>
      <c r="B29" s="2" t="inlineStr">
        <is>
          <t>FTR-0035</t>
        </is>
      </c>
      <c r="C29" s="2" t="inlineStr">
        <is>
          <t>MUS-070</t>
        </is>
      </c>
      <c r="D29" s="6" t="n">
        <v>45581</v>
      </c>
      <c r="E29" s="3" t="n">
        <v>7548.02</v>
      </c>
      <c r="F29" s="2" t="inlineStr">
        <is>
          <t>Swift</t>
        </is>
      </c>
      <c r="G29" s="5" t="n">
        <v>5</v>
      </c>
      <c r="H29" s="3" t="n">
        <v>122.88</v>
      </c>
      <c r="I29" s="2" t="inlineStr">
        <is>
          <t>Tam</t>
        </is>
      </c>
    </row>
    <row r="30">
      <c r="A30" s="2" t="inlineStr">
        <is>
          <t>THS-0029</t>
        </is>
      </c>
      <c r="B30" s="2" t="inlineStr">
        <is>
          <t>FTR-0036</t>
        </is>
      </c>
      <c r="C30" s="2" t="inlineStr">
        <is>
          <t>MUS-069</t>
        </is>
      </c>
      <c r="D30" s="6" t="n">
        <v>45564</v>
      </c>
      <c r="E30" s="3" t="n">
        <v>1572.84</v>
      </c>
      <c r="F30" s="2" t="inlineStr">
        <is>
          <t>Vesaik Mukabili</t>
        </is>
      </c>
      <c r="G30" s="5" t="n">
        <v>21</v>
      </c>
      <c r="H30" s="3" t="n">
        <v>21.5</v>
      </c>
      <c r="I30" s="2" t="inlineStr">
        <is>
          <t>Tam</t>
        </is>
      </c>
    </row>
    <row r="31">
      <c r="A31" s="2" t="inlineStr">
        <is>
          <t>THS-0030</t>
        </is>
      </c>
      <c r="B31" s="2" t="inlineStr">
        <is>
          <t>FTR-0037</t>
        </is>
      </c>
      <c r="C31" s="2" t="inlineStr">
        <is>
          <t>MUS-039</t>
        </is>
      </c>
      <c r="D31" s="6" t="n">
        <v>45544</v>
      </c>
      <c r="E31" s="3" t="n">
        <v>16831.07</v>
      </c>
      <c r="F31" s="2" t="inlineStr">
        <is>
          <t>Swift</t>
        </is>
      </c>
      <c r="G31" s="5" t="n">
        <v>5</v>
      </c>
      <c r="H31" s="3" t="n">
        <v>209.55</v>
      </c>
      <c r="I31" s="2" t="inlineStr">
        <is>
          <t>Tam</t>
        </is>
      </c>
    </row>
    <row r="32">
      <c r="A32" s="2" t="inlineStr">
        <is>
          <t>THS-0031</t>
        </is>
      </c>
      <c r="B32" s="2" t="inlineStr">
        <is>
          <t>FTR-0038</t>
        </is>
      </c>
      <c r="C32" s="2" t="inlineStr">
        <is>
          <t>MUS-039</t>
        </is>
      </c>
      <c r="D32" s="6" t="n">
        <v>45552</v>
      </c>
      <c r="E32" s="3" t="n">
        <v>12955.9</v>
      </c>
      <c r="F32" s="2" t="inlineStr">
        <is>
          <t>Pesin Havale</t>
        </is>
      </c>
      <c r="G32" s="5" t="n">
        <v>12</v>
      </c>
      <c r="H32" s="3" t="n">
        <v>-121.95</v>
      </c>
      <c r="I32" s="2" t="inlineStr">
        <is>
          <t>Tam</t>
        </is>
      </c>
    </row>
    <row r="33">
      <c r="A33" s="2" t="inlineStr">
        <is>
          <t>THS-0032</t>
        </is>
      </c>
      <c r="B33" s="2" t="inlineStr">
        <is>
          <t>FTR-0039</t>
        </is>
      </c>
      <c r="C33" s="2" t="inlineStr">
        <is>
          <t>MUS-013</t>
        </is>
      </c>
      <c r="D33" s="6" t="n">
        <v>45558</v>
      </c>
      <c r="E33" s="3" t="n">
        <v>19639.9</v>
      </c>
      <c r="F33" s="2" t="inlineStr">
        <is>
          <t>Swift</t>
        </is>
      </c>
      <c r="G33" s="5" t="n">
        <v>0</v>
      </c>
      <c r="H33" s="3" t="n">
        <v>198.82</v>
      </c>
      <c r="I33" s="2" t="inlineStr">
        <is>
          <t>Tam</t>
        </is>
      </c>
    </row>
    <row r="34">
      <c r="A34" s="2" t="inlineStr">
        <is>
          <t>THS-0033</t>
        </is>
      </c>
      <c r="B34" s="2" t="inlineStr">
        <is>
          <t>FTR-0040</t>
        </is>
      </c>
      <c r="C34" s="2" t="inlineStr">
        <is>
          <t>MUS-041</t>
        </is>
      </c>
      <c r="D34" s="6" t="n">
        <v>45535</v>
      </c>
      <c r="E34" s="3" t="n">
        <v>112163.97</v>
      </c>
      <c r="F34" s="2" t="inlineStr">
        <is>
          <t>Pesin Havale</t>
        </is>
      </c>
      <c r="G34" s="5" t="n">
        <v>0</v>
      </c>
      <c r="H34" s="3" t="n">
        <v>2120.69</v>
      </c>
      <c r="I34" s="2" t="inlineStr">
        <is>
          <t>Tam</t>
        </is>
      </c>
    </row>
    <row r="35">
      <c r="A35" s="2" t="inlineStr">
        <is>
          <t>THS-0034</t>
        </is>
      </c>
      <c r="B35" s="2" t="inlineStr">
        <is>
          <t>FTR-0042</t>
        </is>
      </c>
      <c r="C35" s="2" t="inlineStr">
        <is>
          <t>MUS-063</t>
        </is>
      </c>
      <c r="D35" s="6" t="n">
        <v>45642</v>
      </c>
      <c r="E35" s="3" t="n">
        <v>22815.27</v>
      </c>
      <c r="F35" s="2" t="inlineStr">
        <is>
          <t>Pesin Havale</t>
        </is>
      </c>
      <c r="G35" s="5" t="n">
        <v>21</v>
      </c>
      <c r="H35" s="3" t="n">
        <v>410.58</v>
      </c>
      <c r="I35" s="2" t="inlineStr">
        <is>
          <t>Tam</t>
        </is>
      </c>
    </row>
    <row r="36">
      <c r="A36" s="2" t="inlineStr">
        <is>
          <t>THS-0035</t>
        </is>
      </c>
      <c r="B36" s="2" t="inlineStr">
        <is>
          <t>FTR-0043</t>
        </is>
      </c>
      <c r="C36" s="2" t="inlineStr">
        <is>
          <t>MUS-069</t>
        </is>
      </c>
      <c r="D36" s="6" t="n">
        <v>45567</v>
      </c>
      <c r="E36" s="3" t="n">
        <v>77659.48</v>
      </c>
      <c r="F36" s="2" t="inlineStr">
        <is>
          <t>Swift</t>
        </is>
      </c>
      <c r="G36" s="5" t="n">
        <v>0</v>
      </c>
      <c r="H36" s="3" t="n">
        <v>143.91</v>
      </c>
      <c r="I36" s="2" t="inlineStr">
        <is>
          <t>Tam</t>
        </is>
      </c>
    </row>
    <row r="37">
      <c r="A37" s="2" t="inlineStr">
        <is>
          <t>THS-0036</t>
        </is>
      </c>
      <c r="B37" s="2" t="inlineStr">
        <is>
          <t>FTR-0044</t>
        </is>
      </c>
      <c r="C37" s="2" t="inlineStr">
        <is>
          <t>MUS-048</t>
        </is>
      </c>
      <c r="D37" s="6" t="n">
        <v>45556</v>
      </c>
      <c r="E37" s="3" t="n">
        <v>37749.48</v>
      </c>
      <c r="F37" s="2" t="inlineStr">
        <is>
          <t>Swift</t>
        </is>
      </c>
      <c r="G37" s="5" t="n">
        <v>5</v>
      </c>
      <c r="H37" s="3" t="n">
        <v>166.61</v>
      </c>
      <c r="I37" s="2" t="inlineStr">
        <is>
          <t>Tam</t>
        </is>
      </c>
    </row>
    <row r="38">
      <c r="A38" s="2" t="inlineStr">
        <is>
          <t>THS-0037</t>
        </is>
      </c>
      <c r="B38" s="2" t="inlineStr">
        <is>
          <t>FTR-0045</t>
        </is>
      </c>
      <c r="C38" s="2" t="inlineStr">
        <is>
          <t>MUS-080</t>
        </is>
      </c>
      <c r="D38" s="6" t="n">
        <v>45575</v>
      </c>
      <c r="E38" s="3" t="n">
        <v>7599.78</v>
      </c>
      <c r="F38" s="2" t="inlineStr">
        <is>
          <t>Swift</t>
        </is>
      </c>
      <c r="G38" s="5" t="n">
        <v>0</v>
      </c>
      <c r="H38" s="3" t="n">
        <v>-12.86</v>
      </c>
      <c r="I38" s="2" t="inlineStr">
        <is>
          <t>Tam</t>
        </is>
      </c>
    </row>
    <row r="39">
      <c r="A39" s="2" t="inlineStr">
        <is>
          <t>THS-0038</t>
        </is>
      </c>
      <c r="B39" s="2" t="inlineStr">
        <is>
          <t>FTR-0046</t>
        </is>
      </c>
      <c r="C39" s="2" t="inlineStr">
        <is>
          <t>MUS-022</t>
        </is>
      </c>
      <c r="D39" s="6" t="n">
        <v>45698</v>
      </c>
      <c r="E39" s="3" t="n">
        <v>4962.41</v>
      </c>
      <c r="F39" s="2" t="inlineStr">
        <is>
          <t>Swift</t>
        </is>
      </c>
      <c r="G39" s="5" t="n">
        <v>35</v>
      </c>
      <c r="H39" s="3" t="n">
        <v>25.5</v>
      </c>
      <c r="I39" s="2" t="inlineStr">
        <is>
          <t>Tam</t>
        </is>
      </c>
    </row>
    <row r="40">
      <c r="A40" s="2" t="inlineStr">
        <is>
          <t>THS-0039</t>
        </is>
      </c>
      <c r="B40" s="2" t="inlineStr">
        <is>
          <t>FTR-0047</t>
        </is>
      </c>
      <c r="C40" s="2" t="inlineStr">
        <is>
          <t>MUS-038</t>
        </is>
      </c>
      <c r="D40" s="6" t="n">
        <v>45660</v>
      </c>
      <c r="E40" s="3" t="n">
        <v>6678.35</v>
      </c>
      <c r="F40" s="2" t="inlineStr">
        <is>
          <t>Vesaik Mukabili</t>
        </is>
      </c>
      <c r="G40" s="5" t="n">
        <v>5</v>
      </c>
      <c r="H40" s="3" t="n">
        <v>124.79</v>
      </c>
      <c r="I40" s="2" t="inlineStr">
        <is>
          <t>Tam</t>
        </is>
      </c>
    </row>
    <row r="41">
      <c r="A41" s="2" t="inlineStr">
        <is>
          <t>THS-0040</t>
        </is>
      </c>
      <c r="B41" s="2" t="inlineStr">
        <is>
          <t>FTR-0048</t>
        </is>
      </c>
      <c r="C41" s="2" t="inlineStr">
        <is>
          <t>MUS-084</t>
        </is>
      </c>
      <c r="D41" s="6" t="n">
        <v>45639</v>
      </c>
      <c r="E41" s="3" t="n">
        <v>3395.49</v>
      </c>
      <c r="F41" s="2" t="inlineStr">
        <is>
          <t>Vesaik Mukabili</t>
        </is>
      </c>
      <c r="G41" s="5" t="n">
        <v>5</v>
      </c>
      <c r="H41" s="3" t="n">
        <v>-33.75</v>
      </c>
      <c r="I41" s="2" t="inlineStr">
        <is>
          <t>Tam</t>
        </is>
      </c>
    </row>
    <row r="42">
      <c r="A42" s="2" t="inlineStr">
        <is>
          <t>THS-0041</t>
        </is>
      </c>
      <c r="B42" s="2" t="inlineStr">
        <is>
          <t>FTR-0050</t>
        </is>
      </c>
      <c r="C42" s="2" t="inlineStr">
        <is>
          <t>MUS-031</t>
        </is>
      </c>
      <c r="D42" s="6" t="n">
        <v>45557</v>
      </c>
      <c r="E42" s="3" t="n">
        <v>11844.29</v>
      </c>
      <c r="F42" s="2" t="inlineStr">
        <is>
          <t>Vesaik Mukabili</t>
        </is>
      </c>
      <c r="G42" s="5" t="n">
        <v>0</v>
      </c>
      <c r="H42" s="3" t="n">
        <v>-131.58</v>
      </c>
      <c r="I42" s="2" t="inlineStr">
        <is>
          <t>Tam</t>
        </is>
      </c>
    </row>
    <row r="43">
      <c r="A43" s="2" t="inlineStr">
        <is>
          <t>THS-0042</t>
        </is>
      </c>
      <c r="B43" s="2" t="inlineStr">
        <is>
          <t>FTR-0051</t>
        </is>
      </c>
      <c r="C43" s="2" t="inlineStr">
        <is>
          <t>MUS-031</t>
        </is>
      </c>
      <c r="D43" s="6" t="n">
        <v>45558</v>
      </c>
      <c r="E43" s="3" t="n">
        <v>8055.72</v>
      </c>
      <c r="F43" s="2" t="inlineStr">
        <is>
          <t>Pesin Havale</t>
        </is>
      </c>
      <c r="G43" s="5" t="n">
        <v>0</v>
      </c>
      <c r="H43" s="3" t="n">
        <v>10.4</v>
      </c>
      <c r="I43" s="2" t="inlineStr">
        <is>
          <t>Kismi</t>
        </is>
      </c>
    </row>
    <row r="44">
      <c r="A44" s="2" t="inlineStr">
        <is>
          <t>THS-0043</t>
        </is>
      </c>
      <c r="B44" s="2" t="inlineStr">
        <is>
          <t>FTR-0052</t>
        </is>
      </c>
      <c r="C44" s="2" t="inlineStr">
        <is>
          <t>MUS-012</t>
        </is>
      </c>
      <c r="D44" s="6" t="n">
        <v>45582</v>
      </c>
      <c r="E44" s="3" t="n">
        <v>31271.89</v>
      </c>
      <c r="F44" s="2" t="inlineStr">
        <is>
          <t>Swift</t>
        </is>
      </c>
      <c r="G44" s="5" t="n">
        <v>0</v>
      </c>
      <c r="H44" s="3" t="n">
        <v>248.01</v>
      </c>
      <c r="I44" s="2" t="inlineStr">
        <is>
          <t>Kismi</t>
        </is>
      </c>
    </row>
    <row r="45">
      <c r="A45" s="2" t="inlineStr">
        <is>
          <t>THS-0044</t>
        </is>
      </c>
      <c r="B45" s="2" t="inlineStr">
        <is>
          <t>FTR-0053</t>
        </is>
      </c>
      <c r="C45" s="2" t="inlineStr">
        <is>
          <t>MUS-068</t>
        </is>
      </c>
      <c r="D45" s="6" t="n">
        <v>45574</v>
      </c>
      <c r="E45" s="3" t="n">
        <v>34991.19</v>
      </c>
      <c r="F45" s="2" t="inlineStr">
        <is>
          <t>Pesin Havale</t>
        </is>
      </c>
      <c r="G45" s="5" t="n">
        <v>21</v>
      </c>
      <c r="H45" s="3" t="n">
        <v>-100.59</v>
      </c>
      <c r="I45" s="2" t="inlineStr">
        <is>
          <t>Tam</t>
        </is>
      </c>
    </row>
    <row r="46">
      <c r="A46" s="2" t="inlineStr">
        <is>
          <t>THS-0045</t>
        </is>
      </c>
      <c r="B46" s="2" t="inlineStr">
        <is>
          <t>FTR-0054</t>
        </is>
      </c>
      <c r="C46" s="2" t="inlineStr">
        <is>
          <t>MUS-014</t>
        </is>
      </c>
      <c r="D46" s="6" t="n">
        <v>45622</v>
      </c>
      <c r="E46" s="3" t="n">
        <v>34709.52</v>
      </c>
      <c r="F46" s="2" t="inlineStr">
        <is>
          <t>Swift</t>
        </is>
      </c>
      <c r="G46" s="5" t="n">
        <v>12</v>
      </c>
      <c r="H46" s="3" t="n">
        <v>-249</v>
      </c>
      <c r="I46" s="2" t="inlineStr">
        <is>
          <t>Tam</t>
        </is>
      </c>
    </row>
    <row r="47">
      <c r="A47" s="2" t="inlineStr">
        <is>
          <t>THS-0046</t>
        </is>
      </c>
      <c r="B47" s="2" t="inlineStr">
        <is>
          <t>FTR-0055</t>
        </is>
      </c>
      <c r="C47" s="2" t="inlineStr">
        <is>
          <t>MUS-071</t>
        </is>
      </c>
      <c r="D47" s="6" t="n">
        <v>45609</v>
      </c>
      <c r="E47" s="3" t="n">
        <v>22483.94</v>
      </c>
      <c r="F47" s="2" t="inlineStr">
        <is>
          <t>Swift</t>
        </is>
      </c>
      <c r="G47" s="5" t="n">
        <v>0</v>
      </c>
      <c r="H47" s="3" t="n">
        <v>145.09</v>
      </c>
      <c r="I47" s="2" t="inlineStr">
        <is>
          <t>Tam</t>
        </is>
      </c>
    </row>
    <row r="48">
      <c r="A48" s="2" t="inlineStr">
        <is>
          <t>THS-0047</t>
        </is>
      </c>
      <c r="B48" s="2" t="inlineStr">
        <is>
          <t>FTR-0056</t>
        </is>
      </c>
      <c r="C48" s="2" t="inlineStr">
        <is>
          <t>MUS-071</t>
        </is>
      </c>
      <c r="D48" s="6" t="n">
        <v>45615</v>
      </c>
      <c r="E48" s="3" t="n">
        <v>24511.07</v>
      </c>
      <c r="F48" s="2" t="inlineStr">
        <is>
          <t>Pesin Havale</t>
        </is>
      </c>
      <c r="G48" s="5" t="n">
        <v>5</v>
      </c>
      <c r="H48" s="3" t="n">
        <v>-365.22</v>
      </c>
      <c r="I48" s="2" t="inlineStr">
        <is>
          <t>Tam</t>
        </is>
      </c>
    </row>
    <row r="49">
      <c r="A49" s="2" t="inlineStr">
        <is>
          <t>THS-0048</t>
        </is>
      </c>
      <c r="B49" s="2" t="inlineStr">
        <is>
          <t>FTR-0057</t>
        </is>
      </c>
      <c r="C49" s="2" t="inlineStr">
        <is>
          <t>MUS-056</t>
        </is>
      </c>
      <c r="D49" s="6" t="n">
        <v>45624</v>
      </c>
      <c r="E49" s="3" t="n">
        <v>13448.33</v>
      </c>
      <c r="F49" s="2" t="inlineStr">
        <is>
          <t>Swift</t>
        </is>
      </c>
      <c r="G49" s="5" t="n">
        <v>0</v>
      </c>
      <c r="H49" s="3" t="n">
        <v>132.69</v>
      </c>
      <c r="I49" s="2" t="inlineStr">
        <is>
          <t>Tam</t>
        </is>
      </c>
    </row>
    <row r="50">
      <c r="A50" s="2" t="inlineStr">
        <is>
          <t>THS-0049</t>
        </is>
      </c>
      <c r="B50" s="2" t="inlineStr">
        <is>
          <t>FTR-0058</t>
        </is>
      </c>
      <c r="C50" s="2" t="inlineStr">
        <is>
          <t>MUS-056</t>
        </is>
      </c>
      <c r="D50" s="6" t="n">
        <v>45625</v>
      </c>
      <c r="E50" s="3" t="n">
        <v>17201.19</v>
      </c>
      <c r="F50" s="2" t="inlineStr">
        <is>
          <t>Vesaik Mukabili</t>
        </is>
      </c>
      <c r="G50" s="5" t="n">
        <v>0</v>
      </c>
      <c r="H50" s="3" t="n">
        <v>-78.09999999999999</v>
      </c>
      <c r="I50" s="2" t="inlineStr">
        <is>
          <t>Tam</t>
        </is>
      </c>
    </row>
    <row r="51">
      <c r="A51" s="2" t="inlineStr">
        <is>
          <t>THS-0050</t>
        </is>
      </c>
      <c r="B51" s="2" t="inlineStr">
        <is>
          <t>FTR-0060</t>
        </is>
      </c>
      <c r="C51" s="2" t="inlineStr">
        <is>
          <t>MUS-081</t>
        </is>
      </c>
      <c r="D51" s="6" t="n">
        <v>45665</v>
      </c>
      <c r="E51" s="3" t="n">
        <v>39733.7</v>
      </c>
      <c r="F51" s="2" t="inlineStr">
        <is>
          <t>Vesaik Mukabili</t>
        </is>
      </c>
      <c r="G51" s="5" t="n">
        <v>0</v>
      </c>
      <c r="H51" s="3" t="n">
        <v>418.12</v>
      </c>
      <c r="I51" s="2" t="inlineStr">
        <is>
          <t>Tam</t>
        </is>
      </c>
    </row>
    <row r="52">
      <c r="A52" s="2" t="inlineStr">
        <is>
          <t>THS-0051</t>
        </is>
      </c>
      <c r="B52" s="2" t="inlineStr">
        <is>
          <t>FTR-0061</t>
        </is>
      </c>
      <c r="C52" s="2" t="inlineStr">
        <is>
          <t>MUS-067</t>
        </is>
      </c>
      <c r="D52" s="6" t="n">
        <v>45605</v>
      </c>
      <c r="E52" s="3" t="n">
        <v>5571.72</v>
      </c>
      <c r="F52" s="2" t="inlineStr">
        <is>
          <t>Vesaik Mukabili</t>
        </is>
      </c>
      <c r="G52" s="5" t="n">
        <v>5</v>
      </c>
      <c r="H52" s="3" t="n">
        <v>-51.69</v>
      </c>
      <c r="I52" s="2" t="inlineStr">
        <is>
          <t>Tam</t>
        </is>
      </c>
    </row>
    <row r="53">
      <c r="A53" s="2" t="inlineStr">
        <is>
          <t>THS-0052</t>
        </is>
      </c>
      <c r="B53" s="2" t="inlineStr">
        <is>
          <t>FTR-0063</t>
        </is>
      </c>
      <c r="C53" s="2" t="inlineStr">
        <is>
          <t>MUS-003</t>
        </is>
      </c>
      <c r="D53" s="6" t="n">
        <v>45723</v>
      </c>
      <c r="E53" s="3" t="n">
        <v>17965.35</v>
      </c>
      <c r="F53" s="2" t="inlineStr">
        <is>
          <t>Vesaik Mukabili</t>
        </is>
      </c>
      <c r="G53" s="5" t="n">
        <v>35</v>
      </c>
      <c r="H53" s="3" t="n">
        <v>213.07</v>
      </c>
      <c r="I53" s="2" t="inlineStr">
        <is>
          <t>Tam</t>
        </is>
      </c>
    </row>
    <row r="54">
      <c r="A54" s="2" t="inlineStr">
        <is>
          <t>THS-0053</t>
        </is>
      </c>
      <c r="B54" s="2" t="inlineStr">
        <is>
          <t>FTR-0064</t>
        </is>
      </c>
      <c r="C54" s="2" t="inlineStr">
        <is>
          <t>MUS-047</t>
        </is>
      </c>
      <c r="D54" s="6" t="n">
        <v>45640</v>
      </c>
      <c r="E54" s="3" t="n">
        <v>36958.27</v>
      </c>
      <c r="F54" s="2" t="inlineStr">
        <is>
          <t>Vesaik Mukabili</t>
        </is>
      </c>
      <c r="G54" s="5" t="n">
        <v>5</v>
      </c>
      <c r="H54" s="3" t="n">
        <v>-388.39</v>
      </c>
      <c r="I54" s="2" t="inlineStr">
        <is>
          <t>Tam</t>
        </is>
      </c>
    </row>
    <row r="55">
      <c r="A55" s="2" t="inlineStr">
        <is>
          <t>THS-0054</t>
        </is>
      </c>
      <c r="B55" s="2" t="inlineStr">
        <is>
          <t>FTR-0065</t>
        </is>
      </c>
      <c r="C55" s="2" t="inlineStr">
        <is>
          <t>MUS-025</t>
        </is>
      </c>
      <c r="D55" s="6" t="n">
        <v>45649</v>
      </c>
      <c r="E55" s="3" t="n">
        <v>7009.16</v>
      </c>
      <c r="F55" s="2" t="inlineStr">
        <is>
          <t>Swift</t>
        </is>
      </c>
      <c r="G55" s="5" t="n">
        <v>35</v>
      </c>
      <c r="H55" s="3" t="n">
        <v>-39.69</v>
      </c>
      <c r="I55" s="2" t="inlineStr">
        <is>
          <t>Tam</t>
        </is>
      </c>
    </row>
    <row r="56">
      <c r="A56" s="2" t="inlineStr">
        <is>
          <t>THS-0055</t>
        </is>
      </c>
      <c r="B56" s="2" t="inlineStr">
        <is>
          <t>FTR-0067</t>
        </is>
      </c>
      <c r="C56" s="2" t="inlineStr">
        <is>
          <t>MUS-043</t>
        </is>
      </c>
      <c r="D56" s="6" t="n">
        <v>45690</v>
      </c>
      <c r="E56" s="3" t="n">
        <v>22887.73</v>
      </c>
      <c r="F56" s="2" t="inlineStr">
        <is>
          <t>Swift</t>
        </is>
      </c>
      <c r="G56" s="5" t="n">
        <v>0</v>
      </c>
      <c r="H56" s="3" t="n">
        <v>77.89</v>
      </c>
      <c r="I56" s="2" t="inlineStr">
        <is>
          <t>Tam</t>
        </is>
      </c>
    </row>
    <row r="57">
      <c r="A57" s="2" t="inlineStr">
        <is>
          <t>THS-0056</t>
        </is>
      </c>
      <c r="B57" s="2" t="inlineStr">
        <is>
          <t>FTR-0068</t>
        </is>
      </c>
      <c r="C57" s="2" t="inlineStr">
        <is>
          <t>MUS-043</t>
        </is>
      </c>
      <c r="D57" s="6" t="n">
        <v>45703</v>
      </c>
      <c r="E57" s="3" t="n">
        <v>20072.7</v>
      </c>
      <c r="F57" s="2" t="inlineStr">
        <is>
          <t>Swift</t>
        </is>
      </c>
      <c r="G57" s="5" t="n">
        <v>12</v>
      </c>
      <c r="H57" s="3" t="n">
        <v>262.13</v>
      </c>
      <c r="I57" s="2" t="inlineStr">
        <is>
          <t>Tam</t>
        </is>
      </c>
    </row>
    <row r="58">
      <c r="A58" s="2" t="inlineStr">
        <is>
          <t>THS-0057</t>
        </is>
      </c>
      <c r="B58" s="2" t="inlineStr">
        <is>
          <t>FTR-0069</t>
        </is>
      </c>
      <c r="C58" s="2" t="inlineStr">
        <is>
          <t>MUS-014</t>
        </is>
      </c>
      <c r="D58" s="6" t="n">
        <v>45615</v>
      </c>
      <c r="E58" s="3" t="n">
        <v>19948.61</v>
      </c>
      <c r="F58" s="2" t="inlineStr">
        <is>
          <t>Swift</t>
        </is>
      </c>
      <c r="G58" s="5" t="n">
        <v>0</v>
      </c>
      <c r="H58" s="3" t="n">
        <v>-241.51</v>
      </c>
      <c r="I58" s="2" t="inlineStr">
        <is>
          <t>Tam</t>
        </is>
      </c>
    </row>
    <row r="59">
      <c r="A59" s="2" t="inlineStr">
        <is>
          <t>THS-0058</t>
        </is>
      </c>
      <c r="B59" s="2" t="inlineStr">
        <is>
          <t>FTR-0071</t>
        </is>
      </c>
      <c r="C59" s="2" t="inlineStr">
        <is>
          <t>MUS-037</t>
        </is>
      </c>
      <c r="D59" s="6" t="n">
        <v>45679</v>
      </c>
      <c r="E59" s="3" t="n">
        <v>46524.54</v>
      </c>
      <c r="F59" s="2" t="inlineStr">
        <is>
          <t>Swift</t>
        </is>
      </c>
      <c r="G59" s="5" t="n">
        <v>21</v>
      </c>
      <c r="H59" s="3" t="n">
        <v>567.83</v>
      </c>
      <c r="I59" s="2" t="inlineStr">
        <is>
          <t>Tam</t>
        </is>
      </c>
    </row>
    <row r="60">
      <c r="A60" s="2" t="inlineStr">
        <is>
          <t>THS-0059</t>
        </is>
      </c>
      <c r="B60" s="2" t="inlineStr">
        <is>
          <t>FTR-0072</t>
        </is>
      </c>
      <c r="C60" s="2" t="inlineStr">
        <is>
          <t>MUS-072</t>
        </is>
      </c>
      <c r="D60" s="6" t="n">
        <v>45671</v>
      </c>
      <c r="E60" s="3" t="n">
        <v>6668.36</v>
      </c>
      <c r="F60" s="2" t="inlineStr">
        <is>
          <t>Swift</t>
        </is>
      </c>
      <c r="G60" s="5" t="n">
        <v>0</v>
      </c>
      <c r="H60" s="3" t="n">
        <v>9.06</v>
      </c>
      <c r="I60" s="2" t="inlineStr">
        <is>
          <t>Tam</t>
        </is>
      </c>
    </row>
    <row r="61">
      <c r="A61" s="2" t="inlineStr">
        <is>
          <t>THS-0060</t>
        </is>
      </c>
      <c r="B61" s="2" t="inlineStr">
        <is>
          <t>FTR-0073</t>
        </is>
      </c>
      <c r="C61" s="2" t="inlineStr">
        <is>
          <t>MUS-072</t>
        </is>
      </c>
      <c r="D61" s="6" t="n">
        <v>45672</v>
      </c>
      <c r="E61" s="3" t="n">
        <v>6892.63</v>
      </c>
      <c r="F61" s="2" t="inlineStr">
        <is>
          <t>Swift</t>
        </is>
      </c>
      <c r="G61" s="5" t="n">
        <v>0</v>
      </c>
      <c r="H61" s="3" t="n">
        <v>1.71</v>
      </c>
      <c r="I61" s="2" t="inlineStr">
        <is>
          <t>Tam</t>
        </is>
      </c>
    </row>
    <row r="62">
      <c r="A62" s="2" t="inlineStr">
        <is>
          <t>THS-0061</t>
        </is>
      </c>
      <c r="B62" s="2" t="inlineStr">
        <is>
          <t>FTR-0074</t>
        </is>
      </c>
      <c r="C62" s="2" t="inlineStr">
        <is>
          <t>MUS-065</t>
        </is>
      </c>
      <c r="D62" s="6" t="n">
        <v>45666</v>
      </c>
      <c r="E62" s="3" t="n">
        <v>45087.35</v>
      </c>
      <c r="F62" s="2" t="inlineStr">
        <is>
          <t>Swift</t>
        </is>
      </c>
      <c r="G62" s="5" t="n">
        <v>12</v>
      </c>
      <c r="H62" s="3" t="n">
        <v>407.85</v>
      </c>
      <c r="I62" s="2" t="inlineStr">
        <is>
          <t>Tam</t>
        </is>
      </c>
    </row>
    <row r="63">
      <c r="A63" s="2" t="inlineStr">
        <is>
          <t>THS-0062</t>
        </is>
      </c>
      <c r="B63" s="2" t="inlineStr">
        <is>
          <t>FTR-0075</t>
        </is>
      </c>
      <c r="C63" s="2" t="inlineStr">
        <is>
          <t>MUS-064</t>
        </is>
      </c>
      <c r="D63" s="6" t="n">
        <v>45652</v>
      </c>
      <c r="E63" s="3" t="n">
        <v>17092.42</v>
      </c>
      <c r="F63" s="2" t="inlineStr">
        <is>
          <t>Pesin Havale</t>
        </is>
      </c>
      <c r="G63" s="5" t="n">
        <v>5</v>
      </c>
      <c r="H63" s="3" t="n">
        <v>215.83</v>
      </c>
      <c r="I63" s="2" t="inlineStr">
        <is>
          <t>Tam</t>
        </is>
      </c>
    </row>
    <row r="64">
      <c r="A64" s="2" t="inlineStr">
        <is>
          <t>THS-0063</t>
        </is>
      </c>
      <c r="B64" s="2" t="inlineStr">
        <is>
          <t>FTR-0076</t>
        </is>
      </c>
      <c r="C64" s="2" t="inlineStr">
        <is>
          <t>MUS-051</t>
        </is>
      </c>
      <c r="D64" s="6" t="n">
        <v>45689</v>
      </c>
      <c r="E64" s="3" t="n">
        <v>33154.36</v>
      </c>
      <c r="F64" s="2" t="inlineStr">
        <is>
          <t>Swift</t>
        </is>
      </c>
      <c r="G64" s="5" t="n">
        <v>5</v>
      </c>
      <c r="H64" s="3" t="n">
        <v>75.59999999999999</v>
      </c>
      <c r="I64" s="2" t="inlineStr">
        <is>
          <t>Tam</t>
        </is>
      </c>
    </row>
    <row r="65">
      <c r="A65" s="2" t="inlineStr">
        <is>
          <t>THS-0064</t>
        </is>
      </c>
      <c r="B65" s="2" t="inlineStr">
        <is>
          <t>FTR-0077</t>
        </is>
      </c>
      <c r="C65" s="2" t="inlineStr">
        <is>
          <t>MUS-074</t>
        </is>
      </c>
      <c r="D65" s="6" t="n">
        <v>45634</v>
      </c>
      <c r="E65" s="3" t="n">
        <v>32581.18</v>
      </c>
      <c r="F65" s="2" t="inlineStr">
        <is>
          <t>Pesin Havale</t>
        </is>
      </c>
      <c r="G65" s="5" t="n">
        <v>0</v>
      </c>
      <c r="H65" s="3" t="n">
        <v>-286.18</v>
      </c>
      <c r="I65" s="2" t="inlineStr">
        <is>
          <t>Tam</t>
        </is>
      </c>
    </row>
    <row r="66">
      <c r="A66" s="2" t="inlineStr">
        <is>
          <t>THS-0065</t>
        </is>
      </c>
      <c r="B66" s="2" t="inlineStr">
        <is>
          <t>FTR-0078</t>
        </is>
      </c>
      <c r="C66" s="2" t="inlineStr">
        <is>
          <t>MUS-074</t>
        </is>
      </c>
      <c r="D66" s="6" t="n">
        <v>45635</v>
      </c>
      <c r="E66" s="3" t="n">
        <v>30488.37</v>
      </c>
      <c r="F66" s="2" t="inlineStr">
        <is>
          <t>Pesin Havale</t>
        </is>
      </c>
      <c r="G66" s="5" t="n">
        <v>0</v>
      </c>
      <c r="H66" s="3" t="n">
        <v>483.07</v>
      </c>
      <c r="I66" s="2" t="inlineStr">
        <is>
          <t>Tam</t>
        </is>
      </c>
    </row>
    <row r="67">
      <c r="A67" s="2" t="inlineStr">
        <is>
          <t>THS-0066</t>
        </is>
      </c>
      <c r="B67" s="2" t="inlineStr">
        <is>
          <t>FTR-0079</t>
        </is>
      </c>
      <c r="C67" s="2" t="inlineStr">
        <is>
          <t>MUS-047</t>
        </is>
      </c>
      <c r="D67" s="6" t="n">
        <v>45701</v>
      </c>
      <c r="E67" s="3" t="n">
        <v>98823.10000000001</v>
      </c>
      <c r="F67" s="2" t="inlineStr">
        <is>
          <t>Vesaik Mukabili</t>
        </is>
      </c>
      <c r="G67" s="5" t="n">
        <v>0</v>
      </c>
      <c r="H67" s="3" t="n">
        <v>-1177.58</v>
      </c>
      <c r="I67" s="2" t="inlineStr">
        <is>
          <t>Tam</t>
        </is>
      </c>
    </row>
    <row r="68">
      <c r="A68" s="2" t="inlineStr">
        <is>
          <t>THS-0067</t>
        </is>
      </c>
      <c r="B68" s="2" t="inlineStr">
        <is>
          <t>FTR-0080</t>
        </is>
      </c>
      <c r="C68" s="2" t="inlineStr">
        <is>
          <t>MUS-082</t>
        </is>
      </c>
      <c r="D68" s="6" t="n">
        <v>45708</v>
      </c>
      <c r="E68" s="3" t="n">
        <v>23465.66</v>
      </c>
      <c r="F68" s="2" t="inlineStr">
        <is>
          <t>Swift</t>
        </is>
      </c>
      <c r="G68" s="5" t="n">
        <v>0</v>
      </c>
      <c r="H68" s="3" t="n">
        <v>390.91</v>
      </c>
      <c r="I68" s="2" t="inlineStr">
        <is>
          <t>Tam</t>
        </is>
      </c>
    </row>
    <row r="69">
      <c r="A69" s="2" t="inlineStr">
        <is>
          <t>THS-0068</t>
        </is>
      </c>
      <c r="B69" s="2" t="inlineStr">
        <is>
          <t>FTR-0082</t>
        </is>
      </c>
      <c r="C69" s="2" t="inlineStr">
        <is>
          <t>MUS-083</t>
        </is>
      </c>
      <c r="D69" s="6" t="n">
        <v>45658</v>
      </c>
      <c r="E69" s="3" t="n">
        <v>5522.11</v>
      </c>
      <c r="F69" s="2" t="inlineStr">
        <is>
          <t>Vesaik Mukabili</t>
        </is>
      </c>
      <c r="G69" s="5" t="n">
        <v>12</v>
      </c>
      <c r="H69" s="3" t="n">
        <v>40.5</v>
      </c>
      <c r="I69" s="2" t="inlineStr">
        <is>
          <t>Tam</t>
        </is>
      </c>
    </row>
    <row r="70">
      <c r="A70" s="2" t="inlineStr">
        <is>
          <t>THS-0069</t>
        </is>
      </c>
      <c r="B70" s="2" t="inlineStr">
        <is>
          <t>FTR-0083</t>
        </is>
      </c>
      <c r="C70" s="2" t="inlineStr">
        <is>
          <t>MUS-077</t>
        </is>
      </c>
      <c r="D70" s="6" t="n">
        <v>45679</v>
      </c>
      <c r="E70" s="3" t="n">
        <v>38337.16</v>
      </c>
      <c r="F70" s="2" t="inlineStr">
        <is>
          <t>Pesin Havale</t>
        </is>
      </c>
      <c r="G70" s="5" t="n">
        <v>0</v>
      </c>
      <c r="H70" s="3" t="n">
        <v>-197.01</v>
      </c>
      <c r="I70" s="2" t="inlineStr">
        <is>
          <t>Kismi</t>
        </is>
      </c>
    </row>
    <row r="71">
      <c r="A71" s="2" t="inlineStr">
        <is>
          <t>THS-0070</t>
        </is>
      </c>
      <c r="B71" s="2" t="inlineStr">
        <is>
          <t>FTR-0084</t>
        </is>
      </c>
      <c r="C71" s="2" t="inlineStr">
        <is>
          <t>MUS-025</t>
        </is>
      </c>
      <c r="D71" s="6" t="n">
        <v>45693</v>
      </c>
      <c r="E71" s="3" t="n">
        <v>38735.35</v>
      </c>
      <c r="F71" s="2" t="inlineStr">
        <is>
          <t>Swift</t>
        </is>
      </c>
      <c r="G71" s="5" t="n">
        <v>21</v>
      </c>
      <c r="H71" s="3" t="n">
        <v>-474.93</v>
      </c>
      <c r="I71" s="2" t="inlineStr">
        <is>
          <t>Tam</t>
        </is>
      </c>
    </row>
    <row r="72">
      <c r="A72" s="2" t="inlineStr">
        <is>
          <t>THS-0071</t>
        </is>
      </c>
      <c r="B72" s="2" t="inlineStr">
        <is>
          <t>FTR-0085</t>
        </is>
      </c>
      <c r="C72" s="2" t="inlineStr">
        <is>
          <t>MUS-081</t>
        </is>
      </c>
      <c r="D72" s="6" t="n">
        <v>45643</v>
      </c>
      <c r="E72" s="3" t="n">
        <v>38064.42</v>
      </c>
      <c r="F72" s="2" t="inlineStr">
        <is>
          <t>Vesaik Mukabili</t>
        </is>
      </c>
      <c r="G72" s="5" t="n">
        <v>0</v>
      </c>
      <c r="H72" s="3" t="n">
        <v>-117.32</v>
      </c>
      <c r="I72" s="2" t="inlineStr">
        <is>
          <t>Tam</t>
        </is>
      </c>
    </row>
    <row r="73">
      <c r="A73" s="2" t="inlineStr">
        <is>
          <t>THS-0072</t>
        </is>
      </c>
      <c r="B73" s="2" t="inlineStr">
        <is>
          <t>FTR-0086</t>
        </is>
      </c>
      <c r="C73" s="2" t="inlineStr">
        <is>
          <t>MUS-026</t>
        </is>
      </c>
      <c r="D73" s="6" t="n">
        <v>45606</v>
      </c>
      <c r="E73" s="3" t="n">
        <v>19796.88</v>
      </c>
      <c r="F73" s="2" t="inlineStr">
        <is>
          <t>Swift</t>
        </is>
      </c>
      <c r="G73" s="5" t="n">
        <v>0</v>
      </c>
      <c r="H73" s="3" t="n">
        <v>-57.37</v>
      </c>
      <c r="I73" s="2" t="inlineStr">
        <is>
          <t>Tam</t>
        </is>
      </c>
    </row>
    <row r="74">
      <c r="A74" s="2" t="inlineStr">
        <is>
          <t>THS-0073</t>
        </is>
      </c>
      <c r="B74" s="2" t="inlineStr">
        <is>
          <t>FTR-0087</t>
        </is>
      </c>
      <c r="C74" s="2" t="inlineStr">
        <is>
          <t>MUS-046</t>
        </is>
      </c>
      <c r="D74" s="6" t="n">
        <v>45692</v>
      </c>
      <c r="E74" s="3" t="n">
        <v>10524.25</v>
      </c>
      <c r="F74" s="2" t="inlineStr">
        <is>
          <t>Swift</t>
        </is>
      </c>
      <c r="G74" s="5" t="n">
        <v>0</v>
      </c>
      <c r="H74" s="3" t="n">
        <v>-56.91</v>
      </c>
      <c r="I74" s="2" t="inlineStr">
        <is>
          <t>Tam</t>
        </is>
      </c>
    </row>
    <row r="75">
      <c r="A75" s="2" t="inlineStr">
        <is>
          <t>THS-0074</t>
        </is>
      </c>
      <c r="B75" s="2" t="inlineStr">
        <is>
          <t>FTR-0088</t>
        </is>
      </c>
      <c r="C75" s="2" t="inlineStr">
        <is>
          <t>MUS-046</t>
        </is>
      </c>
      <c r="D75" s="6" t="n">
        <v>45693</v>
      </c>
      <c r="E75" s="3" t="n">
        <v>10219.1</v>
      </c>
      <c r="F75" s="2" t="inlineStr">
        <is>
          <t>Swift</t>
        </is>
      </c>
      <c r="G75" s="5" t="n">
        <v>0</v>
      </c>
      <c r="H75" s="3" t="n">
        <v>-5.88</v>
      </c>
      <c r="I75" s="2" t="inlineStr">
        <is>
          <t>Tam</t>
        </is>
      </c>
    </row>
    <row r="76">
      <c r="A76" s="2" t="inlineStr">
        <is>
          <t>THS-0075</t>
        </is>
      </c>
      <c r="B76" s="2" t="inlineStr">
        <is>
          <t>FTR-0089</t>
        </is>
      </c>
      <c r="C76" s="2" t="inlineStr">
        <is>
          <t>MUS-059</t>
        </is>
      </c>
      <c r="D76" s="6" t="n">
        <v>45702</v>
      </c>
      <c r="E76" s="3" t="n">
        <v>45587.66</v>
      </c>
      <c r="F76" s="2" t="inlineStr">
        <is>
          <t>Swift</t>
        </is>
      </c>
      <c r="G76" s="5" t="n">
        <v>0</v>
      </c>
      <c r="H76" s="3" t="n">
        <v>-315.78</v>
      </c>
      <c r="I76" s="2" t="inlineStr">
        <is>
          <t>Tam</t>
        </is>
      </c>
    </row>
    <row r="77">
      <c r="A77" s="2" t="inlineStr">
        <is>
          <t>THS-0076</t>
        </is>
      </c>
      <c r="B77" s="2" t="inlineStr">
        <is>
          <t>FTR-0090</t>
        </is>
      </c>
      <c r="C77" s="2" t="inlineStr">
        <is>
          <t>MUS-072</t>
        </is>
      </c>
      <c r="D77" s="6" t="n">
        <v>45696</v>
      </c>
      <c r="E77" s="3" t="n">
        <v>35240.96</v>
      </c>
      <c r="F77" s="2" t="inlineStr">
        <is>
          <t>Pesin Havale</t>
        </is>
      </c>
      <c r="G77" s="5" t="n">
        <v>0</v>
      </c>
      <c r="H77" s="3" t="n">
        <v>-385.89</v>
      </c>
      <c r="I77" s="2" t="inlineStr">
        <is>
          <t>Tam</t>
        </is>
      </c>
    </row>
    <row r="78">
      <c r="A78" s="2" t="inlineStr">
        <is>
          <t>THS-0077</t>
        </is>
      </c>
      <c r="B78" s="2" t="inlineStr">
        <is>
          <t>FTR-0091</t>
        </is>
      </c>
      <c r="C78" s="2" t="inlineStr">
        <is>
          <t>MUS-072</t>
        </is>
      </c>
      <c r="D78" s="6" t="n">
        <v>45697</v>
      </c>
      <c r="E78" s="3" t="n">
        <v>34503.99</v>
      </c>
      <c r="F78" s="2" t="inlineStr">
        <is>
          <t>Swift</t>
        </is>
      </c>
      <c r="G78" s="5" t="n">
        <v>0</v>
      </c>
      <c r="H78" s="3" t="n">
        <v>81.67</v>
      </c>
      <c r="I78" s="2" t="inlineStr">
        <is>
          <t>Tam</t>
        </is>
      </c>
    </row>
    <row r="79">
      <c r="A79" s="2" t="inlineStr">
        <is>
          <t>THS-0078</t>
        </is>
      </c>
      <c r="B79" s="2" t="inlineStr">
        <is>
          <t>FTR-0092</t>
        </is>
      </c>
      <c r="C79" s="2" t="inlineStr">
        <is>
          <t>MUS-070</t>
        </is>
      </c>
      <c r="D79" s="6" t="n">
        <v>45683</v>
      </c>
      <c r="E79" s="3" t="n">
        <v>6142.76</v>
      </c>
      <c r="F79" s="2" t="inlineStr">
        <is>
          <t>Swift</t>
        </is>
      </c>
      <c r="G79" s="5" t="n">
        <v>0</v>
      </c>
      <c r="H79" s="3" t="n">
        <v>17.93</v>
      </c>
      <c r="I79" s="2" t="inlineStr">
        <is>
          <t>Tam</t>
        </is>
      </c>
    </row>
    <row r="80">
      <c r="A80" s="2" t="inlineStr">
        <is>
          <t>THS-0079</t>
        </is>
      </c>
      <c r="B80" s="2" t="inlineStr">
        <is>
          <t>FTR-0093</t>
        </is>
      </c>
      <c r="C80" s="2" t="inlineStr">
        <is>
          <t>MUS-063</t>
        </is>
      </c>
      <c r="D80" s="6" t="n">
        <v>45765</v>
      </c>
      <c r="E80" s="3" t="n">
        <v>13300.46</v>
      </c>
      <c r="F80" s="2" t="inlineStr">
        <is>
          <t>Swift</t>
        </is>
      </c>
      <c r="G80" s="5" t="n">
        <v>5</v>
      </c>
      <c r="H80" s="3" t="n">
        <v>228.19</v>
      </c>
      <c r="I80" s="2" t="inlineStr">
        <is>
          <t>Tam</t>
        </is>
      </c>
    </row>
    <row r="81">
      <c r="A81" s="2" t="inlineStr">
        <is>
          <t>THS-0080</t>
        </is>
      </c>
      <c r="B81" s="2" t="inlineStr">
        <is>
          <t>FTR-0094</t>
        </is>
      </c>
      <c r="C81" s="2" t="inlineStr">
        <is>
          <t>MUS-078</t>
        </is>
      </c>
      <c r="D81" s="6" t="n">
        <v>45728</v>
      </c>
      <c r="E81" s="3" t="n">
        <v>46244.6</v>
      </c>
      <c r="F81" s="2" t="inlineStr">
        <is>
          <t>Pesin Havale</t>
        </is>
      </c>
      <c r="G81" s="5" t="n">
        <v>0</v>
      </c>
      <c r="H81" s="3" t="n">
        <v>566.01</v>
      </c>
      <c r="I81" s="2" t="inlineStr">
        <is>
          <t>Tam</t>
        </is>
      </c>
    </row>
    <row r="82">
      <c r="A82" s="2" t="inlineStr">
        <is>
          <t>THS-0081</t>
        </is>
      </c>
      <c r="B82" s="2" t="inlineStr">
        <is>
          <t>FTR-0095</t>
        </is>
      </c>
      <c r="C82" s="2" t="inlineStr">
        <is>
          <t>MUS-045</t>
        </is>
      </c>
      <c r="D82" s="6" t="n">
        <v>45694</v>
      </c>
      <c r="E82" s="3" t="n">
        <v>41458.7</v>
      </c>
      <c r="F82" s="2" t="inlineStr">
        <is>
          <t>Vesaik Mukabili</t>
        </is>
      </c>
      <c r="G82" s="5" t="n">
        <v>0</v>
      </c>
      <c r="H82" s="3" t="n">
        <v>55.48</v>
      </c>
      <c r="I82" s="2" t="inlineStr">
        <is>
          <t>Tam</t>
        </is>
      </c>
    </row>
    <row r="83">
      <c r="A83" s="2" t="inlineStr">
        <is>
          <t>THS-0082</t>
        </is>
      </c>
      <c r="B83" s="2" t="inlineStr">
        <is>
          <t>FTR-0096</t>
        </is>
      </c>
      <c r="C83" s="2" t="inlineStr">
        <is>
          <t>MUS-005</t>
        </is>
      </c>
      <c r="D83" s="6" t="n">
        <v>45679</v>
      </c>
      <c r="E83" s="3" t="n">
        <v>3588.85</v>
      </c>
      <c r="F83" s="2" t="inlineStr">
        <is>
          <t>Swift</t>
        </is>
      </c>
      <c r="G83" s="5" t="n">
        <v>0</v>
      </c>
      <c r="H83" s="3" t="n">
        <v>24.5</v>
      </c>
      <c r="I83" s="2" t="inlineStr">
        <is>
          <t>Tam</t>
        </is>
      </c>
    </row>
    <row r="84">
      <c r="A84" s="2" t="inlineStr">
        <is>
          <t>THS-0083</t>
        </is>
      </c>
      <c r="B84" s="2" t="inlineStr">
        <is>
          <t>FTR-0097</t>
        </is>
      </c>
      <c r="C84" s="2" t="inlineStr">
        <is>
          <t>MUS-005</t>
        </is>
      </c>
      <c r="D84" s="6" t="n">
        <v>45680</v>
      </c>
      <c r="E84" s="3" t="n">
        <v>2798.35</v>
      </c>
      <c r="F84" s="2" t="inlineStr">
        <is>
          <t>Swift</t>
        </is>
      </c>
      <c r="G84" s="5" t="n">
        <v>0</v>
      </c>
      <c r="H84" s="3" t="n">
        <v>27.18</v>
      </c>
      <c r="I84" s="2" t="inlineStr">
        <is>
          <t>Tam</t>
        </is>
      </c>
    </row>
    <row r="85">
      <c r="A85" s="2" t="inlineStr">
        <is>
          <t>THS-0084</t>
        </is>
      </c>
      <c r="B85" s="2" t="inlineStr">
        <is>
          <t>FTR-0098</t>
        </is>
      </c>
      <c r="C85" s="2" t="inlineStr">
        <is>
          <t>MUS-067</t>
        </is>
      </c>
      <c r="D85" s="6" t="n">
        <v>45683</v>
      </c>
      <c r="E85" s="3" t="n">
        <v>17978.62</v>
      </c>
      <c r="F85" s="2" t="inlineStr">
        <is>
          <t>Swift</t>
        </is>
      </c>
      <c r="G85" s="5" t="n">
        <v>21</v>
      </c>
      <c r="H85" s="3" t="n">
        <v>-79.39</v>
      </c>
      <c r="I85" s="2" t="inlineStr">
        <is>
          <t>Tam</t>
        </is>
      </c>
    </row>
    <row r="86">
      <c r="A86" s="2" t="inlineStr">
        <is>
          <t>THS-0085</t>
        </is>
      </c>
      <c r="B86" s="2" t="inlineStr">
        <is>
          <t>FTR-0099</t>
        </is>
      </c>
      <c r="C86" s="2" t="inlineStr">
        <is>
          <t>MUS-067</t>
        </is>
      </c>
      <c r="D86" s="6" t="n">
        <v>45663</v>
      </c>
      <c r="E86" s="3" t="n">
        <v>22996.13</v>
      </c>
      <c r="F86" s="2" t="inlineStr">
        <is>
          <t>Swift</t>
        </is>
      </c>
      <c r="G86" s="5" t="n">
        <v>0</v>
      </c>
      <c r="H86" s="3" t="n">
        <v>-221.14</v>
      </c>
      <c r="I86" s="2" t="inlineStr">
        <is>
          <t>Tam</t>
        </is>
      </c>
    </row>
    <row r="87">
      <c r="A87" s="2" t="inlineStr">
        <is>
          <t>THS-0086</t>
        </is>
      </c>
      <c r="B87" s="2" t="inlineStr">
        <is>
          <t>FTR-0100</t>
        </is>
      </c>
      <c r="C87" s="2" t="inlineStr">
        <is>
          <t>MUS-067</t>
        </is>
      </c>
      <c r="D87" s="6" t="n">
        <v>45696</v>
      </c>
      <c r="E87" s="3" t="n">
        <v>100418.48</v>
      </c>
      <c r="F87" s="2" t="inlineStr">
        <is>
          <t>Swift</t>
        </is>
      </c>
      <c r="G87" s="5" t="n">
        <v>5</v>
      </c>
      <c r="H87" s="3" t="n">
        <v>-777.47</v>
      </c>
      <c r="I87" s="2" t="inlineStr">
        <is>
          <t>Tam</t>
        </is>
      </c>
    </row>
    <row r="88">
      <c r="A88" s="2" t="inlineStr">
        <is>
          <t>THS-0087</t>
        </is>
      </c>
      <c r="B88" s="2" t="inlineStr">
        <is>
          <t>FTR-0102</t>
        </is>
      </c>
      <c r="C88" s="2" t="inlineStr">
        <is>
          <t>MUS-082</t>
        </is>
      </c>
      <c r="D88" s="6" t="n">
        <v>45696</v>
      </c>
      <c r="E88" s="3" t="n">
        <v>9720.1</v>
      </c>
      <c r="F88" s="2" t="inlineStr">
        <is>
          <t>Vesaik Mukabili</t>
        </is>
      </c>
      <c r="G88" s="5" t="n">
        <v>0</v>
      </c>
      <c r="H88" s="3" t="n">
        <v>-89.06</v>
      </c>
      <c r="I88" s="2" t="inlineStr">
        <is>
          <t>Tam</t>
        </is>
      </c>
    </row>
    <row r="89">
      <c r="A89" s="2" t="inlineStr">
        <is>
          <t>THS-0088</t>
        </is>
      </c>
      <c r="B89" s="2" t="inlineStr">
        <is>
          <t>FTR-0103</t>
        </is>
      </c>
      <c r="C89" s="2" t="inlineStr">
        <is>
          <t>MUS-082</t>
        </is>
      </c>
      <c r="D89" s="6" t="n">
        <v>45702</v>
      </c>
      <c r="E89" s="3" t="n">
        <v>9782.33</v>
      </c>
      <c r="F89" s="2" t="inlineStr">
        <is>
          <t>Vesaik Mukabili</t>
        </is>
      </c>
      <c r="G89" s="5" t="n">
        <v>5</v>
      </c>
      <c r="H89" s="3" t="n">
        <v>175.03</v>
      </c>
      <c r="I89" s="2" t="inlineStr">
        <is>
          <t>Tam</t>
        </is>
      </c>
    </row>
    <row r="90">
      <c r="A90" s="2" t="inlineStr">
        <is>
          <t>THS-0089</t>
        </is>
      </c>
      <c r="B90" s="2" t="inlineStr">
        <is>
          <t>FTR-0104</t>
        </is>
      </c>
      <c r="C90" s="2" t="inlineStr">
        <is>
          <t>MUS-022</t>
        </is>
      </c>
      <c r="D90" s="6" t="n">
        <v>45771</v>
      </c>
      <c r="E90" s="3" t="n">
        <v>28246.46</v>
      </c>
      <c r="F90" s="2" t="inlineStr">
        <is>
          <t>Pesin Havale</t>
        </is>
      </c>
      <c r="G90" s="5" t="n">
        <v>35</v>
      </c>
      <c r="H90" s="3" t="n">
        <v>68.73</v>
      </c>
      <c r="I90" s="2" t="inlineStr">
        <is>
          <t>Tam</t>
        </is>
      </c>
    </row>
    <row r="91">
      <c r="A91" s="2" t="inlineStr">
        <is>
          <t>THS-0090</t>
        </is>
      </c>
      <c r="B91" s="2" t="inlineStr">
        <is>
          <t>FTR-0105</t>
        </is>
      </c>
      <c r="C91" s="2" t="inlineStr">
        <is>
          <t>MUS-068</t>
        </is>
      </c>
      <c r="D91" s="6" t="n">
        <v>45628</v>
      </c>
      <c r="E91" s="3" t="n">
        <v>23502.47</v>
      </c>
      <c r="F91" s="2" t="inlineStr">
        <is>
          <t>Swift</t>
        </is>
      </c>
      <c r="G91" s="5" t="n">
        <v>0</v>
      </c>
      <c r="H91" s="3" t="n">
        <v>366.37</v>
      </c>
      <c r="I91" s="2" t="inlineStr">
        <is>
          <t>Tam</t>
        </is>
      </c>
    </row>
    <row r="92">
      <c r="A92" s="2" t="inlineStr">
        <is>
          <t>THS-0091</t>
        </is>
      </c>
      <c r="B92" s="2" t="inlineStr">
        <is>
          <t>FTR-0107</t>
        </is>
      </c>
      <c r="C92" s="2" t="inlineStr">
        <is>
          <t>MUS-009</t>
        </is>
      </c>
      <c r="D92" s="6" t="n">
        <v>45674</v>
      </c>
      <c r="E92" s="3" t="n">
        <v>70579.55</v>
      </c>
      <c r="F92" s="2" t="inlineStr">
        <is>
          <t>Swift</t>
        </is>
      </c>
      <c r="G92" s="5" t="n">
        <v>5</v>
      </c>
      <c r="H92" s="3" t="n">
        <v>682.67</v>
      </c>
      <c r="I92" s="2" t="inlineStr">
        <is>
          <t>Tam</t>
        </is>
      </c>
    </row>
    <row r="93">
      <c r="A93" s="2" t="inlineStr">
        <is>
          <t>THS-0092</t>
        </is>
      </c>
      <c r="B93" s="2" t="inlineStr">
        <is>
          <t>FTR-0108</t>
        </is>
      </c>
      <c r="C93" s="2" t="inlineStr">
        <is>
          <t>MUS-035</t>
        </is>
      </c>
      <c r="D93" s="6" t="n">
        <v>45734</v>
      </c>
      <c r="E93" s="3" t="n">
        <v>34804.34</v>
      </c>
      <c r="F93" s="2" t="inlineStr">
        <is>
          <t>Swift</t>
        </is>
      </c>
      <c r="G93" s="5" t="n">
        <v>21</v>
      </c>
      <c r="H93" s="3" t="n">
        <v>265.51</v>
      </c>
      <c r="I93" s="2" t="inlineStr">
        <is>
          <t>Tam</t>
        </is>
      </c>
    </row>
    <row r="94">
      <c r="A94" s="2" t="inlineStr">
        <is>
          <t>THS-0093</t>
        </is>
      </c>
      <c r="B94" s="2" t="inlineStr">
        <is>
          <t>FTR-0109</t>
        </is>
      </c>
      <c r="C94" s="2" t="inlineStr">
        <is>
          <t>MUS-067</t>
        </is>
      </c>
      <c r="D94" s="6" t="n">
        <v>45684</v>
      </c>
      <c r="E94" s="3" t="n">
        <v>11334.14</v>
      </c>
      <c r="F94" s="2" t="inlineStr">
        <is>
          <t>Vesaik Mukabili</t>
        </is>
      </c>
      <c r="G94" s="5" t="n">
        <v>0</v>
      </c>
      <c r="H94" s="3" t="n">
        <v>138.19</v>
      </c>
      <c r="I94" s="2" t="inlineStr">
        <is>
          <t>Tam</t>
        </is>
      </c>
    </row>
    <row r="95">
      <c r="A95" s="2" t="inlineStr">
        <is>
          <t>THS-0094</t>
        </is>
      </c>
      <c r="B95" s="2" t="inlineStr">
        <is>
          <t>FTR-0110</t>
        </is>
      </c>
      <c r="C95" s="2" t="inlineStr">
        <is>
          <t>MUS-018</t>
        </is>
      </c>
      <c r="D95" s="6" t="n">
        <v>45719</v>
      </c>
      <c r="E95" s="3" t="n">
        <v>14745.94</v>
      </c>
      <c r="F95" s="2" t="inlineStr">
        <is>
          <t>Swift</t>
        </is>
      </c>
      <c r="G95" s="5" t="n">
        <v>0</v>
      </c>
      <c r="H95" s="3" t="n">
        <v>-0.39</v>
      </c>
      <c r="I95" s="2" t="inlineStr">
        <is>
          <t>Tam</t>
        </is>
      </c>
    </row>
    <row r="96">
      <c r="A96" s="2" t="inlineStr">
        <is>
          <t>THS-0095</t>
        </is>
      </c>
      <c r="B96" s="2" t="inlineStr">
        <is>
          <t>FTR-0111</t>
        </is>
      </c>
      <c r="C96" s="2" t="inlineStr">
        <is>
          <t>MUS-024</t>
        </is>
      </c>
      <c r="D96" s="6" t="n">
        <v>45743</v>
      </c>
      <c r="E96" s="3" t="n">
        <v>21602.01</v>
      </c>
      <c r="F96" s="2" t="inlineStr">
        <is>
          <t>Swift</t>
        </is>
      </c>
      <c r="G96" s="5" t="n">
        <v>21</v>
      </c>
      <c r="H96" s="3" t="n">
        <v>372.5</v>
      </c>
      <c r="I96" s="2" t="inlineStr">
        <is>
          <t>Tam</t>
        </is>
      </c>
    </row>
    <row r="97">
      <c r="A97" s="2" t="inlineStr">
        <is>
          <t>THS-0096</t>
        </is>
      </c>
      <c r="B97" s="2" t="inlineStr">
        <is>
          <t>FTR-0112</t>
        </is>
      </c>
      <c r="C97" s="2" t="inlineStr">
        <is>
          <t>MUS-024</t>
        </is>
      </c>
      <c r="D97" s="6" t="n">
        <v>45723</v>
      </c>
      <c r="E97" s="3" t="n">
        <v>16198.64</v>
      </c>
      <c r="F97" s="2" t="inlineStr">
        <is>
          <t>Swift</t>
        </is>
      </c>
      <c r="G97" s="5" t="n">
        <v>0</v>
      </c>
      <c r="H97" s="3" t="n">
        <v>254.52</v>
      </c>
      <c r="I97" s="2" t="inlineStr">
        <is>
          <t>Tam</t>
        </is>
      </c>
    </row>
    <row r="98">
      <c r="A98" s="2" t="inlineStr">
        <is>
          <t>THS-0097</t>
        </is>
      </c>
      <c r="B98" s="2" t="inlineStr">
        <is>
          <t>FTR-0113</t>
        </is>
      </c>
      <c r="C98" s="2" t="inlineStr">
        <is>
          <t>MUS-040</t>
        </is>
      </c>
      <c r="D98" s="6" t="n">
        <v>45708</v>
      </c>
      <c r="E98" s="3" t="n">
        <v>13610.99</v>
      </c>
      <c r="F98" s="2" t="inlineStr">
        <is>
          <t>Swift</t>
        </is>
      </c>
      <c r="G98" s="5" t="n">
        <v>0</v>
      </c>
      <c r="H98" s="3" t="n">
        <v>208.98</v>
      </c>
      <c r="I98" s="2" t="inlineStr">
        <is>
          <t>Tam</t>
        </is>
      </c>
    </row>
    <row r="99">
      <c r="A99" s="2" t="inlineStr">
        <is>
          <t>THS-0098</t>
        </is>
      </c>
      <c r="B99" s="2" t="inlineStr">
        <is>
          <t>FTR-0114</t>
        </is>
      </c>
      <c r="C99" s="2" t="inlineStr">
        <is>
          <t>MUS-029</t>
        </is>
      </c>
      <c r="D99" s="6" t="n">
        <v>45716</v>
      </c>
      <c r="E99" s="3" t="n">
        <v>10948.49</v>
      </c>
      <c r="F99" s="2" t="inlineStr">
        <is>
          <t>Swift</t>
        </is>
      </c>
      <c r="G99" s="5" t="n">
        <v>21</v>
      </c>
      <c r="H99" s="3" t="n">
        <v>166.05</v>
      </c>
      <c r="I99" s="2" t="inlineStr">
        <is>
          <t>Tam</t>
        </is>
      </c>
    </row>
    <row r="100">
      <c r="A100" s="2" t="inlineStr">
        <is>
          <t>THS-0099</t>
        </is>
      </c>
      <c r="B100" s="2" t="inlineStr">
        <is>
          <t>FTR-0115</t>
        </is>
      </c>
      <c r="C100" s="2" t="inlineStr">
        <is>
          <t>MUS-074</t>
        </is>
      </c>
      <c r="D100" s="6" t="n">
        <v>45740</v>
      </c>
      <c r="E100" s="3" t="n">
        <v>32270.78</v>
      </c>
      <c r="F100" s="2" t="inlineStr">
        <is>
          <t>Pesin Havale</t>
        </is>
      </c>
      <c r="G100" s="5" t="n">
        <v>21</v>
      </c>
      <c r="H100" s="3" t="n">
        <v>151.31</v>
      </c>
      <c r="I100" s="2" t="inlineStr">
        <is>
          <t>Tam</t>
        </is>
      </c>
    </row>
    <row r="101">
      <c r="A101" s="2" t="inlineStr">
        <is>
          <t>THS-0100</t>
        </is>
      </c>
      <c r="B101" s="2" t="inlineStr">
        <is>
          <t>FTR-0116</t>
        </is>
      </c>
      <c r="C101" s="2" t="inlineStr">
        <is>
          <t>MUS-062</t>
        </is>
      </c>
      <c r="D101" s="6" t="n">
        <v>45735</v>
      </c>
      <c r="E101" s="3" t="n">
        <v>49378.54</v>
      </c>
      <c r="F101" s="2" t="inlineStr">
        <is>
          <t>Vesaik Mukabili</t>
        </is>
      </c>
      <c r="G101" s="5" t="n">
        <v>12</v>
      </c>
      <c r="H101" s="3" t="n">
        <v>-537.04</v>
      </c>
      <c r="I101" s="2" t="inlineStr">
        <is>
          <t>Tam</t>
        </is>
      </c>
    </row>
    <row r="102">
      <c r="A102" s="2" t="inlineStr">
        <is>
          <t>THS-0101</t>
        </is>
      </c>
      <c r="B102" s="2" t="inlineStr">
        <is>
          <t>FTR-0117</t>
        </is>
      </c>
      <c r="C102" s="2" t="inlineStr">
        <is>
          <t>MUS-076</t>
        </is>
      </c>
      <c r="D102" s="6" t="n">
        <v>45681</v>
      </c>
      <c r="E102" s="3" t="n">
        <v>22881.7</v>
      </c>
      <c r="F102" s="2" t="inlineStr">
        <is>
          <t>Swift</t>
        </is>
      </c>
      <c r="G102" s="5" t="n">
        <v>12</v>
      </c>
      <c r="H102" s="3" t="n">
        <v>418.75</v>
      </c>
      <c r="I102" s="2" t="inlineStr">
        <is>
          <t>Tam</t>
        </is>
      </c>
    </row>
    <row r="103">
      <c r="A103" s="2" t="inlineStr">
        <is>
          <t>THS-0102</t>
        </is>
      </c>
      <c r="B103" s="2" t="inlineStr">
        <is>
          <t>FTR-0118</t>
        </is>
      </c>
      <c r="C103" s="2" t="inlineStr">
        <is>
          <t>MUS-076</t>
        </is>
      </c>
      <c r="D103" s="6" t="n">
        <v>45670</v>
      </c>
      <c r="E103" s="3" t="n">
        <v>23056.68</v>
      </c>
      <c r="F103" s="2" t="inlineStr">
        <is>
          <t>Swift</t>
        </is>
      </c>
      <c r="G103" s="5" t="n">
        <v>0</v>
      </c>
      <c r="H103" s="3" t="n">
        <v>207.42</v>
      </c>
      <c r="I103" s="2" t="inlineStr">
        <is>
          <t>Tam</t>
        </is>
      </c>
    </row>
    <row r="104">
      <c r="A104" s="2" t="inlineStr">
        <is>
          <t>THS-0103</t>
        </is>
      </c>
      <c r="B104" s="2" t="inlineStr">
        <is>
          <t>FTR-0119</t>
        </is>
      </c>
      <c r="C104" s="2" t="inlineStr">
        <is>
          <t>MUS-021</t>
        </is>
      </c>
      <c r="D104" s="6" t="n">
        <v>45732</v>
      </c>
      <c r="E104" s="3" t="n">
        <v>72756.81</v>
      </c>
      <c r="F104" s="2" t="inlineStr">
        <is>
          <t>Vesaik Mukabili</t>
        </is>
      </c>
      <c r="G104" s="5" t="n">
        <v>5</v>
      </c>
      <c r="H104" s="3" t="n">
        <v>-165.53</v>
      </c>
      <c r="I104" s="2" t="inlineStr">
        <is>
          <t>Tam</t>
        </is>
      </c>
    </row>
    <row r="105">
      <c r="A105" s="2" t="inlineStr">
        <is>
          <t>THS-0104</t>
        </is>
      </c>
      <c r="B105" s="2" t="inlineStr">
        <is>
          <t>FTR-0121</t>
        </is>
      </c>
      <c r="C105" s="2" t="inlineStr">
        <is>
          <t>MUS-047</t>
        </is>
      </c>
      <c r="D105" s="6" t="n">
        <v>45743</v>
      </c>
      <c r="E105" s="3" t="n">
        <v>14073.45</v>
      </c>
      <c r="F105" s="2" t="inlineStr">
        <is>
          <t>Swift</t>
        </is>
      </c>
      <c r="G105" s="5" t="n">
        <v>0</v>
      </c>
      <c r="H105" s="3" t="n">
        <v>-43.13</v>
      </c>
      <c r="I105" s="2" t="inlineStr">
        <is>
          <t>Tam</t>
        </is>
      </c>
    </row>
    <row r="106">
      <c r="A106" s="2" t="inlineStr">
        <is>
          <t>THS-0105</t>
        </is>
      </c>
      <c r="B106" s="2" t="inlineStr">
        <is>
          <t>FTR-0122</t>
        </is>
      </c>
      <c r="C106" s="2" t="inlineStr">
        <is>
          <t>MUS-047</t>
        </is>
      </c>
      <c r="D106" s="6" t="n">
        <v>45744</v>
      </c>
      <c r="E106" s="3" t="n">
        <v>17430.75</v>
      </c>
      <c r="F106" s="2" t="inlineStr">
        <is>
          <t>Swift</t>
        </is>
      </c>
      <c r="G106" s="5" t="n">
        <v>0</v>
      </c>
      <c r="H106" s="3" t="n">
        <v>12.04</v>
      </c>
      <c r="I106" s="2" t="inlineStr">
        <is>
          <t>Tam</t>
        </is>
      </c>
    </row>
    <row r="107">
      <c r="A107" s="2" t="inlineStr">
        <is>
          <t>THS-0106</t>
        </is>
      </c>
      <c r="B107" s="2" t="inlineStr">
        <is>
          <t>FTR-0123</t>
        </is>
      </c>
      <c r="C107" s="2" t="inlineStr">
        <is>
          <t>MUS-079</t>
        </is>
      </c>
      <c r="D107" s="6" t="n">
        <v>45725</v>
      </c>
      <c r="E107" s="3" t="n">
        <v>55333.51</v>
      </c>
      <c r="F107" s="2" t="inlineStr">
        <is>
          <t>Swift</t>
        </is>
      </c>
      <c r="G107" s="5" t="n">
        <v>0</v>
      </c>
      <c r="H107" s="3" t="n">
        <v>352.04</v>
      </c>
      <c r="I107" s="2" t="inlineStr">
        <is>
          <t>Tam</t>
        </is>
      </c>
    </row>
    <row r="108">
      <c r="A108" s="2" t="inlineStr">
        <is>
          <t>THS-0107</t>
        </is>
      </c>
      <c r="B108" s="2" t="inlineStr">
        <is>
          <t>FTR-0124</t>
        </is>
      </c>
      <c r="C108" s="2" t="inlineStr">
        <is>
          <t>MUS-058</t>
        </is>
      </c>
      <c r="D108" s="6" t="n">
        <v>45779</v>
      </c>
      <c r="E108" s="3" t="n">
        <v>34622.17</v>
      </c>
      <c r="F108" s="2" t="inlineStr">
        <is>
          <t>Swift</t>
        </is>
      </c>
      <c r="G108" s="5" t="n">
        <v>5</v>
      </c>
      <c r="H108" s="3" t="n">
        <v>-134.98</v>
      </c>
      <c r="I108" s="2" t="inlineStr">
        <is>
          <t>Tam</t>
        </is>
      </c>
    </row>
    <row r="109">
      <c r="A109" s="2" t="inlineStr">
        <is>
          <t>THS-0108</t>
        </is>
      </c>
      <c r="B109" s="2" t="inlineStr">
        <is>
          <t>FTR-0125</t>
        </is>
      </c>
      <c r="C109" s="2" t="inlineStr">
        <is>
          <t>MUS-058</t>
        </is>
      </c>
      <c r="D109" s="6" t="n">
        <v>45775</v>
      </c>
      <c r="E109" s="3" t="n">
        <v>36817.24</v>
      </c>
      <c r="F109" s="2" t="inlineStr">
        <is>
          <t>Pesin Havale</t>
        </is>
      </c>
      <c r="G109" s="5" t="n">
        <v>0</v>
      </c>
      <c r="H109" s="3" t="n">
        <v>649.1</v>
      </c>
      <c r="I109" s="2" t="inlineStr">
        <is>
          <t>Tam</t>
        </is>
      </c>
    </row>
    <row r="110">
      <c r="A110" s="2" t="inlineStr">
        <is>
          <t>THS-0109</t>
        </is>
      </c>
      <c r="B110" s="2" t="inlineStr">
        <is>
          <t>FTR-0126</t>
        </is>
      </c>
      <c r="C110" s="2" t="inlineStr">
        <is>
          <t>MUS-010</t>
        </is>
      </c>
      <c r="D110" s="6" t="n">
        <v>45714</v>
      </c>
      <c r="E110" s="3" t="n">
        <v>12646.57</v>
      </c>
      <c r="F110" s="2" t="inlineStr">
        <is>
          <t>Vesaik Mukabili</t>
        </is>
      </c>
      <c r="G110" s="5" t="n">
        <v>0</v>
      </c>
      <c r="H110" s="3" t="n">
        <v>192.63</v>
      </c>
      <c r="I110" s="2" t="inlineStr">
        <is>
          <t>Tam</t>
        </is>
      </c>
    </row>
    <row r="111">
      <c r="A111" s="2" t="inlineStr">
        <is>
          <t>THS-0110</t>
        </is>
      </c>
      <c r="B111" s="2" t="inlineStr">
        <is>
          <t>FTR-0127</t>
        </is>
      </c>
      <c r="C111" s="2" t="inlineStr">
        <is>
          <t>MUS-020</t>
        </is>
      </c>
      <c r="D111" s="6" t="n">
        <v>45722</v>
      </c>
      <c r="E111" s="3" t="n">
        <v>35512.56</v>
      </c>
      <c r="F111" s="2" t="inlineStr">
        <is>
          <t>Swift</t>
        </is>
      </c>
      <c r="G111" s="5" t="n">
        <v>0</v>
      </c>
      <c r="H111" s="3" t="n">
        <v>-295.21</v>
      </c>
      <c r="I111" s="2" t="inlineStr">
        <is>
          <t>Tam</t>
        </is>
      </c>
    </row>
    <row r="112">
      <c r="A112" s="2" t="inlineStr">
        <is>
          <t>THS-0111</t>
        </is>
      </c>
      <c r="B112" s="2" t="inlineStr">
        <is>
          <t>FTR-0128</t>
        </is>
      </c>
      <c r="C112" s="2" t="inlineStr">
        <is>
          <t>MUS-070</t>
        </is>
      </c>
      <c r="D112" s="6" t="n">
        <v>45789</v>
      </c>
      <c r="E112" s="3" t="n">
        <v>71467.42</v>
      </c>
      <c r="F112" s="2" t="inlineStr">
        <is>
          <t>Swift</t>
        </is>
      </c>
      <c r="G112" s="5" t="n">
        <v>21</v>
      </c>
      <c r="H112" s="3" t="n">
        <v>769.59</v>
      </c>
      <c r="I112" s="2" t="inlineStr">
        <is>
          <t>Tam</t>
        </is>
      </c>
    </row>
    <row r="113">
      <c r="A113" s="2" t="inlineStr">
        <is>
          <t>THS-0112</t>
        </is>
      </c>
      <c r="B113" s="2" t="inlineStr">
        <is>
          <t>FTR-0129</t>
        </is>
      </c>
      <c r="C113" s="2" t="inlineStr">
        <is>
          <t>MUS-038</t>
        </is>
      </c>
      <c r="D113" s="6" t="n">
        <v>45766</v>
      </c>
      <c r="E113" s="3" t="n">
        <v>15895.59</v>
      </c>
      <c r="F113" s="2" t="inlineStr">
        <is>
          <t>Swift</t>
        </is>
      </c>
      <c r="G113" s="5" t="n">
        <v>0</v>
      </c>
      <c r="H113" s="3" t="n">
        <v>-49.05</v>
      </c>
      <c r="I113" s="2" t="inlineStr">
        <is>
          <t>Kismi</t>
        </is>
      </c>
    </row>
    <row r="114">
      <c r="A114" s="2" t="inlineStr">
        <is>
          <t>THS-0113</t>
        </is>
      </c>
      <c r="B114" s="2" t="inlineStr">
        <is>
          <t>FTR-0130</t>
        </is>
      </c>
      <c r="C114" s="2" t="inlineStr">
        <is>
          <t>MUS-033</t>
        </is>
      </c>
      <c r="D114" s="6" t="n">
        <v>45742</v>
      </c>
      <c r="E114" s="3" t="n">
        <v>58813.28</v>
      </c>
      <c r="F114" s="2" t="inlineStr">
        <is>
          <t>Swift</t>
        </is>
      </c>
      <c r="G114" s="5" t="n">
        <v>12</v>
      </c>
      <c r="H114" s="3" t="n">
        <v>1092.96</v>
      </c>
      <c r="I114" s="2" t="inlineStr">
        <is>
          <t>Kismi</t>
        </is>
      </c>
    </row>
    <row r="115">
      <c r="A115" s="2" t="inlineStr">
        <is>
          <t>THS-0114</t>
        </is>
      </c>
      <c r="B115" s="2" t="inlineStr">
        <is>
          <t>FTR-0131</t>
        </is>
      </c>
      <c r="C115" s="2" t="inlineStr">
        <is>
          <t>MUS-035</t>
        </is>
      </c>
      <c r="D115" s="6" t="n">
        <v>45747</v>
      </c>
      <c r="E115" s="3" t="n">
        <v>9609.309999999999</v>
      </c>
      <c r="F115" s="2" t="inlineStr">
        <is>
          <t>Vesaik Mukabili</t>
        </is>
      </c>
      <c r="G115" s="5" t="n">
        <v>0</v>
      </c>
      <c r="H115" s="3" t="n">
        <v>189.35</v>
      </c>
      <c r="I115" s="2" t="inlineStr">
        <is>
          <t>Tam</t>
        </is>
      </c>
    </row>
    <row r="116">
      <c r="A116" s="2" t="inlineStr">
        <is>
          <t>THS-0115</t>
        </is>
      </c>
      <c r="B116" s="2" t="inlineStr">
        <is>
          <t>FTR-0132</t>
        </is>
      </c>
      <c r="C116" s="2" t="inlineStr">
        <is>
          <t>MUS-035</t>
        </is>
      </c>
      <c r="D116" s="6" t="n">
        <v>45748</v>
      </c>
      <c r="E116" s="3" t="n">
        <v>11111.19</v>
      </c>
      <c r="F116" s="2" t="inlineStr">
        <is>
          <t>Swift</t>
        </is>
      </c>
      <c r="G116" s="5" t="n">
        <v>0</v>
      </c>
      <c r="H116" s="3" t="n">
        <v>194.25</v>
      </c>
      <c r="I116" s="2" t="inlineStr">
        <is>
          <t>Tam</t>
        </is>
      </c>
    </row>
    <row r="117">
      <c r="A117" s="2" t="inlineStr">
        <is>
          <t>THS-0116</t>
        </is>
      </c>
      <c r="B117" s="2" t="inlineStr">
        <is>
          <t>FTR-0133</t>
        </is>
      </c>
      <c r="C117" s="2" t="inlineStr">
        <is>
          <t>MUS-033</t>
        </is>
      </c>
      <c r="D117" s="6" t="n">
        <v>45804</v>
      </c>
      <c r="E117" s="3" t="n">
        <v>28165.19</v>
      </c>
      <c r="F117" s="2" t="inlineStr">
        <is>
          <t>Swift</t>
        </is>
      </c>
      <c r="G117" s="5" t="n">
        <v>12</v>
      </c>
      <c r="H117" s="3" t="n">
        <v>121.19</v>
      </c>
      <c r="I117" s="2" t="inlineStr">
        <is>
          <t>Tam</t>
        </is>
      </c>
    </row>
    <row r="118">
      <c r="A118" s="2" t="inlineStr">
        <is>
          <t>THS-0117</t>
        </is>
      </c>
      <c r="B118" s="2" t="inlineStr">
        <is>
          <t>FTR-0134</t>
        </is>
      </c>
      <c r="C118" s="2" t="inlineStr">
        <is>
          <t>MUS-033</t>
        </is>
      </c>
      <c r="D118" s="6" t="n">
        <v>45793</v>
      </c>
      <c r="E118" s="3" t="n">
        <v>21187.35</v>
      </c>
      <c r="F118" s="2" t="inlineStr">
        <is>
          <t>Swift</t>
        </is>
      </c>
      <c r="G118" s="5" t="n">
        <v>0</v>
      </c>
      <c r="H118" s="3" t="n">
        <v>152.5</v>
      </c>
      <c r="I118" s="2" t="inlineStr">
        <is>
          <t>Tam</t>
        </is>
      </c>
    </row>
    <row r="119">
      <c r="A119" s="2" t="inlineStr">
        <is>
          <t>THS-0118</t>
        </is>
      </c>
      <c r="B119" s="2" t="inlineStr">
        <is>
          <t>FTR-0135</t>
        </is>
      </c>
      <c r="C119" s="2" t="inlineStr">
        <is>
          <t>MUS-029</t>
        </is>
      </c>
      <c r="D119" s="6" t="n">
        <v>45713</v>
      </c>
      <c r="E119" s="3" t="n">
        <v>80050.07000000001</v>
      </c>
      <c r="F119" s="2" t="inlineStr">
        <is>
          <t>Swift</t>
        </is>
      </c>
      <c r="G119" s="5" t="n">
        <v>0</v>
      </c>
      <c r="H119" s="3" t="n">
        <v>353.43</v>
      </c>
      <c r="I119" s="2" t="inlineStr">
        <is>
          <t>Tam</t>
        </is>
      </c>
    </row>
    <row r="120">
      <c r="A120" s="2" t="inlineStr">
        <is>
          <t>THS-0119</t>
        </is>
      </c>
      <c r="B120" s="2" t="inlineStr">
        <is>
          <t>FTR-0136</t>
        </is>
      </c>
      <c r="C120" s="2" t="inlineStr">
        <is>
          <t>MUS-064</t>
        </is>
      </c>
      <c r="D120" s="6" t="n">
        <v>45754</v>
      </c>
      <c r="E120" s="3" t="n">
        <v>32632.08</v>
      </c>
      <c r="F120" s="2" t="inlineStr">
        <is>
          <t>Vesaik Mukabili</t>
        </is>
      </c>
      <c r="G120" s="5" t="n">
        <v>0</v>
      </c>
      <c r="H120" s="3" t="n">
        <v>372</v>
      </c>
      <c r="I120" s="2" t="inlineStr">
        <is>
          <t>Tam</t>
        </is>
      </c>
    </row>
    <row r="121">
      <c r="A121" s="2" t="inlineStr">
        <is>
          <t>THS-0120</t>
        </is>
      </c>
      <c r="B121" s="2" t="inlineStr">
        <is>
          <t>FTR-0137</t>
        </is>
      </c>
      <c r="C121" s="2" t="inlineStr">
        <is>
          <t>MUS-054</t>
        </is>
      </c>
      <c r="D121" s="6" t="n">
        <v>45811</v>
      </c>
      <c r="E121" s="3" t="n">
        <v>13926.47</v>
      </c>
      <c r="F121" s="2" t="inlineStr">
        <is>
          <t>Swift</t>
        </is>
      </c>
      <c r="G121" s="5" t="n">
        <v>12</v>
      </c>
      <c r="H121" s="3" t="n">
        <v>-171.99</v>
      </c>
      <c r="I121" s="2" t="inlineStr">
        <is>
          <t>Tam</t>
        </is>
      </c>
    </row>
    <row r="122">
      <c r="A122" s="2" t="inlineStr">
        <is>
          <t>THS-0121</t>
        </is>
      </c>
      <c r="B122" s="2" t="inlineStr">
        <is>
          <t>FTR-0138</t>
        </is>
      </c>
      <c r="C122" s="2" t="inlineStr">
        <is>
          <t>MUS-054</t>
        </is>
      </c>
      <c r="D122" s="6" t="n">
        <v>45805</v>
      </c>
      <c r="E122" s="3" t="n">
        <v>18466.08</v>
      </c>
      <c r="F122" s="2" t="inlineStr">
        <is>
          <t>Swift</t>
        </is>
      </c>
      <c r="G122" s="5" t="n">
        <v>5</v>
      </c>
      <c r="H122" s="3" t="n">
        <v>-227.96</v>
      </c>
      <c r="I122" s="2" t="inlineStr">
        <is>
          <t>Tam</t>
        </is>
      </c>
    </row>
    <row r="123">
      <c r="A123" s="2" t="inlineStr">
        <is>
          <t>THS-0122</t>
        </is>
      </c>
      <c r="B123" s="2" t="inlineStr">
        <is>
          <t>FTR-0139</t>
        </is>
      </c>
      <c r="C123" s="2" t="inlineStr">
        <is>
          <t>MUS-065</t>
        </is>
      </c>
      <c r="D123" s="6" t="n">
        <v>45766</v>
      </c>
      <c r="E123" s="3" t="n">
        <v>54597.12</v>
      </c>
      <c r="F123" s="2" t="inlineStr">
        <is>
          <t>Vesaik Mukabili</t>
        </is>
      </c>
      <c r="G123" s="5" t="n">
        <v>21</v>
      </c>
      <c r="H123" s="3" t="n">
        <v>535.38</v>
      </c>
      <c r="I123" s="2" t="inlineStr">
        <is>
          <t>Tam</t>
        </is>
      </c>
    </row>
    <row r="124">
      <c r="A124" s="2" t="inlineStr">
        <is>
          <t>THS-0123</t>
        </is>
      </c>
      <c r="B124" s="2" t="inlineStr">
        <is>
          <t>FTR-0140</t>
        </is>
      </c>
      <c r="C124" s="2" t="inlineStr">
        <is>
          <t>MUS-017</t>
        </is>
      </c>
      <c r="D124" s="6" t="n">
        <v>45748</v>
      </c>
      <c r="E124" s="3" t="n">
        <v>22961.17</v>
      </c>
      <c r="F124" s="2" t="inlineStr">
        <is>
          <t>Swift</t>
        </is>
      </c>
      <c r="G124" s="5" t="n">
        <v>0</v>
      </c>
      <c r="H124" s="3" t="n">
        <v>411.18</v>
      </c>
      <c r="I124" s="2" t="inlineStr">
        <is>
          <t>Tam</t>
        </is>
      </c>
    </row>
    <row r="125">
      <c r="A125" s="2" t="inlineStr">
        <is>
          <t>THS-0124</t>
        </is>
      </c>
      <c r="B125" s="2" t="inlineStr">
        <is>
          <t>FTR-0141</t>
        </is>
      </c>
      <c r="C125" s="2" t="inlineStr">
        <is>
          <t>MUS-025</t>
        </is>
      </c>
      <c r="D125" s="6" t="n">
        <v>45766</v>
      </c>
      <c r="E125" s="3" t="n">
        <v>10038.15</v>
      </c>
      <c r="F125" s="2" t="inlineStr">
        <is>
          <t>Swift</t>
        </is>
      </c>
      <c r="G125" s="5" t="n">
        <v>12</v>
      </c>
      <c r="H125" s="3" t="n">
        <v>-116.84</v>
      </c>
      <c r="I125" s="2" t="inlineStr">
        <is>
          <t>Tam</t>
        </is>
      </c>
    </row>
    <row r="126">
      <c r="A126" s="2" t="inlineStr">
        <is>
          <t>THS-0125</t>
        </is>
      </c>
      <c r="B126" s="2" t="inlineStr">
        <is>
          <t>FTR-0142</t>
        </is>
      </c>
      <c r="C126" s="2" t="inlineStr">
        <is>
          <t>MUS-025</t>
        </is>
      </c>
      <c r="D126" s="6" t="n">
        <v>45755</v>
      </c>
      <c r="E126" s="3" t="n">
        <v>13392.13</v>
      </c>
      <c r="F126" s="2" t="inlineStr">
        <is>
          <t>Swift</t>
        </is>
      </c>
      <c r="G126" s="5" t="n">
        <v>0</v>
      </c>
      <c r="H126" s="3" t="n">
        <v>-101.12</v>
      </c>
      <c r="I126" s="2" t="inlineStr">
        <is>
          <t>Tam</t>
        </is>
      </c>
    </row>
    <row r="127">
      <c r="A127" s="2" t="inlineStr">
        <is>
          <t>THS-0126</t>
        </is>
      </c>
      <c r="B127" s="2" t="inlineStr">
        <is>
          <t>FTR-0143</t>
        </is>
      </c>
      <c r="C127" s="2" t="inlineStr">
        <is>
          <t>MUS-024</t>
        </is>
      </c>
      <c r="D127" s="6" t="n">
        <v>45757</v>
      </c>
      <c r="E127" s="3" t="n">
        <v>56199.88</v>
      </c>
      <c r="F127" s="2" t="inlineStr">
        <is>
          <t>Swift</t>
        </is>
      </c>
      <c r="G127" s="5" t="n">
        <v>35</v>
      </c>
      <c r="H127" s="3" t="n">
        <v>792.14</v>
      </c>
      <c r="I127" s="2" t="inlineStr">
        <is>
          <t>Tam</t>
        </is>
      </c>
    </row>
    <row r="128">
      <c r="A128" s="2" t="inlineStr">
        <is>
          <t>THS-0127</t>
        </is>
      </c>
      <c r="B128" s="2" t="inlineStr">
        <is>
          <t>FTR-0144</t>
        </is>
      </c>
      <c r="C128" s="2" t="inlineStr">
        <is>
          <t>MUS-020</t>
        </is>
      </c>
      <c r="D128" s="6" t="n">
        <v>45713</v>
      </c>
      <c r="E128" s="3" t="n">
        <v>30345.91</v>
      </c>
      <c r="F128" s="2" t="inlineStr">
        <is>
          <t>Swift</t>
        </is>
      </c>
      <c r="G128" s="5" t="n">
        <v>0</v>
      </c>
      <c r="H128" s="3" t="n">
        <v>523.64</v>
      </c>
      <c r="I128" s="2" t="inlineStr">
        <is>
          <t>Kismi</t>
        </is>
      </c>
    </row>
    <row r="129">
      <c r="A129" s="2" t="inlineStr">
        <is>
          <t>THS-0128</t>
        </is>
      </c>
      <c r="B129" s="2" t="inlineStr">
        <is>
          <t>FTR-0145</t>
        </is>
      </c>
      <c r="C129" s="2" t="inlineStr">
        <is>
          <t>MUS-074</t>
        </is>
      </c>
      <c r="D129" s="6" t="n">
        <v>45781</v>
      </c>
      <c r="E129" s="3" t="n">
        <v>17551.24</v>
      </c>
      <c r="F129" s="2" t="inlineStr">
        <is>
          <t>Vesaik Mukabili</t>
        </is>
      </c>
      <c r="G129" s="5" t="n">
        <v>0</v>
      </c>
      <c r="H129" s="3" t="n">
        <v>138.46</v>
      </c>
      <c r="I129" s="2" t="inlineStr">
        <is>
          <t>Kismi</t>
        </is>
      </c>
    </row>
    <row r="130">
      <c r="A130" s="2" t="inlineStr">
        <is>
          <t>THS-0129</t>
        </is>
      </c>
      <c r="B130" s="2" t="inlineStr">
        <is>
          <t>FTR-0146</t>
        </is>
      </c>
      <c r="C130" s="2" t="inlineStr">
        <is>
          <t>MUS-041</t>
        </is>
      </c>
      <c r="D130" s="6" t="n">
        <v>45795</v>
      </c>
      <c r="E130" s="3" t="n">
        <v>43667.58</v>
      </c>
      <c r="F130" s="2" t="inlineStr">
        <is>
          <t>Swift</t>
        </is>
      </c>
      <c r="G130" s="5" t="n">
        <v>35</v>
      </c>
      <c r="H130" s="3" t="n">
        <v>132.65</v>
      </c>
      <c r="I130" s="2" t="inlineStr">
        <is>
          <t>Tam</t>
        </is>
      </c>
    </row>
    <row r="131">
      <c r="A131" s="2" t="inlineStr">
        <is>
          <t>THS-0130</t>
        </is>
      </c>
      <c r="B131" s="2" t="inlineStr">
        <is>
          <t>FTR-0147</t>
        </is>
      </c>
      <c r="C131" s="2" t="inlineStr">
        <is>
          <t>MUS-061</t>
        </is>
      </c>
      <c r="D131" s="6" t="n">
        <v>45802</v>
      </c>
      <c r="E131" s="3" t="n">
        <v>38472.5</v>
      </c>
      <c r="F131" s="2" t="inlineStr">
        <is>
          <t>Swift</t>
        </is>
      </c>
      <c r="G131" s="5" t="n">
        <v>5</v>
      </c>
      <c r="H131" s="3" t="n">
        <v>454.32</v>
      </c>
      <c r="I131" s="2" t="inlineStr">
        <is>
          <t>Tam</t>
        </is>
      </c>
    </row>
    <row r="132">
      <c r="A132" s="2" t="inlineStr">
        <is>
          <t>THS-0131</t>
        </is>
      </c>
      <c r="B132" s="2" t="inlineStr">
        <is>
          <t>FTR-0148</t>
        </is>
      </c>
      <c r="C132" s="2" t="inlineStr">
        <is>
          <t>MUS-007</t>
        </is>
      </c>
      <c r="D132" s="6" t="n">
        <v>45801</v>
      </c>
      <c r="E132" s="3" t="n">
        <v>7969.38</v>
      </c>
      <c r="F132" s="2" t="inlineStr">
        <is>
          <t>Vesaik Mukabili</t>
        </is>
      </c>
      <c r="G132" s="5" t="n">
        <v>12</v>
      </c>
      <c r="H132" s="3" t="n">
        <v>-64.73999999999999</v>
      </c>
      <c r="I132" s="2" t="inlineStr">
        <is>
          <t>Tam</t>
        </is>
      </c>
    </row>
    <row r="133">
      <c r="A133" s="2" t="inlineStr">
        <is>
          <t>THS-0132</t>
        </is>
      </c>
      <c r="B133" s="2" t="inlineStr">
        <is>
          <t>FTR-0150</t>
        </is>
      </c>
      <c r="C133" s="2" t="inlineStr">
        <is>
          <t>MUS-006</t>
        </is>
      </c>
      <c r="D133" s="6" t="n">
        <v>45773</v>
      </c>
      <c r="E133" s="3" t="n">
        <v>13442.95</v>
      </c>
      <c r="F133" s="2" t="inlineStr">
        <is>
          <t>Swift</t>
        </is>
      </c>
      <c r="G133" s="5" t="n">
        <v>0</v>
      </c>
      <c r="H133" s="3" t="n">
        <v>210.8</v>
      </c>
      <c r="I133" s="2" t="inlineStr">
        <is>
          <t>Tam</t>
        </is>
      </c>
    </row>
    <row r="134">
      <c r="A134" s="2" t="inlineStr">
        <is>
          <t>THS-0133</t>
        </is>
      </c>
      <c r="B134" s="2" t="inlineStr">
        <is>
          <t>FTR-0152</t>
        </is>
      </c>
      <c r="C134" s="2" t="inlineStr">
        <is>
          <t>MUS-025</t>
        </is>
      </c>
      <c r="D134" s="6" t="n">
        <v>45834</v>
      </c>
      <c r="E134" s="3" t="n">
        <v>37318.68</v>
      </c>
      <c r="F134" s="2" t="inlineStr">
        <is>
          <t>Swift</t>
        </is>
      </c>
      <c r="G134" s="5" t="n">
        <v>21</v>
      </c>
      <c r="H134" s="3" t="n">
        <v>673.42</v>
      </c>
      <c r="I134" s="2" t="inlineStr">
        <is>
          <t>Tam</t>
        </is>
      </c>
    </row>
    <row r="135">
      <c r="A135" s="2" t="inlineStr">
        <is>
          <t>THS-0134</t>
        </is>
      </c>
      <c r="B135" s="2" t="inlineStr">
        <is>
          <t>FTR-0153</t>
        </is>
      </c>
      <c r="C135" s="2" t="inlineStr">
        <is>
          <t>MUS-025</t>
        </is>
      </c>
      <c r="D135" s="6" t="n">
        <v>45814</v>
      </c>
      <c r="E135" s="3" t="n">
        <v>36466.61</v>
      </c>
      <c r="F135" s="2" t="inlineStr">
        <is>
          <t>Swift</t>
        </is>
      </c>
      <c r="G135" s="5" t="n">
        <v>0</v>
      </c>
      <c r="H135" s="3" t="n">
        <v>50.69</v>
      </c>
      <c r="I135" s="2" t="inlineStr">
        <is>
          <t>Tam</t>
        </is>
      </c>
    </row>
    <row r="136">
      <c r="A136" s="2" t="inlineStr">
        <is>
          <t>THS-0135</t>
        </is>
      </c>
      <c r="B136" s="2" t="inlineStr">
        <is>
          <t>FTR-0154</t>
        </is>
      </c>
      <c r="C136" s="2" t="inlineStr">
        <is>
          <t>MUS-053</t>
        </is>
      </c>
      <c r="D136" s="6" t="n">
        <v>45862</v>
      </c>
      <c r="E136" s="3" t="n">
        <v>25250.46</v>
      </c>
      <c r="F136" s="2" t="inlineStr">
        <is>
          <t>Swift</t>
        </is>
      </c>
      <c r="G136" s="5" t="n">
        <v>21</v>
      </c>
      <c r="H136" s="3" t="n">
        <v>-97.62</v>
      </c>
      <c r="I136" s="2" t="inlineStr">
        <is>
          <t>Tam</t>
        </is>
      </c>
    </row>
    <row r="137">
      <c r="A137" s="2" t="inlineStr">
        <is>
          <t>THS-0136</t>
        </is>
      </c>
      <c r="B137" s="2" t="inlineStr">
        <is>
          <t>FTR-0155</t>
        </is>
      </c>
      <c r="C137" s="2" t="inlineStr">
        <is>
          <t>MUS-053</t>
        </is>
      </c>
      <c r="D137" s="6" t="n">
        <v>45842</v>
      </c>
      <c r="E137" s="3" t="n">
        <v>24082.93</v>
      </c>
      <c r="F137" s="2" t="inlineStr">
        <is>
          <t>Vesaik Mukabili</t>
        </is>
      </c>
      <c r="G137" s="5" t="n">
        <v>0</v>
      </c>
      <c r="H137" s="3" t="n">
        <v>-67.39</v>
      </c>
      <c r="I137" s="2" t="inlineStr">
        <is>
          <t>Tam</t>
        </is>
      </c>
    </row>
    <row r="138">
      <c r="A138" s="2" t="inlineStr">
        <is>
          <t>THS-0137</t>
        </is>
      </c>
      <c r="B138" s="2" t="inlineStr">
        <is>
          <t>FTR-0156</t>
        </is>
      </c>
      <c r="C138" s="2" t="inlineStr">
        <is>
          <t>MUS-056</t>
        </is>
      </c>
      <c r="D138" s="6" t="n">
        <v>45777</v>
      </c>
      <c r="E138" s="3" t="n">
        <v>2676.54</v>
      </c>
      <c r="F138" s="2" t="inlineStr">
        <is>
          <t>Swift</t>
        </is>
      </c>
      <c r="G138" s="5" t="n">
        <v>5</v>
      </c>
      <c r="H138" s="3" t="n">
        <v>19.8</v>
      </c>
      <c r="I138" s="2" t="inlineStr">
        <is>
          <t>Tam</t>
        </is>
      </c>
    </row>
    <row r="139">
      <c r="A139" s="2" t="inlineStr">
        <is>
          <t>THS-0138</t>
        </is>
      </c>
      <c r="B139" s="2" t="inlineStr">
        <is>
          <t>FTR-0157</t>
        </is>
      </c>
      <c r="C139" s="2" t="inlineStr">
        <is>
          <t>MUS-070</t>
        </is>
      </c>
      <c r="D139" s="6" t="n">
        <v>45851</v>
      </c>
      <c r="E139" s="3" t="n">
        <v>21859.51</v>
      </c>
      <c r="F139" s="2" t="inlineStr">
        <is>
          <t>Swift</t>
        </is>
      </c>
      <c r="G139" s="5" t="n">
        <v>0</v>
      </c>
      <c r="H139" s="3" t="n">
        <v>339.74</v>
      </c>
      <c r="I139" s="2" t="inlineStr">
        <is>
          <t>Tam</t>
        </is>
      </c>
    </row>
    <row r="140">
      <c r="A140" s="2" t="inlineStr">
        <is>
          <t>THS-0139</t>
        </is>
      </c>
      <c r="B140" s="2" t="inlineStr">
        <is>
          <t>FTR-0158</t>
        </is>
      </c>
      <c r="C140" s="2" t="inlineStr">
        <is>
          <t>MUS-066</t>
        </is>
      </c>
      <c r="D140" s="6" t="n">
        <v>45784</v>
      </c>
      <c r="E140" s="3" t="n">
        <v>2233.2</v>
      </c>
      <c r="F140" s="2" t="inlineStr">
        <is>
          <t>Vesaik Mukabili</t>
        </is>
      </c>
      <c r="G140" s="5" t="n">
        <v>0</v>
      </c>
      <c r="H140" s="3" t="n">
        <v>13.14</v>
      </c>
      <c r="I140" s="2" t="inlineStr">
        <is>
          <t>Tam</t>
        </is>
      </c>
    </row>
    <row r="141">
      <c r="A141" s="2" t="inlineStr">
        <is>
          <t>THS-0140</t>
        </is>
      </c>
      <c r="B141" s="2" t="inlineStr">
        <is>
          <t>FTR-0159</t>
        </is>
      </c>
      <c r="C141" s="2" t="inlineStr">
        <is>
          <t>MUS-082</t>
        </is>
      </c>
      <c r="D141" s="6" t="n">
        <v>45864</v>
      </c>
      <c r="E141" s="3" t="n">
        <v>21359.8</v>
      </c>
      <c r="F141" s="2" t="inlineStr">
        <is>
          <t>Swift</t>
        </is>
      </c>
      <c r="G141" s="5" t="n">
        <v>12</v>
      </c>
      <c r="H141" s="3" t="n">
        <v>243.13</v>
      </c>
      <c r="I141" s="2" t="inlineStr">
        <is>
          <t>Tam</t>
        </is>
      </c>
    </row>
    <row r="142">
      <c r="A142" s="2" t="inlineStr">
        <is>
          <t>THS-0141</t>
        </is>
      </c>
      <c r="B142" s="2" t="inlineStr">
        <is>
          <t>FTR-0160</t>
        </is>
      </c>
      <c r="C142" s="2" t="inlineStr">
        <is>
          <t>MUS-038</t>
        </is>
      </c>
      <c r="D142" s="6" t="n">
        <v>45911</v>
      </c>
      <c r="E142" s="3" t="n">
        <v>78880.25999999999</v>
      </c>
      <c r="F142" s="2" t="inlineStr">
        <is>
          <t>Swift</t>
        </is>
      </c>
      <c r="G142" s="5" t="n">
        <v>5</v>
      </c>
      <c r="H142" s="3" t="n">
        <v>1266.09</v>
      </c>
      <c r="I142" s="2" t="inlineStr">
        <is>
          <t>Tam</t>
        </is>
      </c>
    </row>
    <row r="143">
      <c r="A143" s="2" t="inlineStr">
        <is>
          <t>THS-0142</t>
        </is>
      </c>
      <c r="B143" s="2" t="inlineStr">
        <is>
          <t>FTR-0161</t>
        </is>
      </c>
      <c r="C143" s="2" t="inlineStr">
        <is>
          <t>MUS-079</t>
        </is>
      </c>
      <c r="D143" s="6" t="n">
        <v>45836</v>
      </c>
      <c r="E143" s="3" t="n">
        <v>41333.76</v>
      </c>
      <c r="F143" s="2" t="inlineStr">
        <is>
          <t>Swift</t>
        </is>
      </c>
      <c r="G143" s="5" t="n">
        <v>12</v>
      </c>
      <c r="H143" s="3" t="n">
        <v>-154.44</v>
      </c>
      <c r="I143" s="2" t="inlineStr">
        <is>
          <t>Tam</t>
        </is>
      </c>
    </row>
    <row r="144">
      <c r="A144" s="2" t="inlineStr">
        <is>
          <t>THS-0143</t>
        </is>
      </c>
      <c r="B144" s="2" t="inlineStr">
        <is>
          <t>FTR-0162</t>
        </is>
      </c>
      <c r="C144" s="2" t="inlineStr">
        <is>
          <t>MUS-051</t>
        </is>
      </c>
      <c r="D144" s="6" t="n">
        <v>45880</v>
      </c>
      <c r="E144" s="3" t="n">
        <v>9490.08</v>
      </c>
      <c r="F144" s="2" t="inlineStr">
        <is>
          <t>Swift</t>
        </is>
      </c>
      <c r="G144" s="5" t="n">
        <v>5</v>
      </c>
      <c r="H144" s="3" t="n">
        <v>-70.05</v>
      </c>
      <c r="I144" s="2" t="inlineStr">
        <is>
          <t>Tam</t>
        </is>
      </c>
    </row>
    <row r="145">
      <c r="A145" s="2" t="inlineStr">
        <is>
          <t>THS-0144</t>
        </is>
      </c>
      <c r="B145" s="2" t="inlineStr">
        <is>
          <t>FTR-0163</t>
        </is>
      </c>
      <c r="C145" s="2" t="inlineStr">
        <is>
          <t>MUS-051</t>
        </is>
      </c>
      <c r="D145" s="6" t="n">
        <v>45876</v>
      </c>
      <c r="E145" s="3" t="n">
        <v>9884.030000000001</v>
      </c>
      <c r="F145" s="2" t="inlineStr">
        <is>
          <t>Vesaik Mukabili</t>
        </is>
      </c>
      <c r="G145" s="5" t="n">
        <v>0</v>
      </c>
      <c r="H145" s="3" t="n">
        <v>3.91</v>
      </c>
      <c r="I145" s="2" t="inlineStr">
        <is>
          <t>Tam</t>
        </is>
      </c>
    </row>
    <row r="146">
      <c r="A146" s="2" t="inlineStr">
        <is>
          <t>THS-0145</t>
        </is>
      </c>
      <c r="B146" s="2" t="inlineStr">
        <is>
          <t>FTR-0164</t>
        </is>
      </c>
      <c r="C146" s="2" t="inlineStr">
        <is>
          <t>MUS-074</t>
        </is>
      </c>
      <c r="D146" s="6" t="n">
        <v>45853</v>
      </c>
      <c r="E146" s="3" t="n">
        <v>45079.72</v>
      </c>
      <c r="F146" s="2" t="inlineStr">
        <is>
          <t>Vesaik Mukabili</t>
        </is>
      </c>
      <c r="G146" s="5" t="n">
        <v>0</v>
      </c>
      <c r="H146" s="3" t="n">
        <v>116.75</v>
      </c>
      <c r="I146" s="2" t="inlineStr">
        <is>
          <t>Tam</t>
        </is>
      </c>
    </row>
    <row r="147">
      <c r="A147" s="2" t="inlineStr">
        <is>
          <t>THS-0146</t>
        </is>
      </c>
      <c r="B147" s="2" t="inlineStr">
        <is>
          <t>FTR-0165</t>
        </is>
      </c>
      <c r="C147" s="2" t="inlineStr">
        <is>
          <t>MUS-073</t>
        </is>
      </c>
      <c r="D147" s="6" t="n">
        <v>45842</v>
      </c>
      <c r="E147" s="3" t="n">
        <v>22851.06</v>
      </c>
      <c r="F147" s="2" t="inlineStr">
        <is>
          <t>Swift</t>
        </is>
      </c>
      <c r="G147" s="5" t="n">
        <v>0</v>
      </c>
      <c r="H147" s="3" t="n">
        <v>139</v>
      </c>
      <c r="I147" s="2" t="inlineStr">
        <is>
          <t>Tam</t>
        </is>
      </c>
    </row>
    <row r="148">
      <c r="A148" s="2" t="inlineStr">
        <is>
          <t>THS-0147</t>
        </is>
      </c>
      <c r="B148" s="2" t="inlineStr">
        <is>
          <t>FTR-0168</t>
        </is>
      </c>
      <c r="C148" s="2" t="inlineStr">
        <is>
          <t>MUS-005</t>
        </is>
      </c>
      <c r="D148" s="6" t="n">
        <v>45851</v>
      </c>
      <c r="E148" s="3" t="n">
        <v>37084.79</v>
      </c>
      <c r="F148" s="2" t="inlineStr">
        <is>
          <t>Swift</t>
        </is>
      </c>
      <c r="G148" s="5" t="n">
        <v>0</v>
      </c>
      <c r="H148" s="3" t="n">
        <v>583.95</v>
      </c>
      <c r="I148" s="2" t="inlineStr">
        <is>
          <t>Tam</t>
        </is>
      </c>
    </row>
    <row r="149">
      <c r="A149" s="2" t="inlineStr">
        <is>
          <t>THS-0148</t>
        </is>
      </c>
      <c r="B149" s="2" t="inlineStr">
        <is>
          <t>FTR-0169</t>
        </is>
      </c>
      <c r="C149" s="2" t="inlineStr">
        <is>
          <t>MUS-074</t>
        </is>
      </c>
      <c r="D149" s="6" t="n">
        <v>45845</v>
      </c>
      <c r="E149" s="3" t="n">
        <v>38410.68</v>
      </c>
      <c r="F149" s="2" t="inlineStr">
        <is>
          <t>Swift</t>
        </is>
      </c>
      <c r="G149" s="5" t="n">
        <v>0</v>
      </c>
      <c r="H149" s="3" t="n">
        <v>-434.01</v>
      </c>
      <c r="I149" s="2" t="inlineStr">
        <is>
          <t>Tam</t>
        </is>
      </c>
    </row>
    <row r="150">
      <c r="A150" s="2" t="inlineStr">
        <is>
          <t>THS-0149</t>
        </is>
      </c>
      <c r="B150" s="2" t="inlineStr">
        <is>
          <t>FTR-0170</t>
        </is>
      </c>
      <c r="C150" s="2" t="inlineStr">
        <is>
          <t>MUS-039</t>
        </is>
      </c>
      <c r="D150" s="6" t="n">
        <v>45900</v>
      </c>
      <c r="E150" s="3" t="n">
        <v>7349.85</v>
      </c>
      <c r="F150" s="2" t="inlineStr">
        <is>
          <t>Swift</t>
        </is>
      </c>
      <c r="G150" s="5" t="n">
        <v>21</v>
      </c>
      <c r="H150" s="3" t="n">
        <v>105.68</v>
      </c>
      <c r="I150" s="2" t="inlineStr">
        <is>
          <t>Tam</t>
        </is>
      </c>
    </row>
    <row r="151">
      <c r="A151" s="2" t="inlineStr">
        <is>
          <t>THS-0150</t>
        </is>
      </c>
      <c r="B151" s="2" t="inlineStr">
        <is>
          <t>FTR-0171</t>
        </is>
      </c>
      <c r="C151" s="2" t="inlineStr">
        <is>
          <t>MUS-039</t>
        </is>
      </c>
      <c r="D151" s="6" t="n">
        <v>45880</v>
      </c>
      <c r="E151" s="3" t="n">
        <v>8934.25</v>
      </c>
      <c r="F151" s="2" t="inlineStr">
        <is>
          <t>Swift</t>
        </is>
      </c>
      <c r="G151" s="5" t="n">
        <v>0</v>
      </c>
      <c r="H151" s="3" t="n">
        <v>125.31</v>
      </c>
      <c r="I151" s="2" t="inlineStr">
        <is>
          <t>Tam</t>
        </is>
      </c>
    </row>
    <row r="152">
      <c r="A152" s="2" t="inlineStr">
        <is>
          <t>THS-0151</t>
        </is>
      </c>
      <c r="B152" s="2" t="inlineStr">
        <is>
          <t>FTR-0172</t>
        </is>
      </c>
      <c r="C152" s="2" t="inlineStr">
        <is>
          <t>MUS-044</t>
        </is>
      </c>
      <c r="D152" s="6" t="n">
        <v>45896</v>
      </c>
      <c r="E152" s="3" t="n">
        <v>18573.07</v>
      </c>
      <c r="F152" s="2" t="inlineStr">
        <is>
          <t>Pesin Havale</t>
        </is>
      </c>
      <c r="G152" s="5" t="n">
        <v>0</v>
      </c>
      <c r="H152" s="3" t="n">
        <v>-271.46</v>
      </c>
      <c r="I152" s="2" t="inlineStr">
        <is>
          <t>Kismi</t>
        </is>
      </c>
    </row>
    <row r="153">
      <c r="A153" s="2" t="inlineStr">
        <is>
          <t>THS-0152</t>
        </is>
      </c>
      <c r="B153" s="2" t="inlineStr">
        <is>
          <t>FTR-0173</t>
        </is>
      </c>
      <c r="C153" s="2" t="inlineStr">
        <is>
          <t>MUS-044</t>
        </is>
      </c>
      <c r="D153" s="6" t="n">
        <v>45918</v>
      </c>
      <c r="E153" s="3" t="n">
        <v>21352.51</v>
      </c>
      <c r="F153" s="2" t="inlineStr">
        <is>
          <t>Swift</t>
        </is>
      </c>
      <c r="G153" s="5" t="n">
        <v>21</v>
      </c>
      <c r="H153" s="3" t="n">
        <v>8.539999999999999</v>
      </c>
      <c r="I153" s="2" t="inlineStr">
        <is>
          <t>Tam</t>
        </is>
      </c>
    </row>
    <row r="154">
      <c r="A154" s="2" t="inlineStr">
        <is>
          <t>THS-0153</t>
        </is>
      </c>
      <c r="B154" s="2" t="inlineStr">
        <is>
          <t>FTR-0175</t>
        </is>
      </c>
      <c r="C154" s="2" t="inlineStr">
        <is>
          <t>MUS-061</t>
        </is>
      </c>
      <c r="D154" s="6" t="n">
        <v>45911</v>
      </c>
      <c r="E154" s="3" t="n">
        <v>5400.43</v>
      </c>
      <c r="F154" s="2" t="inlineStr">
        <is>
          <t>Vesaik Mukabili</t>
        </is>
      </c>
      <c r="G154" s="5" t="n">
        <v>21</v>
      </c>
      <c r="H154" s="3" t="n">
        <v>78.7</v>
      </c>
      <c r="I154" s="2" t="inlineStr">
        <is>
          <t>Kismi</t>
        </is>
      </c>
    </row>
    <row r="155">
      <c r="A155" s="2" t="inlineStr">
        <is>
          <t>THS-0154</t>
        </is>
      </c>
      <c r="B155" s="2" t="inlineStr">
        <is>
          <t>FTR-0176</t>
        </is>
      </c>
      <c r="C155" s="2" t="inlineStr">
        <is>
          <t>MUS-061</t>
        </is>
      </c>
      <c r="D155" s="6" t="n">
        <v>45912</v>
      </c>
      <c r="E155" s="3" t="n">
        <v>7794.51</v>
      </c>
      <c r="F155" s="2" t="inlineStr">
        <is>
          <t>Vesaik Mukabili</t>
        </is>
      </c>
      <c r="G155" s="5" t="n">
        <v>21</v>
      </c>
      <c r="H155" s="3" t="n">
        <v>-13.32</v>
      </c>
      <c r="I155" s="2" t="inlineStr">
        <is>
          <t>Tam</t>
        </is>
      </c>
    </row>
    <row r="156">
      <c r="A156" s="2" t="inlineStr">
        <is>
          <t>THS-0155</t>
        </is>
      </c>
      <c r="B156" s="2" t="inlineStr">
        <is>
          <t>FTR-0177</t>
        </is>
      </c>
      <c r="C156" s="2" t="inlineStr">
        <is>
          <t>MUS-044</t>
        </is>
      </c>
      <c r="D156" s="6" t="n">
        <v>45885</v>
      </c>
      <c r="E156" s="3" t="n">
        <v>15558.93</v>
      </c>
      <c r="F156" s="2" t="inlineStr">
        <is>
          <t>Swift</t>
        </is>
      </c>
      <c r="G156" s="5" t="n">
        <v>0</v>
      </c>
      <c r="H156" s="3" t="n">
        <v>182.06</v>
      </c>
      <c r="I156" s="2" t="inlineStr">
        <is>
          <t>Tam</t>
        </is>
      </c>
    </row>
    <row r="157">
      <c r="A157" s="2" t="inlineStr">
        <is>
          <t>THS-0156</t>
        </is>
      </c>
      <c r="B157" s="2" t="inlineStr">
        <is>
          <t>FTR-0178</t>
        </is>
      </c>
      <c r="C157" s="2" t="inlineStr">
        <is>
          <t>MUS-040</t>
        </is>
      </c>
      <c r="D157" s="6" t="n">
        <v>45867</v>
      </c>
      <c r="E157" s="3" t="n">
        <v>13147.95</v>
      </c>
      <c r="F157" s="2" t="inlineStr">
        <is>
          <t>Pesin Havale</t>
        </is>
      </c>
      <c r="G157" s="5" t="n">
        <v>0</v>
      </c>
      <c r="H157" s="3" t="n">
        <v>-78.5</v>
      </c>
      <c r="I157" s="2" t="inlineStr">
        <is>
          <t>Tam</t>
        </is>
      </c>
    </row>
    <row r="158">
      <c r="A158" s="2" t="inlineStr">
        <is>
          <t>THS-0157</t>
        </is>
      </c>
      <c r="B158" s="2" t="inlineStr">
        <is>
          <t>FTR-0179</t>
        </is>
      </c>
      <c r="C158" s="2" t="inlineStr">
        <is>
          <t>MUS-040</t>
        </is>
      </c>
      <c r="D158" s="6" t="n">
        <v>45868</v>
      </c>
      <c r="E158" s="3" t="n">
        <v>13281.44</v>
      </c>
      <c r="F158" s="2" t="inlineStr">
        <is>
          <t>Swift</t>
        </is>
      </c>
      <c r="G158" s="5" t="n">
        <v>0</v>
      </c>
      <c r="H158" s="3" t="n">
        <v>78.51000000000001</v>
      </c>
      <c r="I158" s="2" t="inlineStr">
        <is>
          <t>Tam</t>
        </is>
      </c>
    </row>
    <row r="159">
      <c r="A159" s="2" t="inlineStr">
        <is>
          <t>THS-0158</t>
        </is>
      </c>
      <c r="B159" s="2" t="inlineStr">
        <is>
          <t>FTR-0180</t>
        </is>
      </c>
      <c r="C159" s="2" t="inlineStr">
        <is>
          <t>MUS-076</t>
        </is>
      </c>
      <c r="D159" s="6" t="n">
        <v>45872</v>
      </c>
      <c r="E159" s="3" t="n">
        <v>4060.19</v>
      </c>
      <c r="F159" s="2" t="inlineStr">
        <is>
          <t>Swift</t>
        </is>
      </c>
      <c r="G159" s="5" t="n">
        <v>5</v>
      </c>
      <c r="H159" s="3" t="n">
        <v>-53.04</v>
      </c>
      <c r="I159" s="2" t="inlineStr">
        <is>
          <t>Tam</t>
        </is>
      </c>
    </row>
    <row r="160">
      <c r="A160" s="2" t="inlineStr">
        <is>
          <t>THS-0159</t>
        </is>
      </c>
      <c r="B160" s="2" t="inlineStr">
        <is>
          <t>FTR-0181</t>
        </is>
      </c>
      <c r="C160" s="2" t="inlineStr">
        <is>
          <t>MUS-076</t>
        </is>
      </c>
      <c r="D160" s="6" t="n">
        <v>45880</v>
      </c>
      <c r="E160" s="3" t="n">
        <v>4321.33</v>
      </c>
      <c r="F160" s="2" t="inlineStr">
        <is>
          <t>Vesaik Mukabili</t>
        </is>
      </c>
      <c r="G160" s="5" t="n">
        <v>12</v>
      </c>
      <c r="H160" s="3" t="n">
        <v>-60.5</v>
      </c>
      <c r="I160" s="2" t="inlineStr">
        <is>
          <t>Tam</t>
        </is>
      </c>
    </row>
    <row r="161">
      <c r="A161" s="2" t="inlineStr">
        <is>
          <t>THS-0160</t>
        </is>
      </c>
      <c r="B161" s="2" t="inlineStr">
        <is>
          <t>FTR-0182</t>
        </is>
      </c>
      <c r="C161" s="2" t="inlineStr">
        <is>
          <t>MUS-006</t>
        </is>
      </c>
      <c r="D161" s="6" t="n">
        <v>45829</v>
      </c>
      <c r="E161" s="3" t="n">
        <v>25234.5</v>
      </c>
      <c r="F161" s="2" t="inlineStr">
        <is>
          <t>Vesaik Mukabili</t>
        </is>
      </c>
      <c r="G161" s="5" t="n">
        <v>0</v>
      </c>
      <c r="H161" s="3" t="n">
        <v>-295.21</v>
      </c>
      <c r="I161" s="2" t="inlineStr">
        <is>
          <t>Tam</t>
        </is>
      </c>
    </row>
    <row r="162">
      <c r="A162" s="2" t="inlineStr">
        <is>
          <t>THS-0161</t>
        </is>
      </c>
      <c r="B162" s="2" t="inlineStr">
        <is>
          <t>FTR-0183</t>
        </is>
      </c>
      <c r="C162" s="2" t="inlineStr">
        <is>
          <t>MUS-082</t>
        </is>
      </c>
      <c r="D162" s="6" t="n">
        <v>45917</v>
      </c>
      <c r="E162" s="3" t="n">
        <v>27838.2</v>
      </c>
      <c r="F162" s="2" t="inlineStr">
        <is>
          <t>Swift</t>
        </is>
      </c>
      <c r="G162" s="5" t="n">
        <v>0</v>
      </c>
      <c r="H162" s="3" t="n">
        <v>-76.34</v>
      </c>
      <c r="I162" s="2" t="inlineStr">
        <is>
          <t>Tam</t>
        </is>
      </c>
    </row>
    <row r="163">
      <c r="A163" s="2" t="inlineStr">
        <is>
          <t>THS-0162</t>
        </is>
      </c>
      <c r="B163" s="2" t="inlineStr">
        <is>
          <t>FTR-0184</t>
        </is>
      </c>
      <c r="C163" s="2" t="inlineStr">
        <is>
          <t>MUS-065</t>
        </is>
      </c>
      <c r="D163" s="6" t="n">
        <v>45880</v>
      </c>
      <c r="E163" s="3" t="n">
        <v>105730.46</v>
      </c>
      <c r="F163" s="2" t="inlineStr">
        <is>
          <t>Pesin Havale</t>
        </is>
      </c>
      <c r="G163" s="5" t="n">
        <v>12</v>
      </c>
      <c r="H163" s="3" t="n">
        <v>189.39</v>
      </c>
      <c r="I163" s="2" t="inlineStr">
        <is>
          <t>Tam</t>
        </is>
      </c>
    </row>
    <row r="164">
      <c r="A164" s="2" t="inlineStr">
        <is>
          <t>THS-0163</t>
        </is>
      </c>
      <c r="B164" s="2" t="inlineStr">
        <is>
          <t>FTR-0185</t>
        </is>
      </c>
      <c r="C164" s="2" t="inlineStr">
        <is>
          <t>MUS-036</t>
        </is>
      </c>
      <c r="D164" s="6" t="n">
        <v>45856</v>
      </c>
      <c r="E164" s="3" t="n">
        <v>17891.5</v>
      </c>
      <c r="F164" s="2" t="inlineStr">
        <is>
          <t>Pesin Havale</t>
        </is>
      </c>
      <c r="G164" s="5" t="n">
        <v>0</v>
      </c>
      <c r="H164" s="3" t="n">
        <v>-239.14</v>
      </c>
      <c r="I164" s="2" t="inlineStr">
        <is>
          <t>Tam</t>
        </is>
      </c>
    </row>
    <row r="165">
      <c r="A165" s="2" t="inlineStr">
        <is>
          <t>THS-0164</t>
        </is>
      </c>
      <c r="B165" s="2" t="inlineStr">
        <is>
          <t>FTR-0186</t>
        </is>
      </c>
      <c r="C165" s="2" t="inlineStr">
        <is>
          <t>MUS-036</t>
        </is>
      </c>
      <c r="D165" s="6" t="n">
        <v>45862</v>
      </c>
      <c r="E165" s="3" t="n">
        <v>21294.02</v>
      </c>
      <c r="F165" s="2" t="inlineStr">
        <is>
          <t>Swift</t>
        </is>
      </c>
      <c r="G165" s="5" t="n">
        <v>5</v>
      </c>
      <c r="H165" s="3" t="n">
        <v>-47.49</v>
      </c>
      <c r="I165" s="2" t="inlineStr">
        <is>
          <t>Kismi</t>
        </is>
      </c>
    </row>
    <row r="166">
      <c r="A166" s="2" t="inlineStr">
        <is>
          <t>THS-0165</t>
        </is>
      </c>
      <c r="B166" s="2" t="inlineStr">
        <is>
          <t>FTR-0187</t>
        </is>
      </c>
      <c r="C166" s="2" t="inlineStr">
        <is>
          <t>MUS-006</t>
        </is>
      </c>
      <c r="D166" s="6" t="n">
        <v>45863</v>
      </c>
      <c r="E166" s="3" t="n">
        <v>46341.85</v>
      </c>
      <c r="F166" s="2" t="inlineStr">
        <is>
          <t>Swift</t>
        </is>
      </c>
      <c r="G166" s="5" t="n">
        <v>5</v>
      </c>
      <c r="H166" s="3" t="n">
        <v>893.92</v>
      </c>
      <c r="I166" s="2" t="inlineStr">
        <is>
          <t>Tam</t>
        </is>
      </c>
    </row>
    <row r="167">
      <c r="A167" s="2" t="inlineStr">
        <is>
          <t>THS-0166</t>
        </is>
      </c>
      <c r="B167" s="2" t="inlineStr">
        <is>
          <t>FTR-0188</t>
        </is>
      </c>
      <c r="C167" s="2" t="inlineStr">
        <is>
          <t>MUS-006</t>
        </is>
      </c>
      <c r="D167" s="6" t="n">
        <v>45843</v>
      </c>
      <c r="E167" s="3" t="n">
        <v>31601.54</v>
      </c>
      <c r="F167" s="2" t="inlineStr">
        <is>
          <t>Swift</t>
        </is>
      </c>
      <c r="G167" s="5" t="n">
        <v>0</v>
      </c>
      <c r="H167" s="3" t="n">
        <v>239.95</v>
      </c>
      <c r="I167" s="2" t="inlineStr">
        <is>
          <t>Tam</t>
        </is>
      </c>
    </row>
    <row r="168">
      <c r="A168" s="2" t="inlineStr">
        <is>
          <t>THS-0167</t>
        </is>
      </c>
      <c r="B168" s="2" t="inlineStr">
        <is>
          <t>FTR-0189</t>
        </is>
      </c>
      <c r="C168" s="2" t="inlineStr">
        <is>
          <t>MUS-046</t>
        </is>
      </c>
      <c r="D168" s="6" t="n">
        <v>45891</v>
      </c>
      <c r="E168" s="3" t="n">
        <v>18599.06</v>
      </c>
      <c r="F168" s="2" t="inlineStr">
        <is>
          <t>Swift</t>
        </is>
      </c>
      <c r="G168" s="5" t="n">
        <v>21</v>
      </c>
      <c r="H168" s="3" t="n">
        <v>128.79</v>
      </c>
      <c r="I168" s="2" t="inlineStr">
        <is>
          <t>Tam</t>
        </is>
      </c>
    </row>
    <row r="169">
      <c r="A169" s="2" t="inlineStr">
        <is>
          <t>THS-0168</t>
        </is>
      </c>
      <c r="B169" s="2" t="inlineStr">
        <is>
          <t>FTR-0190</t>
        </is>
      </c>
      <c r="C169" s="2" t="inlineStr">
        <is>
          <t>MUS-046</t>
        </is>
      </c>
      <c r="D169" s="6" t="n">
        <v>45887</v>
      </c>
      <c r="E169" s="3" t="n">
        <v>22917.51</v>
      </c>
      <c r="F169" s="2" t="inlineStr">
        <is>
          <t>Swift</t>
        </is>
      </c>
      <c r="G169" s="5" t="n">
        <v>12</v>
      </c>
      <c r="H169" s="3" t="n">
        <v>126.46</v>
      </c>
      <c r="I169" s="2" t="inlineStr">
        <is>
          <t>Tam</t>
        </is>
      </c>
    </row>
    <row r="170">
      <c r="A170" s="2" t="inlineStr">
        <is>
          <t>THS-0169</t>
        </is>
      </c>
      <c r="B170" s="2" t="inlineStr">
        <is>
          <t>FTR-0191</t>
        </is>
      </c>
      <c r="C170" s="2" t="inlineStr">
        <is>
          <t>MUS-057</t>
        </is>
      </c>
      <c r="D170" s="6" t="n">
        <v>45905</v>
      </c>
      <c r="E170" s="3" t="n">
        <v>50297.86</v>
      </c>
      <c r="F170" s="2" t="inlineStr">
        <is>
          <t>Swift</t>
        </is>
      </c>
      <c r="G170" s="5" t="n">
        <v>12</v>
      </c>
      <c r="H170" s="3" t="n">
        <v>23.76</v>
      </c>
      <c r="I170" s="2" t="inlineStr">
        <is>
          <t>Tam</t>
        </is>
      </c>
    </row>
    <row r="171">
      <c r="A171" s="2" t="inlineStr">
        <is>
          <t>THS-0170</t>
        </is>
      </c>
      <c r="B171" s="2" t="inlineStr">
        <is>
          <t>FTR-0192</t>
        </is>
      </c>
      <c r="C171" s="2" t="inlineStr">
        <is>
          <t>MUS-080</t>
        </is>
      </c>
      <c r="D171" s="6" t="n">
        <v>45924</v>
      </c>
      <c r="E171" s="3" t="n">
        <v>39743.02</v>
      </c>
      <c r="F171" s="2" t="inlineStr">
        <is>
          <t>Vesaik Mukabili</t>
        </is>
      </c>
      <c r="G171" s="5" t="n">
        <v>5</v>
      </c>
      <c r="H171" s="3" t="n">
        <v>-198.51</v>
      </c>
      <c r="I171" s="2" t="inlineStr">
        <is>
          <t>Tam</t>
        </is>
      </c>
    </row>
    <row r="172">
      <c r="A172" s="2" t="inlineStr">
        <is>
          <t>THS-0171</t>
        </is>
      </c>
      <c r="B172" s="2" t="inlineStr">
        <is>
          <t>FTR-0193</t>
        </is>
      </c>
      <c r="C172" s="2" t="inlineStr">
        <is>
          <t>MUS-080</t>
        </is>
      </c>
      <c r="D172" s="6" t="n">
        <v>45920</v>
      </c>
      <c r="E172" s="3" t="n">
        <v>30852.72</v>
      </c>
      <c r="F172" s="2" t="inlineStr">
        <is>
          <t>Swift</t>
        </is>
      </c>
      <c r="G172" s="5" t="n">
        <v>0</v>
      </c>
      <c r="H172" s="3" t="n">
        <v>159.63</v>
      </c>
      <c r="I172" s="2" t="inlineStr">
        <is>
          <t>Tam</t>
        </is>
      </c>
    </row>
    <row r="173">
      <c r="A173" s="2" t="inlineStr">
        <is>
          <t>THS-0172</t>
        </is>
      </c>
      <c r="B173" s="2" t="inlineStr">
        <is>
          <t>FTR-0194</t>
        </is>
      </c>
      <c r="C173" s="2" t="inlineStr">
        <is>
          <t>MUS-016</t>
        </is>
      </c>
      <c r="D173" s="6" t="n">
        <v>45916</v>
      </c>
      <c r="E173" s="3" t="n">
        <v>29743.22</v>
      </c>
      <c r="F173" s="2" t="inlineStr">
        <is>
          <t>Swift</t>
        </is>
      </c>
      <c r="G173" s="5" t="n">
        <v>0</v>
      </c>
      <c r="H173" s="3" t="n">
        <v>-65.55</v>
      </c>
      <c r="I173" s="2" t="inlineStr">
        <is>
          <t>Tam</t>
        </is>
      </c>
    </row>
    <row r="174">
      <c r="A174" s="2" t="inlineStr">
        <is>
          <t>THS-0173</t>
        </is>
      </c>
      <c r="B174" s="2" t="inlineStr">
        <is>
          <t>FTR-0196</t>
        </is>
      </c>
      <c r="C174" s="2" t="inlineStr">
        <is>
          <t>MUS-027</t>
        </is>
      </c>
      <c r="D174" s="6" t="n">
        <v>45900</v>
      </c>
      <c r="E174" s="3" t="n">
        <v>13406.71</v>
      </c>
      <c r="F174" s="2" t="inlineStr">
        <is>
          <t>Vesaik Mukabili</t>
        </is>
      </c>
      <c r="G174" s="5" t="n">
        <v>0</v>
      </c>
      <c r="H174" s="3" t="n">
        <v>57.89</v>
      </c>
      <c r="I174" s="2" t="inlineStr">
        <is>
          <t>Tam</t>
        </is>
      </c>
    </row>
    <row r="175">
      <c r="A175" s="2" t="inlineStr">
        <is>
          <t>THS-0174</t>
        </is>
      </c>
      <c r="B175" s="2" t="inlineStr">
        <is>
          <t>FTR-0197</t>
        </is>
      </c>
      <c r="C175" s="2" t="inlineStr">
        <is>
          <t>MUS-027</t>
        </is>
      </c>
      <c r="D175" s="6" t="n">
        <v>45901</v>
      </c>
      <c r="E175" s="3" t="n">
        <v>11447.08</v>
      </c>
      <c r="F175" s="2" t="inlineStr">
        <is>
          <t>Swift</t>
        </is>
      </c>
      <c r="G175" s="5" t="n">
        <v>0</v>
      </c>
      <c r="H175" s="3" t="n">
        <v>224.36</v>
      </c>
      <c r="I175" s="2" t="inlineStr">
        <is>
          <t>Tam</t>
        </is>
      </c>
    </row>
    <row r="176">
      <c r="A176" s="2" t="inlineStr">
        <is>
          <t>THS-0175</t>
        </is>
      </c>
      <c r="B176" s="2" t="inlineStr">
        <is>
          <t>FTR-0198</t>
        </is>
      </c>
      <c r="C176" s="2" t="inlineStr">
        <is>
          <t>MUS-066</t>
        </is>
      </c>
      <c r="D176" s="6" t="n">
        <v>45928</v>
      </c>
      <c r="E176" s="3" t="n">
        <v>11625.37</v>
      </c>
      <c r="F176" s="2" t="inlineStr">
        <is>
          <t>Swift</t>
        </is>
      </c>
      <c r="G176" s="5" t="n">
        <v>35</v>
      </c>
      <c r="H176" s="3" t="n">
        <v>51.97</v>
      </c>
      <c r="I176" s="2" t="inlineStr">
        <is>
          <t>Tam</t>
        </is>
      </c>
    </row>
    <row r="177">
      <c r="A177" s="2" t="inlineStr">
        <is>
          <t>THS-0176</t>
        </is>
      </c>
      <c r="B177" s="2" t="inlineStr">
        <is>
          <t>FTR-0199</t>
        </is>
      </c>
      <c r="C177" s="2" t="inlineStr">
        <is>
          <t>MUS-079</t>
        </is>
      </c>
      <c r="D177" s="6" t="n">
        <v>45929</v>
      </c>
      <c r="E177" s="3" t="n">
        <v>121152.77</v>
      </c>
      <c r="F177" s="2" t="inlineStr">
        <is>
          <t>Swift</t>
        </is>
      </c>
      <c r="G177" s="5" t="n">
        <v>0</v>
      </c>
      <c r="H177" s="3" t="n">
        <v>-514.3</v>
      </c>
      <c r="I177" s="2" t="inlineStr">
        <is>
          <t>Tam</t>
        </is>
      </c>
    </row>
    <row r="178">
      <c r="A178" s="2" t="inlineStr">
        <is>
          <t>THS-0177</t>
        </is>
      </c>
      <c r="B178" s="2" t="inlineStr">
        <is>
          <t>FTR-0200</t>
        </is>
      </c>
      <c r="C178" s="2" t="inlineStr">
        <is>
          <t>MUS-033</t>
        </is>
      </c>
      <c r="D178" s="6" t="n">
        <v>45921</v>
      </c>
      <c r="E178" s="3" t="n">
        <v>71265.27</v>
      </c>
      <c r="F178" s="2" t="inlineStr">
        <is>
          <t>Swift</t>
        </is>
      </c>
      <c r="G178" s="5" t="n">
        <v>21</v>
      </c>
      <c r="H178" s="3" t="n">
        <v>927.91</v>
      </c>
      <c r="I178" s="2" t="inlineStr">
        <is>
          <t>Tam</t>
        </is>
      </c>
    </row>
    <row r="179">
      <c r="A179" s="2" t="inlineStr">
        <is>
          <t>THS-0178</t>
        </is>
      </c>
      <c r="B179" s="2" t="inlineStr">
        <is>
          <t>FTR-0201</t>
        </is>
      </c>
      <c r="C179" s="2" t="inlineStr">
        <is>
          <t>MUS-015</t>
        </is>
      </c>
      <c r="D179" s="6" t="n">
        <v>45910</v>
      </c>
      <c r="E179" s="3" t="n">
        <v>9636.629999999999</v>
      </c>
      <c r="F179" s="2" t="inlineStr">
        <is>
          <t>Swift</t>
        </is>
      </c>
      <c r="G179" s="5" t="n">
        <v>12</v>
      </c>
      <c r="H179" s="3" t="n">
        <v>-37.15</v>
      </c>
      <c r="I179" s="2" t="inlineStr">
        <is>
          <t>Tam</t>
        </is>
      </c>
    </row>
    <row r="180">
      <c r="A180" s="2" t="inlineStr">
        <is>
          <t>THS-0179</t>
        </is>
      </c>
      <c r="B180" s="2" t="inlineStr">
        <is>
          <t>FTR-0202</t>
        </is>
      </c>
      <c r="C180" s="2" t="inlineStr">
        <is>
          <t>MUS-015</t>
        </is>
      </c>
      <c r="D180" s="6" t="n">
        <v>45934</v>
      </c>
      <c r="E180" s="3" t="n">
        <v>11337.02</v>
      </c>
      <c r="F180" s="2" t="inlineStr">
        <is>
          <t>Swift</t>
        </is>
      </c>
      <c r="G180" s="5" t="n">
        <v>35</v>
      </c>
      <c r="H180" s="3" t="n">
        <v>-14.94</v>
      </c>
      <c r="I180" s="2" t="inlineStr">
        <is>
          <t>Tam</t>
        </is>
      </c>
    </row>
    <row r="181">
      <c r="A181" s="2" t="inlineStr">
        <is>
          <t>THS-0180</t>
        </is>
      </c>
      <c r="B181" s="2" t="inlineStr">
        <is>
          <t>FTR-0203</t>
        </is>
      </c>
      <c r="C181" s="2" t="inlineStr">
        <is>
          <t>MUS-041</t>
        </is>
      </c>
      <c r="D181" s="6" t="n">
        <v>45884</v>
      </c>
      <c r="E181" s="3" t="n">
        <v>22439.61</v>
      </c>
      <c r="F181" s="2" t="inlineStr">
        <is>
          <t>Swift</t>
        </is>
      </c>
      <c r="G181" s="5" t="n">
        <v>12</v>
      </c>
      <c r="H181" s="3" t="n">
        <v>237.25</v>
      </c>
      <c r="I181" s="2" t="inlineStr">
        <is>
          <t>Tam</t>
        </is>
      </c>
    </row>
    <row r="182">
      <c r="A182" s="2" t="inlineStr">
        <is>
          <t>THS-0181</t>
        </is>
      </c>
      <c r="B182" s="2" t="inlineStr">
        <is>
          <t>FTR-0204</t>
        </is>
      </c>
      <c r="C182" s="2" t="inlineStr">
        <is>
          <t>MUS-077</t>
        </is>
      </c>
      <c r="D182" s="6" t="n">
        <v>45910</v>
      </c>
      <c r="E182" s="3" t="n">
        <v>19624.41</v>
      </c>
      <c r="F182" s="2" t="inlineStr">
        <is>
          <t>Swift</t>
        </is>
      </c>
      <c r="G182" s="5" t="n">
        <v>0</v>
      </c>
      <c r="H182" s="3" t="n">
        <v>254.18</v>
      </c>
      <c r="I182" s="2" t="inlineStr">
        <is>
          <t>Tam</t>
        </is>
      </c>
    </row>
    <row r="183">
      <c r="A183" s="2" t="inlineStr">
        <is>
          <t>THS-0182</t>
        </is>
      </c>
      <c r="B183" s="2" t="inlineStr">
        <is>
          <t>FTR-0205</t>
        </is>
      </c>
      <c r="C183" s="2" t="inlineStr">
        <is>
          <t>MUS-078</t>
        </is>
      </c>
      <c r="D183" s="6" t="n">
        <v>45967</v>
      </c>
      <c r="E183" s="3" t="n">
        <v>16290.71</v>
      </c>
      <c r="F183" s="2" t="inlineStr">
        <is>
          <t>Pesin Havale</t>
        </is>
      </c>
      <c r="G183" s="5" t="n">
        <v>5</v>
      </c>
      <c r="H183" s="3" t="n">
        <v>-190.05</v>
      </c>
      <c r="I183" s="2" t="inlineStr">
        <is>
          <t>Tam</t>
        </is>
      </c>
    </row>
    <row r="184">
      <c r="A184" s="2" t="inlineStr">
        <is>
          <t>THS-0183</t>
        </is>
      </c>
      <c r="B184" s="2" t="inlineStr">
        <is>
          <t>FTR-0208</t>
        </is>
      </c>
      <c r="C184" s="2" t="inlineStr">
        <is>
          <t>MUS-076</t>
        </is>
      </c>
      <c r="D184" s="6" t="n">
        <v>45917</v>
      </c>
      <c r="E184" s="3" t="n">
        <v>45682.82</v>
      </c>
      <c r="F184" s="2" t="inlineStr">
        <is>
          <t>Pesin Havale</t>
        </is>
      </c>
      <c r="G184" s="5" t="n">
        <v>0</v>
      </c>
      <c r="H184" s="3" t="n">
        <v>508.08</v>
      </c>
      <c r="I184" s="2" t="inlineStr">
        <is>
          <t>Tam</t>
        </is>
      </c>
    </row>
    <row r="185">
      <c r="A185" s="2" t="inlineStr">
        <is>
          <t>THS-0184</t>
        </is>
      </c>
      <c r="B185" s="2" t="inlineStr">
        <is>
          <t>FTR-0209</t>
        </is>
      </c>
      <c r="C185" s="2" t="inlineStr">
        <is>
          <t>MUS-066</t>
        </is>
      </c>
      <c r="D185" s="6" t="n">
        <v>45948</v>
      </c>
      <c r="E185" s="3" t="n">
        <v>31185.46</v>
      </c>
      <c r="F185" s="2" t="inlineStr">
        <is>
          <t>Swift</t>
        </is>
      </c>
      <c r="G185" s="5" t="n">
        <v>0</v>
      </c>
      <c r="H185" s="3" t="n">
        <v>-424.89</v>
      </c>
      <c r="I185" s="2" t="inlineStr">
        <is>
          <t>Tam</t>
        </is>
      </c>
    </row>
    <row r="186">
      <c r="A186" s="2" t="inlineStr">
        <is>
          <t>THS-0185</t>
        </is>
      </c>
      <c r="B186" s="2" t="inlineStr">
        <is>
          <t>FTR-0210</t>
        </is>
      </c>
      <c r="C186" s="2" t="inlineStr">
        <is>
          <t>MUS-061</t>
        </is>
      </c>
      <c r="D186" s="6" t="n">
        <v>46012</v>
      </c>
      <c r="E186" s="3" t="n">
        <v>26873.41</v>
      </c>
      <c r="F186" s="2" t="inlineStr">
        <is>
          <t>Vesaik Mukabili</t>
        </is>
      </c>
      <c r="G186" s="5" t="n">
        <v>21</v>
      </c>
      <c r="H186" s="3" t="n">
        <v>443.06</v>
      </c>
      <c r="I186" s="2" t="inlineStr">
        <is>
          <t>Tam</t>
        </is>
      </c>
    </row>
    <row r="187">
      <c r="A187" s="2" t="inlineStr">
        <is>
          <t>THS-0186</t>
        </is>
      </c>
      <c r="B187" s="2" t="inlineStr">
        <is>
          <t>FTR-0212</t>
        </is>
      </c>
      <c r="C187" s="2" t="inlineStr">
        <is>
          <t>MUS-066</t>
        </is>
      </c>
      <c r="D187" s="6" t="n">
        <v>45966</v>
      </c>
      <c r="E187" s="3" t="n">
        <v>37281.94</v>
      </c>
      <c r="F187" s="2" t="inlineStr">
        <is>
          <t>Pesin Havale</t>
        </is>
      </c>
      <c r="G187" s="5" t="n">
        <v>12</v>
      </c>
      <c r="H187" s="3" t="n">
        <v>238.61</v>
      </c>
      <c r="I187" s="2" t="inlineStr">
        <is>
          <t>Tam</t>
        </is>
      </c>
    </row>
    <row r="188">
      <c r="A188" s="2" t="inlineStr">
        <is>
          <t>THS-0187</t>
        </is>
      </c>
      <c r="B188" s="2" t="inlineStr">
        <is>
          <t>FTR-0213</t>
        </is>
      </c>
      <c r="C188" s="2" t="inlineStr">
        <is>
          <t>MUS-067</t>
        </is>
      </c>
      <c r="D188" s="6" t="n">
        <v>45941</v>
      </c>
      <c r="E188" s="3" t="n">
        <v>85607.83</v>
      </c>
      <c r="F188" s="2" t="inlineStr">
        <is>
          <t>Swift</t>
        </is>
      </c>
      <c r="G188" s="5" t="n">
        <v>0</v>
      </c>
      <c r="H188" s="3" t="n">
        <v>-521.92</v>
      </c>
      <c r="I188" s="2" t="inlineStr">
        <is>
          <t>Tam</t>
        </is>
      </c>
    </row>
    <row r="189">
      <c r="A189" s="2" t="inlineStr">
        <is>
          <t>THS-0188</t>
        </is>
      </c>
      <c r="B189" s="2" t="inlineStr">
        <is>
          <t>FTR-0214</t>
        </is>
      </c>
      <c r="C189" s="2" t="inlineStr">
        <is>
          <t>MUS-043</t>
        </is>
      </c>
      <c r="D189" s="6" t="n">
        <v>45995</v>
      </c>
      <c r="E189" s="3" t="n">
        <v>71513.49000000001</v>
      </c>
      <c r="F189" s="2" t="inlineStr">
        <is>
          <t>Swift</t>
        </is>
      </c>
      <c r="G189" s="5" t="n">
        <v>0</v>
      </c>
      <c r="H189" s="3" t="n">
        <v>-104.65</v>
      </c>
      <c r="I189" s="2" t="inlineStr">
        <is>
          <t>Tam</t>
        </is>
      </c>
    </row>
    <row r="190">
      <c r="A190" s="2" t="inlineStr">
        <is>
          <t>THS-0189</t>
        </is>
      </c>
      <c r="B190" s="2" t="inlineStr">
        <is>
          <t>FTR-0215</t>
        </is>
      </c>
      <c r="C190" s="2" t="inlineStr">
        <is>
          <t>MUS-063</t>
        </is>
      </c>
      <c r="D190" s="6" t="n">
        <v>46028</v>
      </c>
      <c r="E190" s="3" t="n">
        <v>17341.2</v>
      </c>
      <c r="F190" s="2" t="inlineStr">
        <is>
          <t>Swift</t>
        </is>
      </c>
      <c r="G190" s="5" t="n">
        <v>5</v>
      </c>
      <c r="H190" s="3" t="n">
        <v>332.89</v>
      </c>
      <c r="I190" s="2" t="inlineStr">
        <is>
          <t>Kismi</t>
        </is>
      </c>
    </row>
    <row r="191">
      <c r="A191" s="2" t="inlineStr">
        <is>
          <t>THS-0190</t>
        </is>
      </c>
      <c r="B191" s="2" t="inlineStr">
        <is>
          <t>FTR-0217</t>
        </is>
      </c>
      <c r="C191" s="2" t="inlineStr">
        <is>
          <t>MUS-028</t>
        </is>
      </c>
      <c r="D191" s="6" t="n">
        <v>45938</v>
      </c>
      <c r="E191" s="3" t="n">
        <v>15330.57</v>
      </c>
      <c r="F191" s="2" t="inlineStr">
        <is>
          <t>Vesaik Mukabili</t>
        </is>
      </c>
      <c r="G191" s="5" t="n">
        <v>0</v>
      </c>
      <c r="H191" s="3" t="n">
        <v>156.81</v>
      </c>
      <c r="I191" s="2" t="inlineStr">
        <is>
          <t>Tam</t>
        </is>
      </c>
    </row>
    <row r="192">
      <c r="A192" s="2" t="inlineStr">
        <is>
          <t>THS-0191</t>
        </is>
      </c>
      <c r="B192" s="2" t="inlineStr">
        <is>
          <t>FTR-0218</t>
        </is>
      </c>
      <c r="C192" s="2" t="inlineStr">
        <is>
          <t>MUS-022</t>
        </is>
      </c>
      <c r="D192" s="6" t="n">
        <v>46029</v>
      </c>
      <c r="E192" s="3" t="n">
        <v>47992.89</v>
      </c>
      <c r="F192" s="2" t="inlineStr">
        <is>
          <t>Swift</t>
        </is>
      </c>
      <c r="G192" s="5" t="n">
        <v>12</v>
      </c>
      <c r="H192" s="3" t="n">
        <v>-66.47</v>
      </c>
      <c r="I192" s="2" t="inlineStr">
        <is>
          <t>Tam</t>
        </is>
      </c>
    </row>
    <row r="193">
      <c r="A193" s="2" t="inlineStr">
        <is>
          <t>THS-0192</t>
        </is>
      </c>
      <c r="B193" s="2" t="inlineStr">
        <is>
          <t>FTR-0220</t>
        </is>
      </c>
      <c r="C193" s="2" t="inlineStr">
        <is>
          <t>MUS-061</t>
        </is>
      </c>
      <c r="D193" s="6" t="n">
        <v>45968</v>
      </c>
      <c r="E193" s="3" t="n">
        <v>17623.15</v>
      </c>
      <c r="F193" s="2" t="inlineStr">
        <is>
          <t>Swift</t>
        </is>
      </c>
      <c r="G193" s="5" t="n">
        <v>0</v>
      </c>
      <c r="H193" s="3" t="n">
        <v>-41.31</v>
      </c>
      <c r="I193" s="2" t="inlineStr">
        <is>
          <t>Tam</t>
        </is>
      </c>
    </row>
    <row r="194">
      <c r="A194" s="2" t="inlineStr">
        <is>
          <t>THS-0193</t>
        </is>
      </c>
      <c r="B194" s="2" t="inlineStr">
        <is>
          <t>FTR-0221</t>
        </is>
      </c>
      <c r="C194" s="2" t="inlineStr">
        <is>
          <t>MUS-068</t>
        </is>
      </c>
      <c r="D194" s="6" t="n">
        <v>45939</v>
      </c>
      <c r="E194" s="3" t="n">
        <v>46107.59</v>
      </c>
      <c r="F194" s="2" t="inlineStr">
        <is>
          <t>Swift</t>
        </is>
      </c>
      <c r="G194" s="5" t="n">
        <v>21</v>
      </c>
      <c r="H194" s="3" t="n">
        <v>-13.77</v>
      </c>
      <c r="I194" s="2" t="inlineStr">
        <is>
          <t>Tam</t>
        </is>
      </c>
    </row>
    <row r="195">
      <c r="A195" s="2" t="inlineStr">
        <is>
          <t>THS-0194</t>
        </is>
      </c>
      <c r="B195" s="2" t="inlineStr">
        <is>
          <t>FTR-0222</t>
        </is>
      </c>
      <c r="C195" s="2" t="inlineStr">
        <is>
          <t>MUS-023</t>
        </is>
      </c>
      <c r="D195" s="6" t="n">
        <v>45958</v>
      </c>
      <c r="E195" s="3" t="n">
        <v>24016.57</v>
      </c>
      <c r="F195" s="2" t="inlineStr">
        <is>
          <t>Vesaik Mukabili</t>
        </is>
      </c>
      <c r="G195" s="5" t="n">
        <v>12</v>
      </c>
      <c r="H195" s="3" t="n">
        <v>111.77</v>
      </c>
      <c r="I195" s="2" t="inlineStr">
        <is>
          <t>Tam</t>
        </is>
      </c>
    </row>
    <row r="196">
      <c r="A196" s="2" t="inlineStr">
        <is>
          <t>THS-0195</t>
        </is>
      </c>
      <c r="B196" s="2" t="inlineStr">
        <is>
          <t>FTR-0223</t>
        </is>
      </c>
      <c r="C196" s="2" t="inlineStr">
        <is>
          <t>MUS-082</t>
        </is>
      </c>
      <c r="D196" s="6" t="n">
        <v>45962</v>
      </c>
      <c r="E196" s="3" t="n">
        <v>39597.57</v>
      </c>
      <c r="F196" s="2" t="inlineStr">
        <is>
          <t>Vesaik Mukabili</t>
        </is>
      </c>
      <c r="G196" s="5" t="n">
        <v>5</v>
      </c>
      <c r="H196" s="3" t="n">
        <v>-23.08</v>
      </c>
      <c r="I196" s="2" t="inlineStr">
        <is>
          <t>Tam</t>
        </is>
      </c>
    </row>
    <row r="197">
      <c r="A197" s="2" t="inlineStr">
        <is>
          <t>THS-0196</t>
        </is>
      </c>
      <c r="B197" s="2" t="inlineStr">
        <is>
          <t>FTR-0224</t>
        </is>
      </c>
      <c r="C197" s="2" t="inlineStr">
        <is>
          <t>MUS-033</t>
        </is>
      </c>
      <c r="D197" s="6" t="n">
        <v>45947</v>
      </c>
      <c r="E197" s="3" t="n">
        <v>10045.1</v>
      </c>
      <c r="F197" s="2" t="inlineStr">
        <is>
          <t>Pesin Havale</t>
        </is>
      </c>
      <c r="G197" s="5" t="n">
        <v>0</v>
      </c>
      <c r="H197" s="3" t="n">
        <v>38.41</v>
      </c>
      <c r="I197" s="2" t="inlineStr">
        <is>
          <t>Tam</t>
        </is>
      </c>
    </row>
    <row r="198">
      <c r="A198" s="2" t="inlineStr">
        <is>
          <t>THS-0197</t>
        </is>
      </c>
      <c r="B198" s="2" t="inlineStr">
        <is>
          <t>FTR-0225</t>
        </is>
      </c>
      <c r="C198" s="2" t="inlineStr">
        <is>
          <t>MUS-030</t>
        </is>
      </c>
      <c r="D198" s="6" t="n">
        <v>45944</v>
      </c>
      <c r="E198" s="3" t="n">
        <v>11865.93</v>
      </c>
      <c r="F198" s="2" t="inlineStr">
        <is>
          <t>Swift</t>
        </is>
      </c>
      <c r="G198" s="5" t="n">
        <v>5</v>
      </c>
      <c r="H198" s="3" t="n">
        <v>-60.01</v>
      </c>
      <c r="I198" s="2" t="inlineStr">
        <is>
          <t>Tam</t>
        </is>
      </c>
    </row>
    <row r="199">
      <c r="A199" s="2" t="inlineStr">
        <is>
          <t>THS-0198</t>
        </is>
      </c>
      <c r="B199" s="2" t="inlineStr">
        <is>
          <t>FTR-0226</t>
        </is>
      </c>
      <c r="C199" s="2" t="inlineStr">
        <is>
          <t>MUS-030</t>
        </is>
      </c>
      <c r="D199" s="6" t="n">
        <v>45945</v>
      </c>
      <c r="E199" s="3" t="n">
        <v>14345.89</v>
      </c>
      <c r="F199" s="2" t="inlineStr">
        <is>
          <t>Vesaik Mukabili</t>
        </is>
      </c>
      <c r="G199" s="5" t="n">
        <v>5</v>
      </c>
      <c r="H199" s="3" t="n">
        <v>148.58</v>
      </c>
      <c r="I199" s="2" t="inlineStr">
        <is>
          <t>Tam</t>
        </is>
      </c>
    </row>
    <row r="200">
      <c r="A200" s="2" t="inlineStr">
        <is>
          <t>THS-0199</t>
        </is>
      </c>
      <c r="B200" s="2" t="inlineStr">
        <is>
          <t>FTR-0227</t>
        </is>
      </c>
      <c r="C200" s="2" t="inlineStr">
        <is>
          <t>MUS-017</t>
        </is>
      </c>
      <c r="D200" s="6" t="n">
        <v>45988</v>
      </c>
      <c r="E200" s="3" t="n">
        <v>5701.66</v>
      </c>
      <c r="F200" s="2" t="inlineStr">
        <is>
          <t>Vesaik Mukabili</t>
        </is>
      </c>
      <c r="G200" s="5" t="n">
        <v>12</v>
      </c>
      <c r="H200" s="3" t="n">
        <v>-70.17</v>
      </c>
      <c r="I200" s="2" t="inlineStr">
        <is>
          <t>Tam</t>
        </is>
      </c>
    </row>
    <row r="201">
      <c r="A201" s="2" t="inlineStr">
        <is>
          <t>THS-0200</t>
        </is>
      </c>
      <c r="B201" s="2" t="inlineStr">
        <is>
          <t>FTR-0228</t>
        </is>
      </c>
      <c r="C201" s="2" t="inlineStr">
        <is>
          <t>MUS-017</t>
        </is>
      </c>
      <c r="D201" s="6" t="n">
        <v>45977</v>
      </c>
      <c r="E201" s="3" t="n">
        <v>4978.54</v>
      </c>
      <c r="F201" s="2" t="inlineStr">
        <is>
          <t>Vesaik Mukabili</t>
        </is>
      </c>
      <c r="G201" s="5" t="n">
        <v>0</v>
      </c>
      <c r="H201" s="3" t="n">
        <v>-71.56</v>
      </c>
      <c r="I201" s="2" t="inlineStr">
        <is>
          <t>Tam</t>
        </is>
      </c>
    </row>
    <row r="202">
      <c r="A202" s="2" t="inlineStr">
        <is>
          <t>THS-0201</t>
        </is>
      </c>
      <c r="B202" s="2" t="inlineStr">
        <is>
          <t>FTR-0229</t>
        </is>
      </c>
      <c r="C202" s="2" t="inlineStr">
        <is>
          <t>MUS-072</t>
        </is>
      </c>
      <c r="D202" s="6" t="n">
        <v>46022</v>
      </c>
      <c r="E202" s="3" t="n">
        <v>45881.85</v>
      </c>
      <c r="F202" s="2" t="inlineStr">
        <is>
          <t>Vesaik Mukabili</t>
        </is>
      </c>
      <c r="G202" s="5" t="n">
        <v>5</v>
      </c>
      <c r="H202" s="3" t="n">
        <v>-540.13</v>
      </c>
      <c r="I202" s="2" t="inlineStr">
        <is>
          <t>Tam</t>
        </is>
      </c>
    </row>
    <row r="203">
      <c r="A203" s="2" t="inlineStr">
        <is>
          <t>THS-0202</t>
        </is>
      </c>
      <c r="B203" s="2" t="inlineStr">
        <is>
          <t>FTR-0230</t>
        </is>
      </c>
      <c r="C203" s="2" t="inlineStr">
        <is>
          <t>MUS-005</t>
        </is>
      </c>
      <c r="D203" s="6" t="n">
        <v>45990</v>
      </c>
      <c r="E203" s="3" t="n">
        <v>67128.46000000001</v>
      </c>
      <c r="F203" s="2" t="inlineStr">
        <is>
          <t>Swift</t>
        </is>
      </c>
      <c r="G203" s="5" t="n">
        <v>5</v>
      </c>
      <c r="H203" s="3" t="n">
        <v>1279.64</v>
      </c>
      <c r="I203" s="2" t="inlineStr">
        <is>
          <t>Tam</t>
        </is>
      </c>
    </row>
    <row r="204">
      <c r="A204" s="2" t="inlineStr">
        <is>
          <t>THS-0203</t>
        </is>
      </c>
      <c r="B204" s="2" t="inlineStr">
        <is>
          <t>FTR-0231</t>
        </is>
      </c>
      <c r="C204" s="2" t="inlineStr">
        <is>
          <t>MUS-051</t>
        </is>
      </c>
      <c r="D204" s="6" t="n">
        <v>45976</v>
      </c>
      <c r="E204" s="3" t="n">
        <v>1979.34</v>
      </c>
      <c r="F204" s="2" t="inlineStr">
        <is>
          <t>Swift</t>
        </is>
      </c>
      <c r="G204" s="5" t="n">
        <v>0</v>
      </c>
      <c r="H204" s="3" t="n">
        <v>6.85</v>
      </c>
      <c r="I204" s="2" t="inlineStr">
        <is>
          <t>Tam</t>
        </is>
      </c>
    </row>
    <row r="205">
      <c r="A205" s="2" t="inlineStr">
        <is>
          <t>THS-0204</t>
        </is>
      </c>
      <c r="B205" s="2" t="inlineStr">
        <is>
          <t>FTR-0232</t>
        </is>
      </c>
      <c r="C205" s="2" t="inlineStr">
        <is>
          <t>MUS-054</t>
        </is>
      </c>
      <c r="D205" s="6" t="n">
        <v>46027</v>
      </c>
      <c r="E205" s="3" t="n">
        <v>18718.44</v>
      </c>
      <c r="F205" s="2" t="inlineStr">
        <is>
          <t>Vesaik Mukabili</t>
        </is>
      </c>
      <c r="G205" s="5" t="n">
        <v>0</v>
      </c>
      <c r="H205" s="3" t="n">
        <v>-215.15</v>
      </c>
      <c r="I205" s="2" t="inlineStr">
        <is>
          <t>Tam</t>
        </is>
      </c>
    </row>
    <row r="206">
      <c r="A206" s="2" t="inlineStr">
        <is>
          <t>THS-0205</t>
        </is>
      </c>
      <c r="B206" s="2" t="inlineStr">
        <is>
          <t>FTR-0234</t>
        </is>
      </c>
      <c r="C206" s="2" t="inlineStr">
        <is>
          <t>MUS-031</t>
        </is>
      </c>
      <c r="D206" s="6" t="n">
        <v>46054</v>
      </c>
      <c r="E206" s="3" t="n">
        <v>20349.98</v>
      </c>
      <c r="F206" s="2" t="inlineStr">
        <is>
          <t>Vesaik Mukabili</t>
        </is>
      </c>
      <c r="G206" s="5" t="n">
        <v>35</v>
      </c>
      <c r="H206" s="3" t="n">
        <v>261.97</v>
      </c>
      <c r="I206" s="2" t="inlineStr">
        <is>
          <t>Tam</t>
        </is>
      </c>
    </row>
    <row r="207">
      <c r="A207" s="2" t="inlineStr">
        <is>
          <t>THS-0206</t>
        </is>
      </c>
      <c r="B207" s="2" t="inlineStr">
        <is>
          <t>FTR-0236</t>
        </is>
      </c>
      <c r="C207" s="2" t="inlineStr">
        <is>
          <t>MUS-026</t>
        </is>
      </c>
      <c r="D207" s="6" t="n">
        <v>45990</v>
      </c>
      <c r="E207" s="3" t="n">
        <v>4107.25</v>
      </c>
      <c r="F207" s="2" t="inlineStr">
        <is>
          <t>Pesin Havale</t>
        </is>
      </c>
      <c r="G207" s="5" t="n">
        <v>0</v>
      </c>
      <c r="H207" s="3" t="n">
        <v>61.24</v>
      </c>
      <c r="I207" s="2" t="inlineStr">
        <is>
          <t>Tam</t>
        </is>
      </c>
    </row>
    <row r="208">
      <c r="A208" s="2" t="inlineStr">
        <is>
          <t>THS-0207</t>
        </is>
      </c>
      <c r="B208" s="2" t="inlineStr">
        <is>
          <t>FTR-0237</t>
        </is>
      </c>
      <c r="C208" s="2" t="inlineStr">
        <is>
          <t>MUS-019</t>
        </is>
      </c>
      <c r="D208" s="6" t="n">
        <v>46012</v>
      </c>
      <c r="E208" s="3" t="n">
        <v>3824.82</v>
      </c>
      <c r="F208" s="2" t="inlineStr">
        <is>
          <t>Swift</t>
        </is>
      </c>
      <c r="G208" s="5" t="n">
        <v>5</v>
      </c>
      <c r="H208" s="3" t="n">
        <v>-12.36</v>
      </c>
      <c r="I208" s="2" t="inlineStr">
        <is>
          <t>Tam</t>
        </is>
      </c>
    </row>
    <row r="209">
      <c r="A209" s="2" t="inlineStr">
        <is>
          <t>THS-0208</t>
        </is>
      </c>
      <c r="B209" s="2" t="inlineStr">
        <is>
          <t>FTR-0238</t>
        </is>
      </c>
      <c r="C209" s="2" t="inlineStr">
        <is>
          <t>MUS-019</t>
        </is>
      </c>
      <c r="D209" s="6" t="n">
        <v>46020</v>
      </c>
      <c r="E209" s="3" t="n">
        <v>4431.61</v>
      </c>
      <c r="F209" s="2" t="inlineStr">
        <is>
          <t>Swift</t>
        </is>
      </c>
      <c r="G209" s="5" t="n">
        <v>12</v>
      </c>
      <c r="H209" s="3" t="n">
        <v>-28.12</v>
      </c>
      <c r="I209" s="2" t="inlineStr">
        <is>
          <t>Kismi</t>
        </is>
      </c>
    </row>
    <row r="210">
      <c r="A210" s="2" t="inlineStr">
        <is>
          <t>THS-0209</t>
        </is>
      </c>
      <c r="B210" s="2" t="inlineStr">
        <is>
          <t>FTR-0240</t>
        </is>
      </c>
      <c r="C210" s="2" t="inlineStr">
        <is>
          <t>MUS-029</t>
        </is>
      </c>
      <c r="D210" s="6" t="n">
        <v>45968</v>
      </c>
      <c r="E210" s="3" t="n">
        <v>10953.51</v>
      </c>
      <c r="F210" s="2" t="inlineStr">
        <is>
          <t>Vesaik Mukabili</t>
        </is>
      </c>
      <c r="G210" s="5" t="n">
        <v>0</v>
      </c>
      <c r="H210" s="3" t="n">
        <v>-38.66</v>
      </c>
      <c r="I210" s="2" t="inlineStr">
        <is>
          <t>Tam</t>
        </is>
      </c>
    </row>
    <row r="211">
      <c r="A211" s="2" t="inlineStr">
        <is>
          <t>THS-0210</t>
        </is>
      </c>
      <c r="B211" s="2" t="inlineStr">
        <is>
          <t>FTR-0241</t>
        </is>
      </c>
      <c r="C211" s="2" t="inlineStr">
        <is>
          <t>MUS-049</t>
        </is>
      </c>
      <c r="D211" s="6" t="n">
        <v>46018</v>
      </c>
      <c r="E211" s="3" t="n">
        <v>28929.31</v>
      </c>
      <c r="F211" s="2" t="inlineStr">
        <is>
          <t>Vesaik Mukabili</t>
        </is>
      </c>
      <c r="G211" s="5" t="n">
        <v>35</v>
      </c>
      <c r="H211" s="3" t="n">
        <v>120.42</v>
      </c>
      <c r="I211" s="2" t="inlineStr">
        <is>
          <t>Tam</t>
        </is>
      </c>
    </row>
    <row r="212">
      <c r="A212" s="2" t="inlineStr">
        <is>
          <t>THS-0211</t>
        </is>
      </c>
      <c r="B212" s="2" t="inlineStr">
        <is>
          <t>FTR-0242</t>
        </is>
      </c>
      <c r="C212" s="2" t="inlineStr">
        <is>
          <t>MUS-020</t>
        </is>
      </c>
      <c r="D212" s="6" t="n">
        <v>46007</v>
      </c>
      <c r="E212" s="3" t="n">
        <v>21686.25</v>
      </c>
      <c r="F212" s="2" t="inlineStr">
        <is>
          <t>Vesaik Mukabili</t>
        </is>
      </c>
      <c r="G212" s="5" t="n">
        <v>35</v>
      </c>
      <c r="H212" s="3" t="n">
        <v>-304.04</v>
      </c>
      <c r="I212" s="2" t="inlineStr">
        <is>
          <t>Kismi</t>
        </is>
      </c>
    </row>
    <row r="213">
      <c r="A213" s="2" t="inlineStr">
        <is>
          <t>THS-0212</t>
        </is>
      </c>
      <c r="B213" s="2" t="inlineStr">
        <is>
          <t>FTR-0243</t>
        </is>
      </c>
      <c r="C213" s="2" t="inlineStr">
        <is>
          <t>MUS-020</t>
        </is>
      </c>
      <c r="D213" s="6" t="n">
        <v>45973</v>
      </c>
      <c r="E213" s="3" t="n">
        <v>19897.45</v>
      </c>
      <c r="F213" s="2" t="inlineStr">
        <is>
          <t>Vesaik Mukabili</t>
        </is>
      </c>
      <c r="G213" s="5" t="n">
        <v>0</v>
      </c>
      <c r="H213" s="3" t="n">
        <v>340.94</v>
      </c>
      <c r="I213" s="2" t="inlineStr">
        <is>
          <t>Tam</t>
        </is>
      </c>
    </row>
    <row r="214">
      <c r="A214" s="2" t="inlineStr">
        <is>
          <t>THS-0213</t>
        </is>
      </c>
      <c r="B214" s="2" t="inlineStr">
        <is>
          <t>FTR-0244</t>
        </is>
      </c>
      <c r="C214" s="2" t="inlineStr">
        <is>
          <t>MUS-006</t>
        </is>
      </c>
      <c r="D214" s="6" t="n">
        <v>45960</v>
      </c>
      <c r="E214" s="3" t="n">
        <v>41055.69</v>
      </c>
      <c r="F214" s="2" t="inlineStr">
        <is>
          <t>Vesaik Mukabili</t>
        </is>
      </c>
      <c r="G214" s="5" t="n">
        <v>0</v>
      </c>
      <c r="H214" s="3" t="n">
        <v>-94.20999999999999</v>
      </c>
      <c r="I214" s="2" t="inlineStr">
        <is>
          <t>Tam</t>
        </is>
      </c>
    </row>
    <row r="215">
      <c r="A215" s="2" t="inlineStr">
        <is>
          <t>THS-0214</t>
        </is>
      </c>
      <c r="B215" s="2" t="inlineStr">
        <is>
          <t>FTR-0245</t>
        </is>
      </c>
      <c r="C215" s="2" t="inlineStr">
        <is>
          <t>MUS-026</t>
        </is>
      </c>
      <c r="D215" s="6" t="n">
        <v>45953</v>
      </c>
      <c r="E215" s="3" t="n">
        <v>58432.92</v>
      </c>
      <c r="F215" s="2" t="inlineStr">
        <is>
          <t>Swift</t>
        </is>
      </c>
      <c r="G215" s="5" t="n">
        <v>0</v>
      </c>
      <c r="H215" s="3" t="n">
        <v>-621.6799999999999</v>
      </c>
      <c r="I215" s="2" t="inlineStr">
        <is>
          <t>Tam</t>
        </is>
      </c>
    </row>
    <row r="216">
      <c r="A216" s="2" t="inlineStr">
        <is>
          <t>THS-0215</t>
        </is>
      </c>
      <c r="B216" s="2" t="inlineStr">
        <is>
          <t>FTR-0246</t>
        </is>
      </c>
      <c r="C216" s="2" t="inlineStr">
        <is>
          <t>MUS-036</t>
        </is>
      </c>
      <c r="D216" s="6" t="n">
        <v>46050</v>
      </c>
      <c r="E216" s="3" t="n">
        <v>42476.6</v>
      </c>
      <c r="F216" s="2" t="inlineStr">
        <is>
          <t>Pesin Havale</t>
        </is>
      </c>
      <c r="G216" s="5" t="n">
        <v>0</v>
      </c>
      <c r="H216" s="3" t="n">
        <v>595.49</v>
      </c>
      <c r="I216" s="2" t="inlineStr">
        <is>
          <t>Tam</t>
        </is>
      </c>
    </row>
    <row r="217">
      <c r="A217" s="2" t="inlineStr">
        <is>
          <t>THS-0216</t>
        </is>
      </c>
      <c r="B217" s="2" t="inlineStr">
        <is>
          <t>FTR-0247</t>
        </is>
      </c>
      <c r="C217" s="2" t="inlineStr">
        <is>
          <t>MUS-068</t>
        </is>
      </c>
      <c r="D217" s="6" t="n">
        <v>46005</v>
      </c>
      <c r="E217" s="3" t="n">
        <v>11751.3</v>
      </c>
      <c r="F217" s="2" t="inlineStr">
        <is>
          <t>Swift</t>
        </is>
      </c>
      <c r="G217" s="5" t="n">
        <v>12</v>
      </c>
      <c r="H217" s="3" t="n">
        <v>-167.07</v>
      </c>
      <c r="I217" s="2" t="inlineStr">
        <is>
          <t>Tam</t>
        </is>
      </c>
    </row>
    <row r="218">
      <c r="A218" s="2" t="inlineStr">
        <is>
          <t>THS-0217</t>
        </is>
      </c>
      <c r="B218" s="2" t="inlineStr">
        <is>
          <t>FTR-0248</t>
        </is>
      </c>
      <c r="C218" s="2" t="inlineStr">
        <is>
          <t>MUS-007</t>
        </is>
      </c>
      <c r="D218" s="6" t="n">
        <v>46063</v>
      </c>
      <c r="E218" s="3" t="n">
        <v>20439.76</v>
      </c>
      <c r="F218" s="2" t="inlineStr">
        <is>
          <t>Swift</t>
        </is>
      </c>
      <c r="G218" s="5" t="n">
        <v>0</v>
      </c>
      <c r="H218" s="3" t="n">
        <v>282.41</v>
      </c>
      <c r="I218" s="2" t="inlineStr">
        <is>
          <t>Tam</t>
        </is>
      </c>
    </row>
    <row r="219">
      <c r="A219" s="2" t="inlineStr">
        <is>
          <t>THS-0218</t>
        </is>
      </c>
      <c r="B219" s="2" t="inlineStr">
        <is>
          <t>FTR-0249</t>
        </is>
      </c>
      <c r="C219" s="2" t="inlineStr">
        <is>
          <t>MUS-021</t>
        </is>
      </c>
      <c r="D219" s="6" t="n">
        <v>46070</v>
      </c>
      <c r="E219" s="3" t="n">
        <v>55376.61</v>
      </c>
      <c r="F219" s="2" t="inlineStr">
        <is>
          <t>Swift</t>
        </is>
      </c>
      <c r="G219" s="5" t="n">
        <v>0</v>
      </c>
      <c r="H219" s="3" t="n">
        <v>252.31</v>
      </c>
      <c r="I219" s="2" t="inlineStr">
        <is>
          <t>Tam</t>
        </is>
      </c>
    </row>
    <row r="220">
      <c r="A220" s="2" t="inlineStr">
        <is>
          <t>THS-0219</t>
        </is>
      </c>
      <c r="B220" s="2" t="inlineStr">
        <is>
          <t>FTR-0250</t>
        </is>
      </c>
      <c r="C220" s="2" t="inlineStr">
        <is>
          <t>MUS-040</t>
        </is>
      </c>
      <c r="D220" s="6" t="n">
        <v>46051</v>
      </c>
      <c r="E220" s="3" t="n">
        <v>14555.59</v>
      </c>
      <c r="F220" s="2" t="inlineStr">
        <is>
          <t>Swift</t>
        </is>
      </c>
      <c r="G220" s="5" t="n">
        <v>35</v>
      </c>
      <c r="H220" s="3" t="n">
        <v>220.54</v>
      </c>
      <c r="I220" s="2" t="inlineStr">
        <is>
          <t>Tam</t>
        </is>
      </c>
    </row>
    <row r="221">
      <c r="A221" s="2" t="inlineStr">
        <is>
          <t>THS-0220</t>
        </is>
      </c>
      <c r="B221" s="2" t="inlineStr">
        <is>
          <t>FTR-0251</t>
        </is>
      </c>
      <c r="C221" s="2" t="inlineStr">
        <is>
          <t>MUS-053</t>
        </is>
      </c>
      <c r="D221" s="6" t="n">
        <v>46062</v>
      </c>
      <c r="E221" s="3" t="n">
        <v>57910.59</v>
      </c>
      <c r="F221" s="2" t="inlineStr">
        <is>
          <t>Swift</t>
        </is>
      </c>
      <c r="G221" s="5" t="n">
        <v>0</v>
      </c>
      <c r="H221" s="3" t="n">
        <v>-385.4</v>
      </c>
      <c r="I221" s="2" t="inlineStr">
        <is>
          <t>Tam</t>
        </is>
      </c>
    </row>
    <row r="222">
      <c r="A222" s="2" t="inlineStr">
        <is>
          <t>THS-0221</t>
        </is>
      </c>
      <c r="B222" s="2" t="inlineStr">
        <is>
          <t>FTR-0252</t>
        </is>
      </c>
      <c r="C222" s="2" t="inlineStr">
        <is>
          <t>MUS-051</t>
        </is>
      </c>
      <c r="D222" s="6" t="n">
        <v>46047</v>
      </c>
      <c r="E222" s="3" t="n">
        <v>5184.19</v>
      </c>
      <c r="F222" s="2" t="inlineStr">
        <is>
          <t>Pesin Havale</t>
        </is>
      </c>
      <c r="G222" s="5" t="n">
        <v>12</v>
      </c>
      <c r="H222" s="3" t="n">
        <v>-23.68</v>
      </c>
      <c r="I222" s="2" t="inlineStr">
        <is>
          <t>Tam</t>
        </is>
      </c>
    </row>
    <row r="223">
      <c r="A223" s="2" t="inlineStr">
        <is>
          <t>THS-0222</t>
        </is>
      </c>
      <c r="B223" s="2" t="inlineStr">
        <is>
          <t>FTR-0253</t>
        </is>
      </c>
      <c r="C223" s="2" t="inlineStr">
        <is>
          <t>MUS-035</t>
        </is>
      </c>
      <c r="D223" s="6" t="n">
        <v>46015</v>
      </c>
      <c r="E223" s="3" t="n">
        <v>23787.8</v>
      </c>
      <c r="F223" s="2" t="inlineStr">
        <is>
          <t>Swift</t>
        </is>
      </c>
      <c r="G223" s="5" t="n">
        <v>0</v>
      </c>
      <c r="H223" s="3" t="n">
        <v>42.45</v>
      </c>
      <c r="I223" s="2" t="inlineStr">
        <is>
          <t>Kismi</t>
        </is>
      </c>
    </row>
    <row r="224">
      <c r="A224" s="2" t="inlineStr">
        <is>
          <t>THS-0223</t>
        </is>
      </c>
      <c r="B224" s="2" t="inlineStr">
        <is>
          <t>FTR-0254</t>
        </is>
      </c>
      <c r="C224" s="2" t="inlineStr">
        <is>
          <t>MUS-035</t>
        </is>
      </c>
      <c r="D224" s="6" t="n">
        <v>46016</v>
      </c>
      <c r="E224" s="3" t="n">
        <v>20344.74</v>
      </c>
      <c r="F224" s="2" t="inlineStr">
        <is>
          <t>Pesin Havale</t>
        </is>
      </c>
      <c r="G224" s="5" t="n">
        <v>0</v>
      </c>
      <c r="H224" s="3" t="n">
        <v>170.84</v>
      </c>
      <c r="I224" s="2" t="inlineStr">
        <is>
          <t>Tam</t>
        </is>
      </c>
    </row>
    <row r="225">
      <c r="A225" s="2" t="inlineStr">
        <is>
          <t>THS-0224</t>
        </is>
      </c>
      <c r="B225" s="2" t="inlineStr">
        <is>
          <t>FTR-0255</t>
        </is>
      </c>
      <c r="C225" s="2" t="inlineStr">
        <is>
          <t>MUS-008</t>
        </is>
      </c>
      <c r="D225" s="6" t="n">
        <v>46032</v>
      </c>
      <c r="E225" s="3" t="n">
        <v>17516.53</v>
      </c>
      <c r="F225" s="2" t="inlineStr">
        <is>
          <t>Swift</t>
        </is>
      </c>
      <c r="G225" s="5" t="n">
        <v>0</v>
      </c>
      <c r="H225" s="3" t="n">
        <v>295.69</v>
      </c>
      <c r="I225" s="2" t="inlineStr">
        <is>
          <t>Tam</t>
        </is>
      </c>
    </row>
    <row r="226">
      <c r="A226" s="2" t="inlineStr">
        <is>
          <t>THS-0225</t>
        </is>
      </c>
      <c r="B226" s="2" t="inlineStr">
        <is>
          <t>FTR-0256</t>
        </is>
      </c>
      <c r="C226" s="2" t="inlineStr">
        <is>
          <t>MUS-008</t>
        </is>
      </c>
      <c r="D226" s="6" t="n">
        <v>46038</v>
      </c>
      <c r="E226" s="3" t="n">
        <v>21676.56</v>
      </c>
      <c r="F226" s="2" t="inlineStr">
        <is>
          <t>Vesaik Mukabili</t>
        </is>
      </c>
      <c r="G226" s="5" t="n">
        <v>5</v>
      </c>
      <c r="H226" s="3" t="n">
        <v>108.3</v>
      </c>
      <c r="I226" s="2" t="inlineStr">
        <is>
          <t>Kismi</t>
        </is>
      </c>
    </row>
    <row r="227">
      <c r="A227" s="2" t="inlineStr">
        <is>
          <t>THS-0226</t>
        </is>
      </c>
      <c r="B227" s="2" t="inlineStr">
        <is>
          <t>FTR-0257</t>
        </is>
      </c>
      <c r="C227" s="2" t="inlineStr">
        <is>
          <t>MUS-053</t>
        </is>
      </c>
      <c r="D227" s="6" t="n">
        <v>46028</v>
      </c>
      <c r="E227" s="3" t="n">
        <v>23031.08</v>
      </c>
      <c r="F227" s="2" t="inlineStr">
        <is>
          <t>Vesaik Mukabili</t>
        </is>
      </c>
      <c r="G227" s="5" t="n">
        <v>5</v>
      </c>
      <c r="H227" s="3" t="n">
        <v>426.47</v>
      </c>
      <c r="I227" s="2" t="inlineStr">
        <is>
          <t>Tam</t>
        </is>
      </c>
    </row>
    <row r="228">
      <c r="A228" s="2" t="inlineStr">
        <is>
          <t>THS-0227</t>
        </is>
      </c>
      <c r="B228" s="2" t="inlineStr">
        <is>
          <t>FTR-0258</t>
        </is>
      </c>
      <c r="C228" s="2" t="inlineStr">
        <is>
          <t>MUS-048</t>
        </is>
      </c>
      <c r="D228" s="6" t="n">
        <v>46022</v>
      </c>
      <c r="E228" s="3" t="n">
        <v>53668.21</v>
      </c>
      <c r="F228" s="2" t="inlineStr">
        <is>
          <t>Swift</t>
        </is>
      </c>
      <c r="G228" s="5" t="n">
        <v>0</v>
      </c>
      <c r="H228" s="3" t="n">
        <v>424.53</v>
      </c>
      <c r="I228" s="2" t="inlineStr">
        <is>
          <t>Tam</t>
        </is>
      </c>
    </row>
    <row r="229">
      <c r="A229" s="2" t="inlineStr">
        <is>
          <t>THS-0228</t>
        </is>
      </c>
      <c r="B229" s="2" t="inlineStr">
        <is>
          <t>FTR-0259</t>
        </is>
      </c>
      <c r="C229" s="2" t="inlineStr">
        <is>
          <t>MUS-016</t>
        </is>
      </c>
      <c r="D229" s="6" t="n">
        <v>46020</v>
      </c>
      <c r="E229" s="3" t="n">
        <v>2481.6</v>
      </c>
      <c r="F229" s="2" t="inlineStr">
        <is>
          <t>Swift</t>
        </is>
      </c>
      <c r="G229" s="5" t="n">
        <v>0</v>
      </c>
      <c r="H229" s="3" t="n">
        <v>-23.19</v>
      </c>
      <c r="I229" s="2" t="inlineStr">
        <is>
          <t>Tam</t>
        </is>
      </c>
    </row>
    <row r="230">
      <c r="A230" s="2" t="inlineStr">
        <is>
          <t>THS-0229</t>
        </is>
      </c>
      <c r="B230" s="2" t="inlineStr">
        <is>
          <t>FTR-0261</t>
        </is>
      </c>
      <c r="C230" s="2" t="inlineStr">
        <is>
          <t>MUS-033</t>
        </is>
      </c>
      <c r="D230" s="6" t="n">
        <v>46025</v>
      </c>
      <c r="E230" s="3" t="n">
        <v>11809.37</v>
      </c>
      <c r="F230" s="2" t="inlineStr">
        <is>
          <t>Swift</t>
        </is>
      </c>
      <c r="G230" s="5" t="n">
        <v>12</v>
      </c>
      <c r="H230" s="3" t="n">
        <v>92.55</v>
      </c>
      <c r="I230" s="2" t="inlineStr">
        <is>
          <t>Tam</t>
        </is>
      </c>
    </row>
    <row r="231">
      <c r="A231" s="2" t="inlineStr">
        <is>
          <t>THS-0230</t>
        </is>
      </c>
      <c r="B231" s="2" t="inlineStr">
        <is>
          <t>FTR-0262</t>
        </is>
      </c>
      <c r="C231" s="2" t="inlineStr">
        <is>
          <t>MUS-043</t>
        </is>
      </c>
      <c r="D231" s="6" t="n">
        <v>46094</v>
      </c>
      <c r="E231" s="3" t="n">
        <v>39754.55</v>
      </c>
      <c r="F231" s="2" t="inlineStr">
        <is>
          <t>Vesaik Mukabili</t>
        </is>
      </c>
      <c r="G231" s="5" t="n">
        <v>0</v>
      </c>
      <c r="H231" s="3" t="n">
        <v>691.79</v>
      </c>
      <c r="I231" s="2" t="inlineStr">
        <is>
          <t>Tam</t>
        </is>
      </c>
    </row>
    <row r="232">
      <c r="A232" s="2" t="inlineStr">
        <is>
          <t>THS-0231</t>
        </is>
      </c>
      <c r="B232" s="2" t="inlineStr">
        <is>
          <t>FTR-0263</t>
        </is>
      </c>
      <c r="C232" s="2" t="inlineStr">
        <is>
          <t>MUS-084</t>
        </is>
      </c>
      <c r="D232" s="6" t="n">
        <v>46086</v>
      </c>
      <c r="E232" s="3" t="n">
        <v>31683.63</v>
      </c>
      <c r="F232" s="2" t="inlineStr">
        <is>
          <t>Vesaik Mukabili</t>
        </is>
      </c>
      <c r="G232" s="5" t="n">
        <v>5</v>
      </c>
      <c r="H232" s="3" t="n">
        <v>-13.48</v>
      </c>
      <c r="I232" s="2" t="inlineStr">
        <is>
          <t>Tam</t>
        </is>
      </c>
    </row>
    <row r="233">
      <c r="A233" s="2" t="inlineStr">
        <is>
          <t>THS-0232</t>
        </is>
      </c>
      <c r="B233" s="2" t="inlineStr">
        <is>
          <t>FTR-0264</t>
        </is>
      </c>
      <c r="C233" s="2" t="inlineStr">
        <is>
          <t>MUS-015</t>
        </is>
      </c>
      <c r="D233" s="6" t="n">
        <v>46038</v>
      </c>
      <c r="E233" s="3" t="n">
        <v>10983.67</v>
      </c>
      <c r="F233" s="2" t="inlineStr">
        <is>
          <t>Vesaik Mukabili</t>
        </is>
      </c>
      <c r="G233" s="5" t="n">
        <v>0</v>
      </c>
      <c r="H233" s="3" t="n">
        <v>160.34</v>
      </c>
      <c r="I233" s="2" t="inlineStr">
        <is>
          <t>Tam</t>
        </is>
      </c>
    </row>
    <row r="234">
      <c r="A234" s="2" t="inlineStr">
        <is>
          <t>THS-0233</t>
        </is>
      </c>
      <c r="B234" s="2" t="inlineStr">
        <is>
          <t>FTR-0265</t>
        </is>
      </c>
      <c r="C234" s="2" t="inlineStr">
        <is>
          <t>MUS-054</t>
        </is>
      </c>
      <c r="D234" s="6" t="n">
        <v>46103</v>
      </c>
      <c r="E234" s="3" t="n">
        <v>3948.36</v>
      </c>
      <c r="F234" s="2" t="inlineStr">
        <is>
          <t>Vesaik Mukabili</t>
        </is>
      </c>
      <c r="G234" s="5" t="n">
        <v>0</v>
      </c>
      <c r="H234" s="3" t="n">
        <v>19.52</v>
      </c>
      <c r="I234" s="2" t="inlineStr">
        <is>
          <t>Tam</t>
        </is>
      </c>
    </row>
    <row r="235">
      <c r="A235" s="2" t="inlineStr">
        <is>
          <t>THS-0234</t>
        </is>
      </c>
      <c r="B235" s="2" t="inlineStr">
        <is>
          <t>FTR-0266</t>
        </is>
      </c>
      <c r="C235" s="2" t="inlineStr">
        <is>
          <t>MUS-054</t>
        </is>
      </c>
      <c r="D235" s="6" t="n">
        <v>46104</v>
      </c>
      <c r="E235" s="3" t="n">
        <v>4514.38</v>
      </c>
      <c r="F235" s="2" t="inlineStr">
        <is>
          <t>Swift</t>
        </is>
      </c>
      <c r="G235" s="5" t="n">
        <v>0</v>
      </c>
      <c r="H235" s="3" t="n">
        <v>49.18</v>
      </c>
      <c r="I235" s="2" t="inlineStr">
        <is>
          <t>Tam</t>
        </is>
      </c>
    </row>
    <row r="236">
      <c r="A236" s="2" t="inlineStr">
        <is>
          <t>THS-0235</t>
        </is>
      </c>
      <c r="B236" s="2" t="inlineStr">
        <is>
          <t>FTR-0267</t>
        </is>
      </c>
      <c r="C236" s="2" t="inlineStr">
        <is>
          <t>MUS-023</t>
        </is>
      </c>
      <c r="D236" s="6" t="n">
        <v>46049</v>
      </c>
      <c r="E236" s="3" t="n">
        <v>38329.35</v>
      </c>
      <c r="F236" s="2" t="inlineStr">
        <is>
          <t>Swift</t>
        </is>
      </c>
      <c r="G236" s="5" t="n">
        <v>0</v>
      </c>
      <c r="H236" s="3" t="n">
        <v>638.24</v>
      </c>
      <c r="I236" s="2" t="inlineStr">
        <is>
          <t>Tam</t>
        </is>
      </c>
    </row>
    <row r="237">
      <c r="A237" s="2" t="inlineStr">
        <is>
          <t>THS-0236</t>
        </is>
      </c>
      <c r="B237" s="2" t="inlineStr">
        <is>
          <t>FTR-0268</t>
        </is>
      </c>
      <c r="C237" s="2" t="inlineStr">
        <is>
          <t>MUS-060</t>
        </is>
      </c>
      <c r="D237" s="6" t="n">
        <v>46021</v>
      </c>
      <c r="E237" s="3" t="n">
        <v>15860.08</v>
      </c>
      <c r="F237" s="2" t="inlineStr">
        <is>
          <t>Vesaik Mukabili</t>
        </is>
      </c>
      <c r="G237" s="5" t="n">
        <v>0</v>
      </c>
      <c r="H237" s="3" t="n">
        <v>97.65000000000001</v>
      </c>
      <c r="I237" s="2" t="inlineStr">
        <is>
          <t>Tam</t>
        </is>
      </c>
    </row>
    <row r="238">
      <c r="A238" s="2" t="inlineStr">
        <is>
          <t>THS-0237</t>
        </is>
      </c>
      <c r="B238" s="2" t="inlineStr">
        <is>
          <t>FTR-0270</t>
        </is>
      </c>
      <c r="C238" s="2" t="inlineStr">
        <is>
          <t>MUS-032</t>
        </is>
      </c>
      <c r="D238" s="6" t="n">
        <v>46085</v>
      </c>
      <c r="E238" s="3" t="n">
        <v>8227.18</v>
      </c>
      <c r="F238" s="2" t="inlineStr">
        <is>
          <t>Vesaik Mukabili</t>
        </is>
      </c>
      <c r="G238" s="5" t="n">
        <v>0</v>
      </c>
      <c r="H238" s="3" t="n">
        <v>-37.21</v>
      </c>
      <c r="I238" s="2" t="inlineStr">
        <is>
          <t>Tam</t>
        </is>
      </c>
    </row>
    <row r="239">
      <c r="A239" s="2" t="inlineStr">
        <is>
          <t>THS-0238</t>
        </is>
      </c>
      <c r="B239" s="2" t="inlineStr">
        <is>
          <t>FTR-0271</t>
        </is>
      </c>
      <c r="C239" s="2" t="inlineStr">
        <is>
          <t>MUS-032</t>
        </is>
      </c>
      <c r="D239" s="6" t="n">
        <v>46098</v>
      </c>
      <c r="E239" s="3" t="n">
        <v>9433.309999999999</v>
      </c>
      <c r="F239" s="2" t="inlineStr">
        <is>
          <t>Swift</t>
        </is>
      </c>
      <c r="G239" s="5" t="n">
        <v>12</v>
      </c>
      <c r="H239" s="3" t="n">
        <v>-28.6</v>
      </c>
      <c r="I239" s="2" t="inlineStr">
        <is>
          <t>Tam</t>
        </is>
      </c>
    </row>
    <row r="240">
      <c r="A240" s="2" t="inlineStr">
        <is>
          <t>THS-0239</t>
        </is>
      </c>
      <c r="B240" s="2" t="inlineStr">
        <is>
          <t>FTR-0272</t>
        </is>
      </c>
      <c r="C240" s="2" t="inlineStr">
        <is>
          <t>MUS-056</t>
        </is>
      </c>
      <c r="D240" s="6" t="n">
        <v>46033</v>
      </c>
      <c r="E240" s="3" t="n">
        <v>16864.35</v>
      </c>
      <c r="F240" s="2" t="inlineStr">
        <is>
          <t>Swift</t>
        </is>
      </c>
      <c r="G240" s="5" t="n">
        <v>0</v>
      </c>
      <c r="H240" s="3" t="n">
        <v>256.45</v>
      </c>
      <c r="I240" s="2" t="inlineStr">
        <is>
          <t>Tam</t>
        </is>
      </c>
    </row>
    <row r="241">
      <c r="A241" s="2" t="inlineStr">
        <is>
          <t>THS-0240</t>
        </is>
      </c>
      <c r="B241" s="2" t="inlineStr">
        <is>
          <t>FTR-0273</t>
        </is>
      </c>
      <c r="C241" s="2" t="inlineStr">
        <is>
          <t>MUS-003</t>
        </is>
      </c>
      <c r="D241" s="6" t="n">
        <v>46097</v>
      </c>
      <c r="E241" s="3" t="n">
        <v>37903.69</v>
      </c>
      <c r="F241" s="2" t="inlineStr">
        <is>
          <t>Vesaik Mukabili</t>
        </is>
      </c>
      <c r="G241" s="5" t="n">
        <v>0</v>
      </c>
      <c r="H241" s="3" t="n">
        <v>330.85</v>
      </c>
      <c r="I241" s="2" t="inlineStr">
        <is>
          <t>Tam</t>
        </is>
      </c>
    </row>
    <row r="242">
      <c r="A242" s="2" t="inlineStr">
        <is>
          <t>THS-0241</t>
        </is>
      </c>
      <c r="B242" s="2" t="inlineStr">
        <is>
          <t>FTR-0274</t>
        </is>
      </c>
      <c r="C242" s="2" t="inlineStr">
        <is>
          <t>MUS-029</t>
        </is>
      </c>
      <c r="D242" s="6" t="n">
        <v>46076</v>
      </c>
      <c r="E242" s="3" t="n">
        <v>75408.28</v>
      </c>
      <c r="F242" s="2" t="inlineStr">
        <is>
          <t>Pesin Havale</t>
        </is>
      </c>
      <c r="G242" s="5" t="n">
        <v>12</v>
      </c>
      <c r="H242" s="3" t="n">
        <v>-35.26</v>
      </c>
      <c r="I242" s="2" t="inlineStr">
        <is>
          <t>Tam</t>
        </is>
      </c>
    </row>
    <row r="243">
      <c r="A243" s="2" t="inlineStr">
        <is>
          <t>THS-0242</t>
        </is>
      </c>
      <c r="B243" s="2" t="inlineStr">
        <is>
          <t>FTR-0275</t>
        </is>
      </c>
      <c r="C243" s="2" t="inlineStr">
        <is>
          <t>MUS-068</t>
        </is>
      </c>
      <c r="D243" s="6" t="n">
        <v>46019</v>
      </c>
      <c r="E243" s="3" t="n">
        <v>11534.49</v>
      </c>
      <c r="F243" s="2" t="inlineStr">
        <is>
          <t>Vesaik Mukabili</t>
        </is>
      </c>
      <c r="G243" s="5" t="n">
        <v>5</v>
      </c>
      <c r="H243" s="3" t="n">
        <v>-50.35</v>
      </c>
      <c r="I243" s="2" t="inlineStr">
        <is>
          <t>Tam</t>
        </is>
      </c>
    </row>
    <row r="244">
      <c r="A244" s="2" t="inlineStr">
        <is>
          <t>THS-0243</t>
        </is>
      </c>
      <c r="B244" s="2" t="inlineStr">
        <is>
          <t>FTR-0276</t>
        </is>
      </c>
      <c r="C244" s="2" t="inlineStr">
        <is>
          <t>MUS-068</t>
        </is>
      </c>
      <c r="D244" s="6" t="n">
        <v>46020</v>
      </c>
      <c r="E244" s="3" t="n">
        <v>15524.72</v>
      </c>
      <c r="F244" s="2" t="inlineStr">
        <is>
          <t>Vesaik Mukabili</t>
        </is>
      </c>
      <c r="G244" s="5" t="n">
        <v>5</v>
      </c>
      <c r="H244" s="3" t="n">
        <v>303.7</v>
      </c>
      <c r="I244" s="2" t="inlineStr">
        <is>
          <t>Tam</t>
        </is>
      </c>
    </row>
    <row r="245">
      <c r="A245" s="2" t="inlineStr">
        <is>
          <t>THS-0244</t>
        </is>
      </c>
      <c r="B245" s="2" t="inlineStr">
        <is>
          <t>FTR-0278</t>
        </is>
      </c>
      <c r="C245" s="2" t="inlineStr">
        <is>
          <t>MUS-062</t>
        </is>
      </c>
      <c r="D245" s="6" t="n">
        <v>46060</v>
      </c>
      <c r="E245" s="3" t="n">
        <v>7714.22</v>
      </c>
      <c r="F245" s="2" t="inlineStr">
        <is>
          <t>Pesin Havale</t>
        </is>
      </c>
      <c r="G245" s="5" t="n">
        <v>0</v>
      </c>
      <c r="H245" s="3" t="n">
        <v>65.53</v>
      </c>
      <c r="I245" s="2" t="inlineStr">
        <is>
          <t>Tam</t>
        </is>
      </c>
    </row>
    <row r="246">
      <c r="A246" s="2" t="inlineStr">
        <is>
          <t>THS-0245</t>
        </is>
      </c>
      <c r="B246" s="2" t="inlineStr">
        <is>
          <t>FTR-0279</t>
        </is>
      </c>
      <c r="C246" s="2" t="inlineStr">
        <is>
          <t>MUS-046</t>
        </is>
      </c>
      <c r="D246" s="6" t="n">
        <v>46079</v>
      </c>
      <c r="E246" s="3" t="n">
        <v>21100.55</v>
      </c>
      <c r="F246" s="2" t="inlineStr">
        <is>
          <t>Swift</t>
        </is>
      </c>
      <c r="G246" s="5" t="n">
        <v>5</v>
      </c>
      <c r="H246" s="3" t="n">
        <v>-113.3</v>
      </c>
      <c r="I246" s="2" t="inlineStr">
        <is>
          <t>Tam</t>
        </is>
      </c>
    </row>
    <row r="247">
      <c r="A247" s="2" t="inlineStr">
        <is>
          <t>THS-0246</t>
        </is>
      </c>
      <c r="B247" s="2" t="inlineStr">
        <is>
          <t>FTR-0280</t>
        </is>
      </c>
      <c r="C247" s="2" t="inlineStr">
        <is>
          <t>MUS-046</t>
        </is>
      </c>
      <c r="D247" s="6" t="n">
        <v>46080</v>
      </c>
      <c r="E247" s="3" t="n">
        <v>27169.65</v>
      </c>
      <c r="F247" s="2" t="inlineStr">
        <is>
          <t>Vesaik Mukabili</t>
        </is>
      </c>
      <c r="G247" s="5" t="n">
        <v>5</v>
      </c>
      <c r="H247" s="3" t="n">
        <v>-396.34</v>
      </c>
      <c r="I247" s="2" t="inlineStr">
        <is>
          <t>Tam</t>
        </is>
      </c>
    </row>
    <row r="248">
      <c r="A248" s="2" t="inlineStr">
        <is>
          <t>THS-0247</t>
        </is>
      </c>
      <c r="B248" s="2" t="inlineStr">
        <is>
          <t>FTR-0281</t>
        </is>
      </c>
      <c r="C248" s="2" t="inlineStr">
        <is>
          <t>MUS-064</t>
        </is>
      </c>
      <c r="D248" s="6" t="n">
        <v>46098</v>
      </c>
      <c r="E248" s="3" t="n">
        <v>16122.55</v>
      </c>
      <c r="F248" s="2" t="inlineStr">
        <is>
          <t>Swift</t>
        </is>
      </c>
      <c r="G248" s="5" t="n">
        <v>5</v>
      </c>
      <c r="H248" s="3" t="n">
        <v>-237.69</v>
      </c>
      <c r="I248" s="2" t="inlineStr">
        <is>
          <t>Tam</t>
        </is>
      </c>
    </row>
    <row r="249">
      <c r="A249" s="2" t="inlineStr">
        <is>
          <t>THS-0248</t>
        </is>
      </c>
      <c r="B249" s="2" t="inlineStr">
        <is>
          <t>FTR-0282</t>
        </is>
      </c>
      <c r="C249" s="2" t="inlineStr">
        <is>
          <t>MUS-067</t>
        </is>
      </c>
      <c r="D249" s="6" t="n">
        <v>46083</v>
      </c>
      <c r="E249" s="3" t="n">
        <v>9482.530000000001</v>
      </c>
      <c r="F249" s="2" t="inlineStr">
        <is>
          <t>Swift</t>
        </is>
      </c>
      <c r="G249" s="5" t="n">
        <v>0</v>
      </c>
      <c r="H249" s="3" t="n">
        <v>-96.23999999999999</v>
      </c>
      <c r="I249" s="2" t="inlineStr">
        <is>
          <t>Tam</t>
        </is>
      </c>
    </row>
    <row r="250">
      <c r="A250" s="2" t="inlineStr">
        <is>
          <t>THS-0249</t>
        </is>
      </c>
      <c r="B250" s="2" t="inlineStr">
        <is>
          <t>FTR-0283</t>
        </is>
      </c>
      <c r="C250" s="2" t="inlineStr">
        <is>
          <t>MUS-067</t>
        </is>
      </c>
      <c r="D250" s="6" t="n">
        <v>46096</v>
      </c>
      <c r="E250" s="3" t="n">
        <v>9198.209999999999</v>
      </c>
      <c r="F250" s="2" t="inlineStr">
        <is>
          <t>Swift</t>
        </is>
      </c>
      <c r="G250" s="5" t="n">
        <v>12</v>
      </c>
      <c r="H250" s="3" t="n">
        <v>76.20999999999999</v>
      </c>
      <c r="I250" s="2" t="inlineStr">
        <is>
          <t>Tam</t>
        </is>
      </c>
    </row>
    <row r="251">
      <c r="A251" s="2" t="inlineStr">
        <is>
          <t>THS-0250</t>
        </is>
      </c>
      <c r="B251" s="2" t="inlineStr">
        <is>
          <t>FTR-0284</t>
        </is>
      </c>
      <c r="C251" s="2" t="inlineStr">
        <is>
          <t>MUS-044</t>
        </is>
      </c>
      <c r="D251" s="6" t="n">
        <v>46086</v>
      </c>
      <c r="E251" s="3" t="n">
        <v>27877.77</v>
      </c>
      <c r="F251" s="2" t="inlineStr">
        <is>
          <t>Swift</t>
        </is>
      </c>
      <c r="G251" s="5" t="n">
        <v>0</v>
      </c>
      <c r="H251" s="3" t="n">
        <v>410.36</v>
      </c>
      <c r="I251" s="2" t="inlineStr">
        <is>
          <t>Tam</t>
        </is>
      </c>
    </row>
    <row r="252">
      <c r="A252" s="2" t="inlineStr">
        <is>
          <t>THS-0251</t>
        </is>
      </c>
      <c r="B252" s="2" t="inlineStr">
        <is>
          <t>FTR-0285</t>
        </is>
      </c>
      <c r="C252" s="2" t="inlineStr">
        <is>
          <t>MUS-015</t>
        </is>
      </c>
      <c r="D252" s="6" t="n">
        <v>46074</v>
      </c>
      <c r="E252" s="3" t="n">
        <v>16097.56</v>
      </c>
      <c r="F252" s="2" t="inlineStr">
        <is>
          <t>Swift</t>
        </is>
      </c>
      <c r="G252" s="5" t="n">
        <v>0</v>
      </c>
      <c r="H252" s="3" t="n">
        <v>-167.55</v>
      </c>
      <c r="I252" s="2" t="inlineStr">
        <is>
          <t>Tam</t>
        </is>
      </c>
    </row>
    <row r="253">
      <c r="A253" s="2" t="inlineStr">
        <is>
          <t>THS-0252</t>
        </is>
      </c>
      <c r="B253" s="2" t="inlineStr">
        <is>
          <t>FTR-0286</t>
        </is>
      </c>
      <c r="C253" s="2" t="inlineStr">
        <is>
          <t>MUS-083</t>
        </is>
      </c>
      <c r="D253" s="6" t="n">
        <v>46073</v>
      </c>
      <c r="E253" s="3" t="n">
        <v>52807.08</v>
      </c>
      <c r="F253" s="2" t="inlineStr">
        <is>
          <t>Swift</t>
        </is>
      </c>
      <c r="G253" s="5" t="n">
        <v>0</v>
      </c>
      <c r="H253" s="3" t="n">
        <v>-413.76</v>
      </c>
      <c r="I253" s="2" t="inlineStr">
        <is>
          <t>Tam</t>
        </is>
      </c>
    </row>
    <row r="254">
      <c r="A254" s="2" t="inlineStr">
        <is>
          <t>THS-0253</t>
        </is>
      </c>
      <c r="B254" s="2" t="inlineStr">
        <is>
          <t>FTR-0287</t>
        </is>
      </c>
      <c r="C254" s="2" t="inlineStr">
        <is>
          <t>MUS-039</t>
        </is>
      </c>
      <c r="D254" s="6" t="n">
        <v>46060</v>
      </c>
      <c r="E254" s="3" t="n">
        <v>21340.2</v>
      </c>
      <c r="F254" s="2" t="inlineStr">
        <is>
          <t>Swift</t>
        </is>
      </c>
      <c r="G254" s="5" t="n">
        <v>0</v>
      </c>
      <c r="H254" s="3" t="n">
        <v>191.13</v>
      </c>
      <c r="I254" s="2" t="inlineStr">
        <is>
          <t>Tam</t>
        </is>
      </c>
    </row>
    <row r="255">
      <c r="A255" s="2" t="inlineStr">
        <is>
          <t>THS-0254</t>
        </is>
      </c>
      <c r="B255" s="2" t="inlineStr">
        <is>
          <t>FTR-0288</t>
        </is>
      </c>
      <c r="C255" s="2" t="inlineStr">
        <is>
          <t>MUS-022</t>
        </is>
      </c>
      <c r="D255" s="6" t="n">
        <v>46141</v>
      </c>
      <c r="E255" s="3" t="n">
        <v>14563.03</v>
      </c>
      <c r="F255" s="2" t="inlineStr">
        <is>
          <t>Swift</t>
        </is>
      </c>
      <c r="G255" s="5" t="n">
        <v>0</v>
      </c>
      <c r="H255" s="3" t="n">
        <v>74.03</v>
      </c>
      <c r="I255" s="2" t="inlineStr">
        <is>
          <t>Kismi</t>
        </is>
      </c>
    </row>
    <row r="256">
      <c r="A256" s="2" t="inlineStr">
        <is>
          <t>THS-0255</t>
        </is>
      </c>
      <c r="B256" s="2" t="inlineStr">
        <is>
          <t>FTR-0289</t>
        </is>
      </c>
      <c r="C256" s="2" t="inlineStr">
        <is>
          <t>MUS-067</t>
        </is>
      </c>
      <c r="D256" s="6" t="n">
        <v>46091</v>
      </c>
      <c r="E256" s="3" t="n">
        <v>12857.99</v>
      </c>
      <c r="F256" s="2" t="inlineStr">
        <is>
          <t>Swift</t>
        </is>
      </c>
      <c r="G256" s="5" t="n">
        <v>0</v>
      </c>
      <c r="H256" s="3" t="n">
        <v>1.78</v>
      </c>
      <c r="I256" s="2" t="inlineStr">
        <is>
          <t>Tam</t>
        </is>
      </c>
    </row>
    <row r="257">
      <c r="A257" s="2" t="inlineStr">
        <is>
          <t>THS-0256</t>
        </is>
      </c>
      <c r="B257" s="2" t="inlineStr">
        <is>
          <t>FTR-0290</t>
        </is>
      </c>
      <c r="C257" s="2" t="inlineStr">
        <is>
          <t>MUS-067</t>
        </is>
      </c>
      <c r="D257" s="6" t="n">
        <v>46092</v>
      </c>
      <c r="E257" s="3" t="n">
        <v>16078.44</v>
      </c>
      <c r="F257" s="2" t="inlineStr">
        <is>
          <t>Swift</t>
        </is>
      </c>
      <c r="G257" s="5" t="n">
        <v>0</v>
      </c>
      <c r="H257" s="3" t="n">
        <v>139.19</v>
      </c>
      <c r="I257" s="2" t="inlineStr">
        <is>
          <t>Tam</t>
        </is>
      </c>
    </row>
    <row r="258">
      <c r="A258" s="2" t="inlineStr">
        <is>
          <t>THS-0257</t>
        </is>
      </c>
      <c r="B258" s="2" t="inlineStr">
        <is>
          <t>FTR-0291</t>
        </is>
      </c>
      <c r="C258" s="2" t="inlineStr">
        <is>
          <t>MUS-042</t>
        </is>
      </c>
      <c r="D258" s="6" t="n">
        <v>46083</v>
      </c>
      <c r="E258" s="3" t="n">
        <v>32958.21</v>
      </c>
      <c r="F258" s="2" t="inlineStr">
        <is>
          <t>Swift</t>
        </is>
      </c>
      <c r="G258" s="5" t="n">
        <v>0</v>
      </c>
      <c r="H258" s="3" t="n">
        <v>-417.2</v>
      </c>
      <c r="I258" s="2" t="inlineStr">
        <is>
          <t>Kismi</t>
        </is>
      </c>
    </row>
    <row r="259">
      <c r="A259" s="2" t="inlineStr">
        <is>
          <t>THS-0258</t>
        </is>
      </c>
      <c r="B259" s="2" t="inlineStr">
        <is>
          <t>FTR-0293</t>
        </is>
      </c>
      <c r="C259" s="2" t="inlineStr">
        <is>
          <t>MUS-015</t>
        </is>
      </c>
      <c r="D259" s="6" t="n">
        <v>46083</v>
      </c>
      <c r="E259" s="3" t="n">
        <v>21102.64</v>
      </c>
      <c r="F259" s="2" t="inlineStr">
        <is>
          <t>Swift</t>
        </is>
      </c>
      <c r="G259" s="5" t="n">
        <v>21</v>
      </c>
      <c r="H259" s="3" t="n">
        <v>371.22</v>
      </c>
      <c r="I259" s="2" t="inlineStr">
        <is>
          <t>Tam</t>
        </is>
      </c>
    </row>
    <row r="260">
      <c r="A260" s="2" t="inlineStr">
        <is>
          <t>THS-0259</t>
        </is>
      </c>
      <c r="B260" s="2" t="inlineStr">
        <is>
          <t>FTR-0294</t>
        </is>
      </c>
      <c r="C260" s="2" t="inlineStr">
        <is>
          <t>MUS-052</t>
        </is>
      </c>
      <c r="D260" s="6" t="n">
        <v>46125</v>
      </c>
      <c r="E260" s="3" t="n">
        <v>70915.60000000001</v>
      </c>
      <c r="F260" s="2" t="inlineStr">
        <is>
          <t>Swift</t>
        </is>
      </c>
      <c r="G260" s="5" t="n">
        <v>5</v>
      </c>
      <c r="H260" s="3" t="n">
        <v>879.38</v>
      </c>
      <c r="I260" s="2" t="inlineStr">
        <is>
          <t>Tam</t>
        </is>
      </c>
    </row>
    <row r="261">
      <c r="A261" s="2" t="inlineStr">
        <is>
          <t>THS-0260</t>
        </is>
      </c>
      <c r="B261" s="2" t="inlineStr">
        <is>
          <t>FTR-0295</t>
        </is>
      </c>
      <c r="C261" s="2" t="inlineStr">
        <is>
          <t>MUS-003</t>
        </is>
      </c>
      <c r="D261" s="6" t="n">
        <v>46170</v>
      </c>
      <c r="E261" s="3" t="n">
        <v>42735.78</v>
      </c>
      <c r="F261" s="2" t="inlineStr">
        <is>
          <t>Swift</t>
        </is>
      </c>
      <c r="G261" s="5" t="n">
        <v>0</v>
      </c>
      <c r="H261" s="3" t="n">
        <v>163.34</v>
      </c>
      <c r="I261" s="2" t="inlineStr">
        <is>
          <t>Tam</t>
        </is>
      </c>
    </row>
    <row r="262">
      <c r="A262" s="2" t="inlineStr">
        <is>
          <t>THS-0261</t>
        </is>
      </c>
      <c r="B262" s="2" t="inlineStr">
        <is>
          <t>FTR-0296</t>
        </is>
      </c>
      <c r="C262" s="2" t="inlineStr">
        <is>
          <t>MUS-021</t>
        </is>
      </c>
      <c r="D262" s="6" t="n">
        <v>46123</v>
      </c>
      <c r="E262" s="3" t="n">
        <v>56819.99</v>
      </c>
      <c r="F262" s="2" t="inlineStr">
        <is>
          <t>Swift</t>
        </is>
      </c>
      <c r="G262" s="5" t="n">
        <v>0</v>
      </c>
      <c r="H262" s="3" t="n">
        <v>651.33</v>
      </c>
      <c r="I262" s="2" t="inlineStr">
        <is>
          <t>Tam</t>
        </is>
      </c>
    </row>
    <row r="263">
      <c r="A263" s="2" t="inlineStr">
        <is>
          <t>THS-0262</t>
        </is>
      </c>
      <c r="B263" s="2" t="inlineStr">
        <is>
          <t>FTR-0297</t>
        </is>
      </c>
      <c r="C263" s="2" t="inlineStr">
        <is>
          <t>MUS-008</t>
        </is>
      </c>
      <c r="D263" s="6" t="n">
        <v>46132</v>
      </c>
      <c r="E263" s="3" t="n">
        <v>54302.29</v>
      </c>
      <c r="F263" s="2" t="inlineStr">
        <is>
          <t>Vesaik Mukabili</t>
        </is>
      </c>
      <c r="G263" s="5" t="n">
        <v>0</v>
      </c>
      <c r="H263" s="3" t="n">
        <v>-569.35</v>
      </c>
      <c r="I263" s="2" t="inlineStr">
        <is>
          <t>Tam</t>
        </is>
      </c>
    </row>
    <row r="264">
      <c r="A264" s="2" t="inlineStr">
        <is>
          <t>THS-0263</t>
        </is>
      </c>
      <c r="B264" s="2" t="inlineStr">
        <is>
          <t>FTR-0298</t>
        </is>
      </c>
      <c r="C264" s="2" t="inlineStr">
        <is>
          <t>MUS-001</t>
        </is>
      </c>
      <c r="D264" s="6" t="n">
        <v>46085</v>
      </c>
      <c r="E264" s="3" t="n">
        <v>7949.11</v>
      </c>
      <c r="F264" s="2" t="inlineStr">
        <is>
          <t>Pesin Havale</t>
        </is>
      </c>
      <c r="G264" s="5" t="n">
        <v>0</v>
      </c>
      <c r="H264" s="3" t="n">
        <v>-81.72</v>
      </c>
      <c r="I264" s="2" t="inlineStr">
        <is>
          <t>Tam</t>
        </is>
      </c>
    </row>
    <row r="265">
      <c r="A265" s="2" t="inlineStr">
        <is>
          <t>THS-0264</t>
        </is>
      </c>
      <c r="B265" s="2" t="inlineStr">
        <is>
          <t>FTR-0299</t>
        </is>
      </c>
      <c r="C265" s="2" t="inlineStr">
        <is>
          <t>MUS-053</t>
        </is>
      </c>
      <c r="D265" s="6" t="n">
        <v>46103</v>
      </c>
      <c r="E265" s="3" t="n">
        <v>22857.82</v>
      </c>
      <c r="F265" s="2" t="inlineStr">
        <is>
          <t>Swift</t>
        </is>
      </c>
      <c r="G265" s="5" t="n">
        <v>0</v>
      </c>
      <c r="H265" s="3" t="n">
        <v>24.51</v>
      </c>
      <c r="I265" s="2" t="inlineStr">
        <is>
          <t>Tam</t>
        </is>
      </c>
    </row>
    <row r="266">
      <c r="A266" s="2" t="inlineStr">
        <is>
          <t>THS-0265</t>
        </is>
      </c>
      <c r="B266" s="2" t="inlineStr">
        <is>
          <t>FTR-0300</t>
        </is>
      </c>
      <c r="C266" s="2" t="inlineStr">
        <is>
          <t>MUS-063</t>
        </is>
      </c>
      <c r="D266" s="6" t="n">
        <v>46170</v>
      </c>
      <c r="E266" s="3" t="n">
        <v>66506.49000000001</v>
      </c>
      <c r="F266" s="2" t="inlineStr">
        <is>
          <t>Swift</t>
        </is>
      </c>
      <c r="G266" s="5" t="n">
        <v>21</v>
      </c>
      <c r="H266" s="3" t="n">
        <v>-268.62</v>
      </c>
      <c r="I266" s="2" t="inlineStr">
        <is>
          <t>Tam</t>
        </is>
      </c>
    </row>
    <row r="267">
      <c r="A267" s="2" t="inlineStr">
        <is>
          <t>THS-0266</t>
        </is>
      </c>
      <c r="B267" s="2" t="inlineStr">
        <is>
          <t>FTR-0301</t>
        </is>
      </c>
      <c r="C267" s="2" t="inlineStr">
        <is>
          <t>MUS-033</t>
        </is>
      </c>
      <c r="D267" s="6" t="n">
        <v>46100</v>
      </c>
      <c r="E267" s="3" t="n">
        <v>5207.6</v>
      </c>
      <c r="F267" s="2" t="inlineStr">
        <is>
          <t>Swift</t>
        </is>
      </c>
      <c r="G267" s="5" t="n">
        <v>5</v>
      </c>
      <c r="H267" s="3" t="n">
        <v>-9.960000000000001</v>
      </c>
      <c r="I267" s="2" t="inlineStr">
        <is>
          <t>Tam</t>
        </is>
      </c>
    </row>
    <row r="268">
      <c r="A268" s="2" t="inlineStr">
        <is>
          <t>THS-0267</t>
        </is>
      </c>
      <c r="B268" s="2" t="inlineStr">
        <is>
          <t>FTR-0302</t>
        </is>
      </c>
      <c r="C268" s="2" t="inlineStr">
        <is>
          <t>MUS-039</t>
        </is>
      </c>
      <c r="D268" s="6" t="n">
        <v>46148</v>
      </c>
      <c r="E268" s="3" t="n">
        <v>34422.82</v>
      </c>
      <c r="F268" s="2" t="inlineStr">
        <is>
          <t>Swift</t>
        </is>
      </c>
      <c r="G268" s="5" t="n">
        <v>35</v>
      </c>
      <c r="H268" s="3" t="n">
        <v>-199.33</v>
      </c>
      <c r="I268" s="2" t="inlineStr">
        <is>
          <t>Tam</t>
        </is>
      </c>
    </row>
    <row r="269">
      <c r="A269" s="2" t="inlineStr">
        <is>
          <t>THS-0268</t>
        </is>
      </c>
      <c r="B269" s="2" t="inlineStr">
        <is>
          <t>FTR-0303</t>
        </is>
      </c>
      <c r="C269" s="2" t="inlineStr">
        <is>
          <t>MUS-029</t>
        </is>
      </c>
      <c r="D269" s="6" t="n">
        <v>46082</v>
      </c>
      <c r="E269" s="3" t="n">
        <v>37264.9</v>
      </c>
      <c r="F269" s="2" t="inlineStr">
        <is>
          <t>Swift</t>
        </is>
      </c>
      <c r="G269" s="5" t="n">
        <v>12</v>
      </c>
      <c r="H269" s="3" t="n">
        <v>-197.01</v>
      </c>
      <c r="I269" s="2" t="inlineStr">
        <is>
          <t>Tam</t>
        </is>
      </c>
    </row>
    <row r="270">
      <c r="A270" s="2" t="inlineStr">
        <is>
          <t>THS-0269</t>
        </is>
      </c>
      <c r="B270" s="2" t="inlineStr">
        <is>
          <t>FTR-0304</t>
        </is>
      </c>
      <c r="C270" s="2" t="inlineStr">
        <is>
          <t>MUS-029</t>
        </is>
      </c>
      <c r="D270" s="6" t="n">
        <v>46083</v>
      </c>
      <c r="E270" s="3" t="n">
        <v>44609.6</v>
      </c>
      <c r="F270" s="2" t="inlineStr">
        <is>
          <t>Swift</t>
        </is>
      </c>
      <c r="G270" s="5" t="n">
        <v>12</v>
      </c>
      <c r="H270" s="3" t="n">
        <v>380.75</v>
      </c>
      <c r="I270" s="2" t="inlineStr">
        <is>
          <t>Tam</t>
        </is>
      </c>
    </row>
    <row r="271">
      <c r="A271" s="2" t="inlineStr">
        <is>
          <t>THS-0270</t>
        </is>
      </c>
      <c r="B271" s="2" t="inlineStr">
        <is>
          <t>FTR-0305</t>
        </is>
      </c>
      <c r="C271" s="2" t="inlineStr">
        <is>
          <t>MUS-073</t>
        </is>
      </c>
      <c r="D271" s="6" t="n">
        <v>46119</v>
      </c>
      <c r="E271" s="3" t="n">
        <v>83462.13</v>
      </c>
      <c r="F271" s="2" t="inlineStr">
        <is>
          <t>Swift</t>
        </is>
      </c>
      <c r="G271" s="5" t="n">
        <v>0</v>
      </c>
      <c r="H271" s="3" t="n">
        <v>704.45</v>
      </c>
      <c r="I271" s="2" t="inlineStr">
        <is>
          <t>Tam</t>
        </is>
      </c>
    </row>
    <row r="272">
      <c r="A272" s="2" t="inlineStr">
        <is>
          <t>THS-0271</t>
        </is>
      </c>
      <c r="B272" s="2" t="inlineStr">
        <is>
          <t>FTR-0306</t>
        </is>
      </c>
      <c r="C272" s="2" t="inlineStr">
        <is>
          <t>MUS-037</t>
        </is>
      </c>
      <c r="D272" s="6" t="n">
        <v>46185</v>
      </c>
      <c r="E272" s="3" t="n">
        <v>39809.33</v>
      </c>
      <c r="F272" s="2" t="inlineStr">
        <is>
          <t>Swift</t>
        </is>
      </c>
      <c r="G272" s="5" t="n">
        <v>12</v>
      </c>
      <c r="H272" s="3" t="n">
        <v>-166.12</v>
      </c>
      <c r="I272" s="2" t="inlineStr">
        <is>
          <t>Tam</t>
        </is>
      </c>
    </row>
    <row r="273">
      <c r="A273" s="2" t="inlineStr">
        <is>
          <t>THS-0272</t>
        </is>
      </c>
      <c r="B273" s="2" t="inlineStr">
        <is>
          <t>FTR-0307</t>
        </is>
      </c>
      <c r="C273" s="2" t="inlineStr">
        <is>
          <t>MUS-056</t>
        </is>
      </c>
      <c r="D273" s="6" t="n">
        <v>46105</v>
      </c>
      <c r="E273" s="3" t="n">
        <v>68371.75</v>
      </c>
      <c r="F273" s="2" t="inlineStr">
        <is>
          <t>Vesaik Mukabili</t>
        </is>
      </c>
      <c r="G273" s="5" t="n">
        <v>0</v>
      </c>
      <c r="H273" s="3" t="n">
        <v>705.3200000000001</v>
      </c>
      <c r="I273" s="2" t="inlineStr">
        <is>
          <t>Tam</t>
        </is>
      </c>
    </row>
    <row r="274">
      <c r="A274" s="2" t="inlineStr">
        <is>
          <t>THS-0273</t>
        </is>
      </c>
      <c r="B274" s="2" t="inlineStr">
        <is>
          <t>FTR-0309</t>
        </is>
      </c>
      <c r="C274" s="2" t="inlineStr">
        <is>
          <t>MUS-081</t>
        </is>
      </c>
      <c r="D274" s="6" t="n">
        <v>46101</v>
      </c>
      <c r="E274" s="3" t="n">
        <v>10025.83</v>
      </c>
      <c r="F274" s="2" t="inlineStr">
        <is>
          <t>Swift</t>
        </is>
      </c>
      <c r="G274" s="5" t="n">
        <v>0</v>
      </c>
      <c r="H274" s="3" t="n">
        <v>187.59</v>
      </c>
      <c r="I274" s="2" t="inlineStr">
        <is>
          <t>Tam</t>
        </is>
      </c>
    </row>
    <row r="275">
      <c r="A275" s="2" t="inlineStr">
        <is>
          <t>THS-0274</t>
        </is>
      </c>
      <c r="B275" s="2" t="inlineStr">
        <is>
          <t>FTR-0310</t>
        </is>
      </c>
      <c r="C275" s="2" t="inlineStr">
        <is>
          <t>MUS-081</t>
        </is>
      </c>
      <c r="D275" s="6" t="n">
        <v>46137</v>
      </c>
      <c r="E275" s="3" t="n">
        <v>7859.53</v>
      </c>
      <c r="F275" s="2" t="inlineStr">
        <is>
          <t>Swift</t>
        </is>
      </c>
      <c r="G275" s="5" t="n">
        <v>35</v>
      </c>
      <c r="H275" s="3" t="n">
        <v>40.63</v>
      </c>
      <c r="I275" s="2" t="inlineStr">
        <is>
          <t>Kismi</t>
        </is>
      </c>
    </row>
    <row r="276">
      <c r="A276" s="2" t="inlineStr">
        <is>
          <t>THS-0275</t>
        </is>
      </c>
      <c r="B276" s="2" t="inlineStr">
        <is>
          <t>FTR-0311</t>
        </is>
      </c>
      <c r="C276" s="2" t="inlineStr">
        <is>
          <t>MUS-011</t>
        </is>
      </c>
      <c r="D276" s="6" t="n">
        <v>46171</v>
      </c>
      <c r="E276" s="3" t="n">
        <v>70123.13</v>
      </c>
      <c r="F276" s="2" t="inlineStr">
        <is>
          <t>Swift</t>
        </is>
      </c>
      <c r="G276" s="5" t="n">
        <v>0</v>
      </c>
      <c r="H276" s="3" t="n">
        <v>1208.12</v>
      </c>
      <c r="I276" s="2" t="inlineStr">
        <is>
          <t>Tam</t>
        </is>
      </c>
    </row>
    <row r="277">
      <c r="A277" s="2" t="inlineStr">
        <is>
          <t>THS-0276</t>
        </is>
      </c>
      <c r="B277" s="2" t="inlineStr">
        <is>
          <t>FTR-0312</t>
        </is>
      </c>
      <c r="C277" s="2" t="inlineStr">
        <is>
          <t>MUS-008</t>
        </is>
      </c>
      <c r="D277" s="6" t="n">
        <v>46218</v>
      </c>
      <c r="E277" s="3" t="n">
        <v>33130.34</v>
      </c>
      <c r="F277" s="2" t="inlineStr">
        <is>
          <t>Swift</t>
        </is>
      </c>
      <c r="G277" s="5" t="n">
        <v>0</v>
      </c>
      <c r="H277" s="3" t="n">
        <v>200.04</v>
      </c>
      <c r="I277" s="2" t="inlineStr">
        <is>
          <t>Tam</t>
        </is>
      </c>
    </row>
    <row r="278">
      <c r="A278" s="2" t="inlineStr">
        <is>
          <t>THS-0277</t>
        </is>
      </c>
      <c r="B278" s="2" t="inlineStr">
        <is>
          <t>FTR-0314</t>
        </is>
      </c>
      <c r="C278" s="2" t="inlineStr">
        <is>
          <t>MUS-044</t>
        </is>
      </c>
      <c r="D278" s="6" t="n">
        <v>46148</v>
      </c>
      <c r="E278" s="3" t="n">
        <v>3520.02</v>
      </c>
      <c r="F278" s="2" t="inlineStr">
        <is>
          <t>Vesaik Mukabili</t>
        </is>
      </c>
      <c r="G278" s="5" t="n">
        <v>0</v>
      </c>
      <c r="H278" s="3" t="n">
        <v>48.24</v>
      </c>
      <c r="I278" s="2" t="inlineStr">
        <is>
          <t>Tam</t>
        </is>
      </c>
    </row>
    <row r="279">
      <c r="A279" s="2" t="inlineStr">
        <is>
          <t>THS-0278</t>
        </is>
      </c>
      <c r="B279" s="2" t="inlineStr">
        <is>
          <t>FTR-0315</t>
        </is>
      </c>
      <c r="C279" s="2" t="inlineStr">
        <is>
          <t>MUS-039</t>
        </is>
      </c>
      <c r="D279" s="6" t="n">
        <v>46150</v>
      </c>
      <c r="E279" s="3" t="n">
        <v>20239.14</v>
      </c>
      <c r="F279" s="2" t="inlineStr">
        <is>
          <t>Swift</t>
        </is>
      </c>
      <c r="G279" s="5" t="n">
        <v>0</v>
      </c>
      <c r="H279" s="3" t="n">
        <v>127.08</v>
      </c>
      <c r="I279" s="2" t="inlineStr">
        <is>
          <t>Tam</t>
        </is>
      </c>
    </row>
    <row r="280">
      <c r="A280" s="2" t="inlineStr">
        <is>
          <t>THS-0279</t>
        </is>
      </c>
      <c r="B280" s="2" t="inlineStr">
        <is>
          <t>FTR-0316</t>
        </is>
      </c>
      <c r="C280" s="2" t="inlineStr">
        <is>
          <t>MUS-030</t>
        </is>
      </c>
      <c r="D280" s="6" t="n">
        <v>46120</v>
      </c>
      <c r="E280" s="3" t="n">
        <v>60805.83</v>
      </c>
      <c r="F280" s="2" t="inlineStr">
        <is>
          <t>Pesin Havale</t>
        </is>
      </c>
      <c r="G280" s="5" t="n">
        <v>5</v>
      </c>
      <c r="H280" s="3" t="n">
        <v>-873.37</v>
      </c>
      <c r="I280" s="2" t="inlineStr">
        <is>
          <t>Tam</t>
        </is>
      </c>
    </row>
    <row r="281">
      <c r="A281" s="2" t="inlineStr">
        <is>
          <t>THS-0280</t>
        </is>
      </c>
      <c r="B281" s="2" t="inlineStr">
        <is>
          <t>FTR-0317</t>
        </is>
      </c>
      <c r="C281" s="2" t="inlineStr">
        <is>
          <t>MUS-017</t>
        </is>
      </c>
      <c r="D281" s="6" t="n">
        <v>46149</v>
      </c>
      <c r="E281" s="3" t="n">
        <v>10765.88</v>
      </c>
      <c r="F281" s="2" t="inlineStr">
        <is>
          <t>Swift</t>
        </is>
      </c>
      <c r="G281" s="5" t="n">
        <v>0</v>
      </c>
      <c r="H281" s="3" t="n">
        <v>11.23</v>
      </c>
      <c r="I281" s="2" t="inlineStr">
        <is>
          <t>Tam</t>
        </is>
      </c>
    </row>
    <row r="282">
      <c r="A282" s="2" t="inlineStr">
        <is>
          <t>THS-0281</t>
        </is>
      </c>
      <c r="B282" s="2" t="inlineStr">
        <is>
          <t>FTR-0318</t>
        </is>
      </c>
      <c r="C282" s="2" t="inlineStr">
        <is>
          <t>MUS-017</t>
        </is>
      </c>
      <c r="D282" s="6" t="n">
        <v>46150</v>
      </c>
      <c r="E282" s="3" t="n">
        <v>10226.66</v>
      </c>
      <c r="F282" s="2" t="inlineStr">
        <is>
          <t>Pesin Havale</t>
        </is>
      </c>
      <c r="G282" s="5" t="n">
        <v>0</v>
      </c>
      <c r="H282" s="3" t="n">
        <v>-80.22</v>
      </c>
      <c r="I282" s="2" t="inlineStr">
        <is>
          <t>Tam</t>
        </is>
      </c>
    </row>
    <row r="283">
      <c r="A283" s="2" t="inlineStr">
        <is>
          <t>THS-0282</t>
        </is>
      </c>
      <c r="B283" s="2" t="inlineStr">
        <is>
          <t>FTR-0319</t>
        </is>
      </c>
      <c r="C283" s="2" t="inlineStr">
        <is>
          <t>MUS-034</t>
        </is>
      </c>
      <c r="D283" s="6" t="n">
        <v>46171</v>
      </c>
      <c r="E283" s="3" t="n">
        <v>76858.92999999999</v>
      </c>
      <c r="F283" s="2" t="inlineStr">
        <is>
          <t>Swift</t>
        </is>
      </c>
      <c r="G283" s="5" t="n">
        <v>0</v>
      </c>
      <c r="H283" s="3" t="n">
        <v>282.15</v>
      </c>
      <c r="I283" s="2" t="inlineStr">
        <is>
          <t>Tam</t>
        </is>
      </c>
    </row>
    <row r="284">
      <c r="A284" s="2" t="inlineStr">
        <is>
          <t>THS-0283</t>
        </is>
      </c>
      <c r="B284" s="2" t="inlineStr">
        <is>
          <t>FTR-0320</t>
        </is>
      </c>
      <c r="C284" s="2" t="inlineStr">
        <is>
          <t>MUS-016</t>
        </is>
      </c>
      <c r="D284" s="6" t="n">
        <v>46133</v>
      </c>
      <c r="E284" s="3" t="n">
        <v>19694.17</v>
      </c>
      <c r="F284" s="2" t="inlineStr">
        <is>
          <t>Swift</t>
        </is>
      </c>
      <c r="G284" s="5" t="n">
        <v>0</v>
      </c>
      <c r="H284" s="3" t="n">
        <v>-59.01</v>
      </c>
      <c r="I284" s="2" t="inlineStr">
        <is>
          <t>Tam</t>
        </is>
      </c>
    </row>
    <row r="285">
      <c r="A285" s="2" t="inlineStr">
        <is>
          <t>THS-0284</t>
        </is>
      </c>
      <c r="B285" s="2" t="inlineStr">
        <is>
          <t>FTR-0321</t>
        </is>
      </c>
      <c r="C285" s="2" t="inlineStr">
        <is>
          <t>MUS-016</t>
        </is>
      </c>
      <c r="D285" s="6" t="n">
        <v>46139</v>
      </c>
      <c r="E285" s="3" t="n">
        <v>17975.01</v>
      </c>
      <c r="F285" s="2" t="inlineStr">
        <is>
          <t>Swift</t>
        </is>
      </c>
      <c r="G285" s="5" t="n">
        <v>5</v>
      </c>
      <c r="H285" s="3" t="n">
        <v>171.74</v>
      </c>
      <c r="I285" s="2" t="inlineStr">
        <is>
          <t>Tam</t>
        </is>
      </c>
    </row>
    <row r="286">
      <c r="A286" s="2" t="inlineStr">
        <is>
          <t>THS-0285</t>
        </is>
      </c>
      <c r="B286" s="2" t="inlineStr">
        <is>
          <t>FTR-0322</t>
        </is>
      </c>
      <c r="C286" s="2" t="inlineStr">
        <is>
          <t>MUS-084</t>
        </is>
      </c>
      <c r="D286" s="6" t="n">
        <v>46207</v>
      </c>
      <c r="E286" s="3" t="n">
        <v>18237.35</v>
      </c>
      <c r="F286" s="2" t="inlineStr">
        <is>
          <t>Swift</t>
        </is>
      </c>
      <c r="G286" s="5" t="n">
        <v>5</v>
      </c>
      <c r="H286" s="3" t="n">
        <v>169.11</v>
      </c>
      <c r="I286" s="2" t="inlineStr">
        <is>
          <t>Tam</t>
        </is>
      </c>
    </row>
    <row r="287">
      <c r="A287" s="2" t="inlineStr">
        <is>
          <t>THS-0286</t>
        </is>
      </c>
      <c r="B287" s="2" t="inlineStr">
        <is>
          <t>FTR-0323</t>
        </is>
      </c>
      <c r="C287" s="2" t="inlineStr">
        <is>
          <t>MUS-066</t>
        </is>
      </c>
      <c r="D287" s="6" t="n">
        <v>46147</v>
      </c>
      <c r="E287" s="3" t="n">
        <v>7361.58</v>
      </c>
      <c r="F287" s="2" t="inlineStr">
        <is>
          <t>Vesaik Mukabili</t>
        </is>
      </c>
      <c r="G287" s="5" t="n">
        <v>0</v>
      </c>
      <c r="H287" s="3" t="n">
        <v>60.96</v>
      </c>
      <c r="I287" s="2" t="inlineStr">
        <is>
          <t>Tam</t>
        </is>
      </c>
    </row>
    <row r="288">
      <c r="A288" s="2" t="inlineStr">
        <is>
          <t>THS-0287</t>
        </is>
      </c>
      <c r="B288" s="2" t="inlineStr">
        <is>
          <t>FTR-0324</t>
        </is>
      </c>
      <c r="C288" s="2" t="inlineStr">
        <is>
          <t>MUS-066</t>
        </is>
      </c>
      <c r="D288" s="6" t="n">
        <v>46183</v>
      </c>
      <c r="E288" s="3" t="n">
        <v>6186.6</v>
      </c>
      <c r="F288" s="2" t="inlineStr">
        <is>
          <t>Swift</t>
        </is>
      </c>
      <c r="G288" s="5" t="n">
        <v>35</v>
      </c>
      <c r="H288" s="3" t="n">
        <v>24</v>
      </c>
      <c r="I288" s="2" t="inlineStr">
        <is>
          <t>Tam</t>
        </is>
      </c>
    </row>
    <row r="289">
      <c r="A289" s="2" t="inlineStr">
        <is>
          <t>THS-0288</t>
        </is>
      </c>
      <c r="B289" s="2" t="inlineStr">
        <is>
          <t>FTR-0325</t>
        </is>
      </c>
      <c r="C289" s="2" t="inlineStr">
        <is>
          <t>MUS-041</t>
        </is>
      </c>
      <c r="D289" s="6" t="n">
        <v>46141</v>
      </c>
      <c r="E289" s="3" t="n">
        <v>47266.87</v>
      </c>
      <c r="F289" s="2" t="inlineStr">
        <is>
          <t>Vesaik Mukabili</t>
        </is>
      </c>
      <c r="G289" s="5" t="n">
        <v>0</v>
      </c>
      <c r="H289" s="3" t="n">
        <v>329.12</v>
      </c>
      <c r="I289" s="2" t="inlineStr">
        <is>
          <t>Tam</t>
        </is>
      </c>
    </row>
    <row r="290">
      <c r="A290" s="2" t="inlineStr">
        <is>
          <t>THS-0289</t>
        </is>
      </c>
      <c r="B290" s="2" t="inlineStr">
        <is>
          <t>FTR-0326</t>
        </is>
      </c>
      <c r="C290" s="2" t="inlineStr">
        <is>
          <t>MUS-072</t>
        </is>
      </c>
      <c r="D290" s="6" t="n">
        <v>46222</v>
      </c>
      <c r="E290" s="3" t="n">
        <v>40599.27</v>
      </c>
      <c r="F290" s="2" t="inlineStr">
        <is>
          <t>Pesin Havale</t>
        </is>
      </c>
      <c r="G290" s="5" t="n">
        <v>21</v>
      </c>
      <c r="H290" s="3" t="n">
        <v>-120.33</v>
      </c>
      <c r="I290" s="2" t="inlineStr">
        <is>
          <t>Tam</t>
        </is>
      </c>
    </row>
    <row r="291">
      <c r="A291" s="2" t="inlineStr">
        <is>
          <t>THS-0290</t>
        </is>
      </c>
      <c r="B291" s="2" t="inlineStr">
        <is>
          <t>FTR-0327</t>
        </is>
      </c>
      <c r="C291" s="2" t="inlineStr">
        <is>
          <t>MUS-058</t>
        </is>
      </c>
      <c r="D291" s="6" t="n">
        <v>46137</v>
      </c>
      <c r="E291" s="3" t="n">
        <v>19352.19</v>
      </c>
      <c r="F291" s="2" t="inlineStr">
        <is>
          <t>Swift</t>
        </is>
      </c>
      <c r="G291" s="5" t="n">
        <v>0</v>
      </c>
      <c r="H291" s="3" t="n">
        <v>-254.79</v>
      </c>
      <c r="I291" s="2" t="inlineStr">
        <is>
          <t>Tam</t>
        </is>
      </c>
    </row>
    <row r="292">
      <c r="A292" s="2" t="inlineStr">
        <is>
          <t>THS-0291</t>
        </is>
      </c>
      <c r="B292" s="2" t="inlineStr">
        <is>
          <t>FTR-0328</t>
        </is>
      </c>
      <c r="C292" s="2" t="inlineStr">
        <is>
          <t>MUS-001</t>
        </is>
      </c>
      <c r="D292" s="6" t="n">
        <v>46173</v>
      </c>
      <c r="E292" s="3" t="n">
        <v>72924.2</v>
      </c>
      <c r="F292" s="2" t="inlineStr">
        <is>
          <t>Swift</t>
        </is>
      </c>
      <c r="G292" s="5" t="n">
        <v>0</v>
      </c>
      <c r="H292" s="3" t="n">
        <v>-769.8099999999999</v>
      </c>
      <c r="I292" s="2" t="inlineStr">
        <is>
          <t>Tam</t>
        </is>
      </c>
    </row>
    <row r="293">
      <c r="A293" s="2" t="inlineStr">
        <is>
          <t>THS-0292</t>
        </is>
      </c>
      <c r="B293" s="2" t="inlineStr">
        <is>
          <t>FTR-0329</t>
        </is>
      </c>
      <c r="C293" s="2" t="inlineStr">
        <is>
          <t>MUS-046</t>
        </is>
      </c>
      <c r="D293" s="6" t="n">
        <v>46163</v>
      </c>
      <c r="E293" s="3" t="n">
        <v>14977.22</v>
      </c>
      <c r="F293" s="2" t="inlineStr">
        <is>
          <t>Swift</t>
        </is>
      </c>
      <c r="G293" s="5" t="n">
        <v>0</v>
      </c>
      <c r="H293" s="3" t="n">
        <v>-160.15</v>
      </c>
      <c r="I293" s="2" t="inlineStr">
        <is>
          <t>Tam</t>
        </is>
      </c>
    </row>
    <row r="294">
      <c r="A294" s="2" t="inlineStr">
        <is>
          <t>THS-0293</t>
        </is>
      </c>
      <c r="B294" s="2" t="inlineStr">
        <is>
          <t>FTR-0330</t>
        </is>
      </c>
      <c r="C294" s="2" t="inlineStr">
        <is>
          <t>MUS-046</t>
        </is>
      </c>
      <c r="D294" s="6" t="n">
        <v>46169</v>
      </c>
      <c r="E294" s="3" t="n">
        <v>16454.28</v>
      </c>
      <c r="F294" s="2" t="inlineStr">
        <is>
          <t>Swift</t>
        </is>
      </c>
      <c r="G294" s="5" t="n">
        <v>5</v>
      </c>
      <c r="H294" s="3" t="n">
        <v>-0.21</v>
      </c>
      <c r="I294" s="2" t="inlineStr">
        <is>
          <t>Tam</t>
        </is>
      </c>
    </row>
    <row r="295">
      <c r="A295" s="2" t="inlineStr">
        <is>
          <t>THS-0294</t>
        </is>
      </c>
      <c r="B295" s="2" t="inlineStr">
        <is>
          <t>FTR-0332</t>
        </is>
      </c>
      <c r="C295" s="2" t="inlineStr">
        <is>
          <t>MUS-017</t>
        </is>
      </c>
      <c r="D295" s="6" t="n">
        <v>46196</v>
      </c>
      <c r="E295" s="3" t="n">
        <v>6201.86</v>
      </c>
      <c r="F295" s="2" t="inlineStr">
        <is>
          <t>Vesaik Mukabili</t>
        </is>
      </c>
      <c r="G295" s="5" t="n">
        <v>5</v>
      </c>
      <c r="H295" s="3" t="n">
        <v>-10.57</v>
      </c>
      <c r="I295" s="2" t="inlineStr">
        <is>
          <t>Kismi</t>
        </is>
      </c>
    </row>
    <row r="296">
      <c r="A296" s="2" t="inlineStr">
        <is>
          <t>THS-0295</t>
        </is>
      </c>
      <c r="B296" s="2" t="inlineStr">
        <is>
          <t>FTR-0333</t>
        </is>
      </c>
      <c r="C296" s="2" t="inlineStr">
        <is>
          <t>MUS-017</t>
        </is>
      </c>
      <c r="D296" s="6" t="n">
        <v>46192</v>
      </c>
      <c r="E296" s="3" t="n">
        <v>5630.42</v>
      </c>
      <c r="F296" s="2" t="inlineStr">
        <is>
          <t>Swift</t>
        </is>
      </c>
      <c r="G296" s="5" t="n">
        <v>0</v>
      </c>
      <c r="H296" s="3" t="n">
        <v>15.4</v>
      </c>
      <c r="I296" s="2" t="inlineStr">
        <is>
          <t>Tam</t>
        </is>
      </c>
    </row>
    <row r="297">
      <c r="A297" s="2" t="inlineStr">
        <is>
          <t>THS-0296</t>
        </is>
      </c>
      <c r="B297" s="2" t="inlineStr">
        <is>
          <t>FTR-0334</t>
        </is>
      </c>
      <c r="C297" s="2" t="inlineStr">
        <is>
          <t>MUS-036</t>
        </is>
      </c>
      <c r="D297" s="6" t="n">
        <v>46153</v>
      </c>
      <c r="E297" s="3" t="n">
        <v>16062.61</v>
      </c>
      <c r="F297" s="2" t="inlineStr">
        <is>
          <t>Pesin Havale</t>
        </is>
      </c>
      <c r="G297" s="5" t="n">
        <v>5</v>
      </c>
      <c r="H297" s="3" t="n">
        <v>-150.25</v>
      </c>
      <c r="I297" s="2" t="inlineStr">
        <is>
          <t>Tam</t>
        </is>
      </c>
    </row>
    <row r="298">
      <c r="A298" s="2" t="inlineStr">
        <is>
          <t>THS-0297</t>
        </is>
      </c>
      <c r="B298" s="2" t="inlineStr">
        <is>
          <t>FTR-0335</t>
        </is>
      </c>
      <c r="C298" s="2" t="inlineStr">
        <is>
          <t>MUS-036</t>
        </is>
      </c>
      <c r="D298" s="6" t="n">
        <v>46149</v>
      </c>
      <c r="E298" s="3" t="n">
        <v>20803.99</v>
      </c>
      <c r="F298" s="2" t="inlineStr">
        <is>
          <t>Vesaik Mukabili</t>
        </is>
      </c>
      <c r="G298" s="5" t="n">
        <v>0</v>
      </c>
      <c r="H298" s="3" t="n">
        <v>-225.18</v>
      </c>
      <c r="I298" s="2" t="inlineStr">
        <is>
          <t>Tam</t>
        </is>
      </c>
    </row>
    <row r="299">
      <c r="A299" s="2" t="inlineStr">
        <is>
          <t>THS-0298</t>
        </is>
      </c>
      <c r="B299" s="2" t="inlineStr">
        <is>
          <t>FTR-0336</t>
        </is>
      </c>
      <c r="C299" s="2" t="inlineStr">
        <is>
          <t>MUS-047</t>
        </is>
      </c>
      <c r="D299" s="6" t="n">
        <v>46197</v>
      </c>
      <c r="E299" s="3" t="n">
        <v>12746.33</v>
      </c>
      <c r="F299" s="2" t="inlineStr">
        <is>
          <t>Swift</t>
        </is>
      </c>
      <c r="G299" s="5" t="n">
        <v>0</v>
      </c>
      <c r="H299" s="3" t="n">
        <v>6.87</v>
      </c>
      <c r="I299" s="2" t="inlineStr">
        <is>
          <t>Kismi</t>
        </is>
      </c>
    </row>
    <row r="300">
      <c r="A300" s="2" t="inlineStr">
        <is>
          <t>THS-0299</t>
        </is>
      </c>
      <c r="B300" s="2" t="inlineStr">
        <is>
          <t>FTR-0338</t>
        </is>
      </c>
      <c r="C300" s="2" t="inlineStr">
        <is>
          <t>MUS-039</t>
        </is>
      </c>
      <c r="D300" s="6" t="n">
        <v>46170</v>
      </c>
      <c r="E300" s="3" t="n">
        <v>67550.97</v>
      </c>
      <c r="F300" s="2" t="inlineStr">
        <is>
          <t>Pesin Havale</t>
        </is>
      </c>
      <c r="G300" s="5" t="n">
        <v>0</v>
      </c>
      <c r="H300" s="3" t="n">
        <v>375.97</v>
      </c>
      <c r="I300" s="2" t="inlineStr">
        <is>
          <t>Tam</t>
        </is>
      </c>
    </row>
    <row r="301">
      <c r="A301" s="2" t="inlineStr">
        <is>
          <t>THS-0300</t>
        </is>
      </c>
      <c r="B301" s="2" t="inlineStr">
        <is>
          <t>FTR-0340</t>
        </is>
      </c>
      <c r="C301" s="2" t="inlineStr">
        <is>
          <t>MUS-033</t>
        </is>
      </c>
      <c r="D301" s="6" t="n">
        <v>46227</v>
      </c>
      <c r="E301" s="3" t="n">
        <v>63566.89</v>
      </c>
      <c r="F301" s="2" t="inlineStr">
        <is>
          <t>Vesaik Mukabili</t>
        </is>
      </c>
      <c r="G301" s="5" t="n">
        <v>5</v>
      </c>
      <c r="H301" s="3" t="n">
        <v>1142.57</v>
      </c>
      <c r="I301" s="2" t="inlineStr">
        <is>
          <t>Tam</t>
        </is>
      </c>
    </row>
    <row r="302">
      <c r="A302" s="2" t="inlineStr">
        <is>
          <t>THS-0301</t>
        </is>
      </c>
      <c r="B302" s="2" t="inlineStr">
        <is>
          <t>FTR-0341</t>
        </is>
      </c>
      <c r="C302" s="2" t="inlineStr">
        <is>
          <t>MUS-078</t>
        </is>
      </c>
      <c r="D302" s="6" t="n">
        <v>46238</v>
      </c>
      <c r="E302" s="3" t="n">
        <v>19323.52</v>
      </c>
      <c r="F302" s="2" t="inlineStr">
        <is>
          <t>Swift</t>
        </is>
      </c>
      <c r="G302" s="5" t="n">
        <v>12</v>
      </c>
      <c r="H302" s="3" t="n">
        <v>56.84</v>
      </c>
      <c r="I302" s="2" t="inlineStr">
        <is>
          <t>Tam</t>
        </is>
      </c>
    </row>
    <row r="303">
      <c r="A303" s="2" t="inlineStr">
        <is>
          <t>THS-0302</t>
        </is>
      </c>
      <c r="B303" s="2" t="inlineStr">
        <is>
          <t>FTR-0342</t>
        </is>
      </c>
      <c r="C303" s="2" t="inlineStr">
        <is>
          <t>MUS-078</t>
        </is>
      </c>
      <c r="D303" s="6" t="n">
        <v>46228</v>
      </c>
      <c r="E303" s="3" t="n">
        <v>4795.07</v>
      </c>
      <c r="F303" s="2" t="inlineStr">
        <is>
          <t>Swift</t>
        </is>
      </c>
      <c r="G303" s="5" t="n">
        <v>21</v>
      </c>
      <c r="H303" s="3" t="n">
        <v>-1.05</v>
      </c>
      <c r="I303" s="2" t="inlineStr">
        <is>
          <t>Tam</t>
        </is>
      </c>
    </row>
    <row r="304">
      <c r="A304" s="2" t="inlineStr">
        <is>
          <t>THS-0303</t>
        </is>
      </c>
      <c r="B304" s="2" t="inlineStr">
        <is>
          <t>FTR-0343</t>
        </is>
      </c>
      <c r="C304" s="2" t="inlineStr">
        <is>
          <t>MUS-019</t>
        </is>
      </c>
      <c r="D304" s="6" t="n">
        <v>46195</v>
      </c>
      <c r="E304" s="3" t="n">
        <v>41658.72</v>
      </c>
      <c r="F304" s="2" t="inlineStr">
        <is>
          <t>Vesaik Mukabili</t>
        </is>
      </c>
      <c r="G304" s="5" t="n">
        <v>0</v>
      </c>
      <c r="H304" s="3" t="n">
        <v>707.8</v>
      </c>
      <c r="I304" s="2" t="inlineStr">
        <is>
          <t>Tam</t>
        </is>
      </c>
    </row>
    <row r="305">
      <c r="A305" s="2" t="inlineStr">
        <is>
          <t>THS-0304</t>
        </is>
      </c>
      <c r="B305" s="2" t="inlineStr">
        <is>
          <t>FTR-0344</t>
        </is>
      </c>
      <c r="C305" s="2" t="inlineStr">
        <is>
          <t>MUS-031</t>
        </is>
      </c>
      <c r="D305" s="6" t="n">
        <v>46160</v>
      </c>
      <c r="E305" s="3" t="n">
        <v>14066.55</v>
      </c>
      <c r="F305" s="2" t="inlineStr">
        <is>
          <t>Pesin Havale</t>
        </is>
      </c>
      <c r="G305" s="5" t="n">
        <v>0</v>
      </c>
      <c r="H305" s="3" t="n">
        <v>-165.49</v>
      </c>
      <c r="I305" s="2" t="inlineStr">
        <is>
          <t>Kismi</t>
        </is>
      </c>
    </row>
    <row r="306">
      <c r="A306" s="2" t="inlineStr">
        <is>
          <t>THS-0305</t>
        </is>
      </c>
      <c r="B306" s="2" t="inlineStr">
        <is>
          <t>FTR-0345</t>
        </is>
      </c>
      <c r="C306" s="2" t="inlineStr">
        <is>
          <t>MUS-034</t>
        </is>
      </c>
      <c r="D306" s="6" t="n">
        <v>46232</v>
      </c>
      <c r="E306" s="3" t="n">
        <v>3951.08</v>
      </c>
      <c r="F306" s="2" t="inlineStr">
        <is>
          <t>Swift</t>
        </is>
      </c>
      <c r="G306" s="5" t="n">
        <v>5</v>
      </c>
      <c r="H306" s="3" t="n">
        <v>30.47</v>
      </c>
      <c r="I306" s="2" t="inlineStr">
        <is>
          <t>Kismi</t>
        </is>
      </c>
    </row>
    <row r="307">
      <c r="A307" s="2" t="inlineStr">
        <is>
          <t>THS-0306</t>
        </is>
      </c>
      <c r="B307" s="2" t="inlineStr">
        <is>
          <t>FTR-0346</t>
        </is>
      </c>
      <c r="C307" s="2" t="inlineStr">
        <is>
          <t>MUS-034</t>
        </is>
      </c>
      <c r="D307" s="6" t="n">
        <v>46228</v>
      </c>
      <c r="E307" s="3" t="n">
        <v>5034.01</v>
      </c>
      <c r="F307" s="2" t="inlineStr">
        <is>
          <t>Swift</t>
        </is>
      </c>
      <c r="G307" s="5" t="n">
        <v>0</v>
      </c>
      <c r="H307" s="3" t="n">
        <v>71.19</v>
      </c>
      <c r="I307" s="2" t="inlineStr">
        <is>
          <t>Tam</t>
        </is>
      </c>
    </row>
    <row r="308">
      <c r="A308" s="2" t="inlineStr">
        <is>
          <t>THS-0307</t>
        </is>
      </c>
      <c r="B308" s="2" t="inlineStr">
        <is>
          <t>FTR-0347</t>
        </is>
      </c>
      <c r="C308" s="2" t="inlineStr">
        <is>
          <t>MUS-008</t>
        </is>
      </c>
      <c r="D308" s="6" t="n">
        <v>46242</v>
      </c>
      <c r="E308" s="3" t="n">
        <v>30554.41</v>
      </c>
      <c r="F308" s="2" t="inlineStr">
        <is>
          <t>Swift</t>
        </is>
      </c>
      <c r="G308" s="5" t="n">
        <v>0</v>
      </c>
      <c r="H308" s="3" t="n">
        <v>-449.48</v>
      </c>
      <c r="I308" s="2" t="inlineStr">
        <is>
          <t>Tam</t>
        </is>
      </c>
    </row>
    <row r="309">
      <c r="A309" s="2" t="inlineStr">
        <is>
          <t>THS-0308</t>
        </is>
      </c>
      <c r="B309" s="2" t="inlineStr">
        <is>
          <t>FTR-0349</t>
        </is>
      </c>
      <c r="C309" s="2" t="inlineStr">
        <is>
          <t>MUS-024</t>
        </is>
      </c>
      <c r="D309" s="6" t="n">
        <v>46217</v>
      </c>
      <c r="E309" s="3" t="n">
        <v>8126.59</v>
      </c>
      <c r="F309" s="2" t="inlineStr">
        <is>
          <t>Swift</t>
        </is>
      </c>
      <c r="G309" s="5" t="n">
        <v>21</v>
      </c>
      <c r="H309" s="3" t="n">
        <v>120.06</v>
      </c>
      <c r="I309" s="2" t="inlineStr">
        <is>
          <t>Tam</t>
        </is>
      </c>
    </row>
    <row r="310">
      <c r="A310" s="2" t="inlineStr">
        <is>
          <t>THS-0309</t>
        </is>
      </c>
      <c r="B310" s="2" t="inlineStr">
        <is>
          <t>FTR-0350</t>
        </is>
      </c>
      <c r="C310" s="2" t="inlineStr">
        <is>
          <t>MUS-024</t>
        </is>
      </c>
      <c r="D310" s="6" t="n">
        <v>46197</v>
      </c>
      <c r="E310" s="3" t="n">
        <v>10234.05</v>
      </c>
      <c r="F310" s="2" t="inlineStr">
        <is>
          <t>Swift</t>
        </is>
      </c>
      <c r="G310" s="5" t="n">
        <v>0</v>
      </c>
      <c r="H310" s="3" t="n">
        <v>-95.94</v>
      </c>
      <c r="I310" s="2" t="inlineStr">
        <is>
          <t>Tam</t>
        </is>
      </c>
    </row>
    <row r="311">
      <c r="A311" s="2" t="inlineStr">
        <is>
          <t>THS-0310</t>
        </is>
      </c>
      <c r="B311" s="2" t="inlineStr">
        <is>
          <t>FTR-0351</t>
        </is>
      </c>
      <c r="C311" s="2" t="inlineStr">
        <is>
          <t>MUS-058</t>
        </is>
      </c>
      <c r="D311" s="6" t="n">
        <v>46187</v>
      </c>
      <c r="E311" s="3" t="n">
        <v>12837.56</v>
      </c>
      <c r="F311" s="2" t="inlineStr">
        <is>
          <t>Vesaik Mukabili</t>
        </is>
      </c>
      <c r="G311" s="5" t="n">
        <v>0</v>
      </c>
      <c r="H311" s="3" t="n">
        <v>-107.72</v>
      </c>
      <c r="I311" s="2" t="inlineStr">
        <is>
          <t>Tam</t>
        </is>
      </c>
    </row>
    <row r="312">
      <c r="A312" s="2" t="inlineStr">
        <is>
          <t>THS-0311</t>
        </is>
      </c>
      <c r="B312" s="2" t="inlineStr">
        <is>
          <t>FTR-0352</t>
        </is>
      </c>
      <c r="C312" s="2" t="inlineStr">
        <is>
          <t>MUS-058</t>
        </is>
      </c>
      <c r="D312" s="6" t="n">
        <v>46209</v>
      </c>
      <c r="E312" s="3" t="n">
        <v>13953.6</v>
      </c>
      <c r="F312" s="2" t="inlineStr">
        <is>
          <t>Swift</t>
        </is>
      </c>
      <c r="G312" s="5" t="n">
        <v>21</v>
      </c>
      <c r="H312" s="3" t="n">
        <v>-31.2</v>
      </c>
      <c r="I312" s="2" t="inlineStr">
        <is>
          <t>Kismi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4" customWidth="1" min="5" max="5"/>
    <col width="14" customWidth="1" min="6" max="6"/>
    <col width="16" customWidth="1" min="7" max="7"/>
    <col width="25" customWidth="1" min="8" max="8"/>
    <col width="23" customWidth="1" min="9" max="9"/>
  </cols>
  <sheetData>
    <row r="1">
      <c r="A1" s="1" t="inlineStr">
        <is>
          <t>Stok_Kayit_ID</t>
        </is>
      </c>
      <c r="B1" s="1" t="inlineStr">
        <is>
          <t>Urun_Kodu</t>
        </is>
      </c>
      <c r="C1" s="1" t="inlineStr">
        <is>
          <t>Depo_Kodu</t>
        </is>
      </c>
      <c r="D1" s="1" t="inlineStr">
        <is>
          <t>Mevcut_Stok</t>
        </is>
      </c>
      <c r="E1" s="1" t="inlineStr">
        <is>
          <t>Rezerve_Stok</t>
        </is>
      </c>
      <c r="F1" s="1" t="inlineStr">
        <is>
          <t>Serbest_Stok</t>
        </is>
      </c>
      <c r="G1" s="1" t="inlineStr">
        <is>
          <t>Guvenlik_Stogu</t>
        </is>
      </c>
      <c r="H1" s="1" t="inlineStr">
        <is>
          <t>Yeniden_Siparis_Noktasi</t>
        </is>
      </c>
      <c r="I1" s="1" t="inlineStr">
        <is>
          <t>Son_Guncelleme_Tarihi</t>
        </is>
      </c>
    </row>
    <row r="2">
      <c r="A2" s="2" t="inlineStr">
        <is>
          <t>STK-0001</t>
        </is>
      </c>
      <c r="B2" s="2" t="inlineStr">
        <is>
          <t>ENDVAN-001</t>
        </is>
      </c>
      <c r="C2" s="2" t="inlineStr">
        <is>
          <t>MRS-03</t>
        </is>
      </c>
      <c r="D2" s="5" t="n">
        <v>81</v>
      </c>
      <c r="E2" s="5" t="n">
        <v>6</v>
      </c>
      <c r="F2" s="5" t="n">
        <v>75</v>
      </c>
      <c r="G2" s="5" t="n">
        <v>31</v>
      </c>
      <c r="H2" s="5" t="n">
        <v>50</v>
      </c>
      <c r="I2" s="6" t="n">
        <v>46094</v>
      </c>
    </row>
    <row r="3">
      <c r="A3" s="2" t="inlineStr">
        <is>
          <t>STK-0002</t>
        </is>
      </c>
      <c r="B3" s="2" t="inlineStr">
        <is>
          <t>ENDVAN-002</t>
        </is>
      </c>
      <c r="C3" s="2" t="inlineStr">
        <is>
          <t>MRS-03</t>
        </is>
      </c>
      <c r="D3" s="5" t="n">
        <v>81</v>
      </c>
      <c r="E3" s="5" t="n">
        <v>5</v>
      </c>
      <c r="F3" s="5" t="n">
        <v>76</v>
      </c>
      <c r="G3" s="5" t="n">
        <v>30</v>
      </c>
      <c r="H3" s="5" t="n">
        <v>43</v>
      </c>
      <c r="I3" s="6" t="n">
        <v>46079</v>
      </c>
    </row>
    <row r="4">
      <c r="A4" s="2" t="inlineStr">
        <is>
          <t>STK-0003</t>
        </is>
      </c>
      <c r="B4" s="2" t="inlineStr">
        <is>
          <t>ENDVAN-003</t>
        </is>
      </c>
      <c r="C4" s="2" t="inlineStr">
        <is>
          <t>IST-01</t>
        </is>
      </c>
      <c r="D4" s="5" t="n">
        <v>123</v>
      </c>
      <c r="E4" s="5" t="n">
        <v>32</v>
      </c>
      <c r="F4" s="5" t="n">
        <v>91</v>
      </c>
      <c r="G4" s="5" t="n">
        <v>26</v>
      </c>
      <c r="H4" s="5" t="n">
        <v>30</v>
      </c>
      <c r="I4" s="6" t="n">
        <v>46085</v>
      </c>
    </row>
    <row r="5">
      <c r="A5" s="2" t="inlineStr">
        <is>
          <t>STK-0004</t>
        </is>
      </c>
      <c r="B5" s="2" t="inlineStr">
        <is>
          <t>ENDVAN-004</t>
        </is>
      </c>
      <c r="C5" s="2" t="inlineStr">
        <is>
          <t>MRS-03</t>
        </is>
      </c>
      <c r="D5" s="5" t="n">
        <v>78</v>
      </c>
      <c r="E5" s="5" t="n">
        <v>3</v>
      </c>
      <c r="F5" s="5" t="n">
        <v>75</v>
      </c>
      <c r="G5" s="5" t="n">
        <v>19</v>
      </c>
      <c r="H5" s="5" t="n">
        <v>26</v>
      </c>
      <c r="I5" s="6" t="n">
        <v>46090</v>
      </c>
    </row>
    <row r="6">
      <c r="A6" s="2" t="inlineStr">
        <is>
          <t>STK-0005</t>
        </is>
      </c>
      <c r="B6" s="2" t="inlineStr">
        <is>
          <t>ENDVAN-005</t>
        </is>
      </c>
      <c r="C6" s="2" t="inlineStr">
        <is>
          <t>IST-01</t>
        </is>
      </c>
      <c r="D6" s="5" t="n">
        <v>131</v>
      </c>
      <c r="E6" s="5" t="n">
        <v>46</v>
      </c>
      <c r="F6" s="5" t="n">
        <v>85</v>
      </c>
      <c r="G6" s="5" t="n">
        <v>16</v>
      </c>
      <c r="H6" s="5" t="n">
        <v>26</v>
      </c>
      <c r="I6" s="6" t="n">
        <v>46087</v>
      </c>
    </row>
    <row r="7">
      <c r="A7" s="2" t="inlineStr">
        <is>
          <t>STK-0006</t>
        </is>
      </c>
      <c r="B7" s="2" t="inlineStr">
        <is>
          <t>ENDVAN-006</t>
        </is>
      </c>
      <c r="C7" s="2" t="inlineStr">
        <is>
          <t>IST-01</t>
        </is>
      </c>
      <c r="D7" s="5" t="n">
        <v>80</v>
      </c>
      <c r="E7" s="5" t="n">
        <v>19</v>
      </c>
      <c r="F7" s="5" t="n">
        <v>61</v>
      </c>
      <c r="G7" s="5" t="n">
        <v>35</v>
      </c>
      <c r="H7" s="5" t="n">
        <v>54</v>
      </c>
      <c r="I7" s="6" t="n">
        <v>46095</v>
      </c>
    </row>
    <row r="8">
      <c r="A8" s="2" t="inlineStr">
        <is>
          <t>STK-0007</t>
        </is>
      </c>
      <c r="B8" s="2" t="inlineStr">
        <is>
          <t>ENDVAN-007</t>
        </is>
      </c>
      <c r="C8" s="2" t="inlineStr">
        <is>
          <t>GEB-02</t>
        </is>
      </c>
      <c r="D8" s="5" t="n">
        <v>96</v>
      </c>
      <c r="E8" s="5" t="n">
        <v>24</v>
      </c>
      <c r="F8" s="5" t="n">
        <v>72</v>
      </c>
      <c r="G8" s="5" t="n">
        <v>11</v>
      </c>
      <c r="H8" s="5" t="n">
        <v>21</v>
      </c>
      <c r="I8" s="6" t="n">
        <v>46096</v>
      </c>
    </row>
    <row r="9">
      <c r="A9" s="2" t="inlineStr">
        <is>
          <t>STK-0008</t>
        </is>
      </c>
      <c r="B9" s="2" t="inlineStr">
        <is>
          <t>ENDVAN-008</t>
        </is>
      </c>
      <c r="C9" s="2" t="inlineStr">
        <is>
          <t>IST-01</t>
        </is>
      </c>
      <c r="D9" s="5" t="n">
        <v>33</v>
      </c>
      <c r="E9" s="5" t="n">
        <v>3</v>
      </c>
      <c r="F9" s="5" t="n">
        <v>30</v>
      </c>
      <c r="G9" s="5" t="n">
        <v>8</v>
      </c>
      <c r="H9" s="5" t="n">
        <v>15</v>
      </c>
      <c r="I9" s="6" t="n">
        <v>46081</v>
      </c>
    </row>
    <row r="10">
      <c r="A10" s="2" t="inlineStr">
        <is>
          <t>STK-0009</t>
        </is>
      </c>
      <c r="B10" s="2" t="inlineStr">
        <is>
          <t>ENDVAN-009</t>
        </is>
      </c>
      <c r="C10" s="2" t="inlineStr">
        <is>
          <t>IST-01</t>
        </is>
      </c>
      <c r="D10" s="5" t="n">
        <v>110</v>
      </c>
      <c r="E10" s="5" t="n">
        <v>47</v>
      </c>
      <c r="F10" s="5" t="n">
        <v>63</v>
      </c>
      <c r="G10" s="5" t="n">
        <v>17</v>
      </c>
      <c r="H10" s="5" t="n">
        <v>23</v>
      </c>
      <c r="I10" s="6" t="n">
        <v>46095</v>
      </c>
    </row>
    <row r="11">
      <c r="A11" s="2" t="inlineStr">
        <is>
          <t>STK-0010</t>
        </is>
      </c>
      <c r="B11" s="2" t="inlineStr">
        <is>
          <t>ENDVAN-010</t>
        </is>
      </c>
      <c r="C11" s="2" t="inlineStr">
        <is>
          <t>GEB-02</t>
        </is>
      </c>
      <c r="D11" s="5" t="n">
        <v>98</v>
      </c>
      <c r="E11" s="5" t="n">
        <v>38</v>
      </c>
      <c r="F11" s="5" t="n">
        <v>60</v>
      </c>
      <c r="G11" s="5" t="n">
        <v>25</v>
      </c>
      <c r="H11" s="5" t="n">
        <v>40</v>
      </c>
      <c r="I11" s="6" t="n">
        <v>46085</v>
      </c>
    </row>
    <row r="12">
      <c r="A12" s="2" t="inlineStr">
        <is>
          <t>STK-0011</t>
        </is>
      </c>
      <c r="B12" s="2" t="inlineStr">
        <is>
          <t>ENDVAN-011</t>
        </is>
      </c>
      <c r="C12" s="2" t="inlineStr">
        <is>
          <t>GEB-02</t>
        </is>
      </c>
      <c r="D12" s="5" t="n">
        <v>95</v>
      </c>
      <c r="E12" s="5" t="n">
        <v>36</v>
      </c>
      <c r="F12" s="5" t="n">
        <v>59</v>
      </c>
      <c r="G12" s="5" t="n">
        <v>24</v>
      </c>
      <c r="H12" s="5" t="n">
        <v>33</v>
      </c>
      <c r="I12" s="6" t="n">
        <v>46078</v>
      </c>
    </row>
    <row r="13">
      <c r="A13" s="2" t="inlineStr">
        <is>
          <t>STK-0012</t>
        </is>
      </c>
      <c r="B13" s="2" t="inlineStr">
        <is>
          <t>ENDVAN-012</t>
        </is>
      </c>
      <c r="C13" s="2" t="inlineStr">
        <is>
          <t>MRS-03</t>
        </is>
      </c>
      <c r="D13" s="5" t="n">
        <v>34</v>
      </c>
      <c r="E13" s="5" t="n">
        <v>7</v>
      </c>
      <c r="F13" s="5" t="n">
        <v>27</v>
      </c>
      <c r="G13" s="5" t="n">
        <v>10</v>
      </c>
      <c r="H13" s="5" t="n">
        <v>13</v>
      </c>
      <c r="I13" s="6" t="n">
        <v>46080</v>
      </c>
    </row>
    <row r="14">
      <c r="A14" s="2" t="inlineStr">
        <is>
          <t>STK-0013</t>
        </is>
      </c>
      <c r="B14" s="2" t="inlineStr">
        <is>
          <t>ENDVAN-013</t>
        </is>
      </c>
      <c r="C14" s="2" t="inlineStr">
        <is>
          <t>IST-01</t>
        </is>
      </c>
      <c r="D14" s="5" t="n">
        <v>132</v>
      </c>
      <c r="E14" s="5" t="n">
        <v>17</v>
      </c>
      <c r="F14" s="5" t="n">
        <v>115</v>
      </c>
      <c r="G14" s="5" t="n">
        <v>22</v>
      </c>
      <c r="H14" s="5" t="n">
        <v>28</v>
      </c>
      <c r="I14" s="6" t="n">
        <v>46082</v>
      </c>
    </row>
    <row r="15">
      <c r="A15" s="2" t="inlineStr">
        <is>
          <t>STK-0014</t>
        </is>
      </c>
      <c r="B15" s="2" t="inlineStr">
        <is>
          <t>ENDVAN-014</t>
        </is>
      </c>
      <c r="C15" s="2" t="inlineStr">
        <is>
          <t>MRS-03</t>
        </is>
      </c>
      <c r="D15" s="5" t="n">
        <v>136</v>
      </c>
      <c r="E15" s="5" t="n">
        <v>55</v>
      </c>
      <c r="F15" s="5" t="n">
        <v>81</v>
      </c>
      <c r="G15" s="5" t="n">
        <v>26</v>
      </c>
      <c r="H15" s="5" t="n">
        <v>39</v>
      </c>
      <c r="I15" s="6" t="n">
        <v>46091</v>
      </c>
    </row>
    <row r="16">
      <c r="A16" s="2" t="inlineStr">
        <is>
          <t>STK-0015</t>
        </is>
      </c>
      <c r="B16" s="2" t="inlineStr">
        <is>
          <t>ENDVAN-015</t>
        </is>
      </c>
      <c r="C16" s="2" t="inlineStr">
        <is>
          <t>MRS-03</t>
        </is>
      </c>
      <c r="D16" s="5" t="n">
        <v>78</v>
      </c>
      <c r="E16" s="5" t="n">
        <v>6</v>
      </c>
      <c r="F16" s="5" t="n">
        <v>72</v>
      </c>
      <c r="G16" s="5" t="n">
        <v>25</v>
      </c>
      <c r="H16" s="5" t="n">
        <v>29</v>
      </c>
      <c r="I16" s="6" t="n">
        <v>46085</v>
      </c>
    </row>
    <row r="17">
      <c r="A17" s="2" t="inlineStr">
        <is>
          <t>STK-0016</t>
        </is>
      </c>
      <c r="B17" s="2" t="inlineStr">
        <is>
          <t>ENDVAN-016</t>
        </is>
      </c>
      <c r="C17" s="2" t="inlineStr">
        <is>
          <t>IST-01</t>
        </is>
      </c>
      <c r="D17" s="5" t="n">
        <v>63</v>
      </c>
      <c r="E17" s="5" t="n">
        <v>24</v>
      </c>
      <c r="F17" s="5" t="n">
        <v>39</v>
      </c>
      <c r="G17" s="5" t="n">
        <v>21</v>
      </c>
      <c r="H17" s="5" t="n">
        <v>24</v>
      </c>
      <c r="I17" s="6" t="n">
        <v>46085</v>
      </c>
    </row>
    <row r="18">
      <c r="A18" s="2" t="inlineStr">
        <is>
          <t>STK-0017</t>
        </is>
      </c>
      <c r="B18" s="2" t="inlineStr">
        <is>
          <t>ENDVAN-017</t>
        </is>
      </c>
      <c r="C18" s="2" t="inlineStr">
        <is>
          <t>MRS-03</t>
        </is>
      </c>
      <c r="D18" s="5" t="n">
        <v>88</v>
      </c>
      <c r="E18" s="5" t="n">
        <v>10</v>
      </c>
      <c r="F18" s="5" t="n">
        <v>78</v>
      </c>
      <c r="G18" s="5" t="n">
        <v>18</v>
      </c>
      <c r="H18" s="5" t="n">
        <v>22</v>
      </c>
      <c r="I18" s="6" t="n">
        <v>46084</v>
      </c>
    </row>
    <row r="19">
      <c r="A19" s="2" t="inlineStr">
        <is>
          <t>STK-0018</t>
        </is>
      </c>
      <c r="B19" s="2" t="inlineStr">
        <is>
          <t>ENDVAN-018</t>
        </is>
      </c>
      <c r="C19" s="2" t="inlineStr">
        <is>
          <t>GEB-02</t>
        </is>
      </c>
      <c r="D19" s="5" t="n">
        <v>64</v>
      </c>
      <c r="E19" s="5" t="n">
        <v>6</v>
      </c>
      <c r="F19" s="5" t="n">
        <v>58</v>
      </c>
      <c r="G19" s="5" t="n">
        <v>36</v>
      </c>
      <c r="H19" s="5" t="n">
        <v>40</v>
      </c>
      <c r="I19" s="6" t="n">
        <v>46098</v>
      </c>
    </row>
    <row r="20">
      <c r="A20" s="2" t="inlineStr">
        <is>
          <t>STK-0019</t>
        </is>
      </c>
      <c r="B20" s="2" t="inlineStr">
        <is>
          <t>ENDVAN-019</t>
        </is>
      </c>
      <c r="C20" s="2" t="inlineStr">
        <is>
          <t>MRS-03</t>
        </is>
      </c>
      <c r="D20" s="5" t="n">
        <v>13</v>
      </c>
      <c r="E20" s="5" t="n">
        <v>3</v>
      </c>
      <c r="F20" s="5" t="n">
        <v>10</v>
      </c>
      <c r="G20" s="5" t="n">
        <v>31</v>
      </c>
      <c r="H20" s="5" t="n">
        <v>50</v>
      </c>
      <c r="I20" s="6" t="n">
        <v>46088</v>
      </c>
    </row>
    <row r="21">
      <c r="A21" s="2" t="inlineStr">
        <is>
          <t>STK-0020</t>
        </is>
      </c>
      <c r="B21" s="2" t="inlineStr">
        <is>
          <t>ENDVAN-020</t>
        </is>
      </c>
      <c r="C21" s="2" t="inlineStr">
        <is>
          <t>IST-01</t>
        </is>
      </c>
      <c r="D21" s="5" t="n">
        <v>16</v>
      </c>
      <c r="E21" s="5" t="n">
        <v>2</v>
      </c>
      <c r="F21" s="5" t="n">
        <v>14</v>
      </c>
      <c r="G21" s="5" t="n">
        <v>18</v>
      </c>
      <c r="H21" s="5" t="n">
        <v>32</v>
      </c>
      <c r="I21" s="6" t="n">
        <v>46082</v>
      </c>
    </row>
    <row r="22">
      <c r="A22" s="2" t="inlineStr">
        <is>
          <t>STK-0021</t>
        </is>
      </c>
      <c r="B22" s="2" t="inlineStr">
        <is>
          <t>ENDVAN-021</t>
        </is>
      </c>
      <c r="C22" s="2" t="inlineStr">
        <is>
          <t>MRS-03</t>
        </is>
      </c>
      <c r="D22" s="5" t="n">
        <v>39</v>
      </c>
      <c r="E22" s="5" t="n">
        <v>9</v>
      </c>
      <c r="F22" s="5" t="n">
        <v>30</v>
      </c>
      <c r="G22" s="5" t="n">
        <v>18</v>
      </c>
      <c r="H22" s="5" t="n">
        <v>20</v>
      </c>
      <c r="I22" s="6" t="n">
        <v>46094</v>
      </c>
    </row>
    <row r="23">
      <c r="A23" s="2" t="inlineStr">
        <is>
          <t>STK-0022</t>
        </is>
      </c>
      <c r="B23" s="2" t="inlineStr">
        <is>
          <t>ENDVAN-022</t>
        </is>
      </c>
      <c r="C23" s="2" t="inlineStr">
        <is>
          <t>IST-01</t>
        </is>
      </c>
      <c r="D23" s="5" t="n">
        <v>20</v>
      </c>
      <c r="E23" s="5" t="n">
        <v>6</v>
      </c>
      <c r="F23" s="5" t="n">
        <v>14</v>
      </c>
      <c r="G23" s="5" t="n">
        <v>26</v>
      </c>
      <c r="H23" s="5" t="n">
        <v>30</v>
      </c>
      <c r="I23" s="6" t="n">
        <v>46080</v>
      </c>
    </row>
    <row r="24">
      <c r="A24" s="2" t="inlineStr">
        <is>
          <t>STK-0023</t>
        </is>
      </c>
      <c r="B24" s="2" t="inlineStr">
        <is>
          <t>ENDVAN-023</t>
        </is>
      </c>
      <c r="C24" s="2" t="inlineStr">
        <is>
          <t>GEB-02</t>
        </is>
      </c>
      <c r="D24" s="5" t="n">
        <v>49</v>
      </c>
      <c r="E24" s="5" t="n">
        <v>17</v>
      </c>
      <c r="F24" s="5" t="n">
        <v>32</v>
      </c>
      <c r="G24" s="5" t="n">
        <v>34</v>
      </c>
      <c r="H24" s="5" t="n">
        <v>37</v>
      </c>
      <c r="I24" s="6" t="n">
        <v>46078</v>
      </c>
    </row>
    <row r="25">
      <c r="A25" s="2" t="inlineStr">
        <is>
          <t>STK-0024</t>
        </is>
      </c>
      <c r="B25" s="2" t="inlineStr">
        <is>
          <t>ENDVAN-024</t>
        </is>
      </c>
      <c r="C25" s="2" t="inlineStr">
        <is>
          <t>IST-01</t>
        </is>
      </c>
      <c r="D25" s="5" t="n">
        <v>129</v>
      </c>
      <c r="E25" s="5" t="n">
        <v>36</v>
      </c>
      <c r="F25" s="5" t="n">
        <v>93</v>
      </c>
      <c r="G25" s="5" t="n">
        <v>12</v>
      </c>
      <c r="H25" s="5" t="n">
        <v>17</v>
      </c>
      <c r="I25" s="6" t="n">
        <v>46079</v>
      </c>
    </row>
    <row r="26">
      <c r="A26" s="2" t="inlineStr">
        <is>
          <t>STK-0025</t>
        </is>
      </c>
      <c r="B26" s="2" t="inlineStr">
        <is>
          <t>ENDVAN-025</t>
        </is>
      </c>
      <c r="C26" s="2" t="inlineStr">
        <is>
          <t>IST-01</t>
        </is>
      </c>
      <c r="D26" s="5" t="n">
        <v>37</v>
      </c>
      <c r="E26" s="5" t="n">
        <v>0</v>
      </c>
      <c r="F26" s="5" t="n">
        <v>37</v>
      </c>
      <c r="G26" s="5" t="n">
        <v>14</v>
      </c>
      <c r="H26" s="5" t="n">
        <v>23</v>
      </c>
      <c r="I26" s="6" t="n">
        <v>46085</v>
      </c>
    </row>
    <row r="27">
      <c r="A27" s="2" t="inlineStr">
        <is>
          <t>STK-0026</t>
        </is>
      </c>
      <c r="B27" s="2" t="inlineStr">
        <is>
          <t>ENDVAN-026</t>
        </is>
      </c>
      <c r="C27" s="2" t="inlineStr">
        <is>
          <t>GEB-02</t>
        </is>
      </c>
      <c r="D27" s="5" t="n">
        <v>119</v>
      </c>
      <c r="E27" s="5" t="n">
        <v>52</v>
      </c>
      <c r="F27" s="5" t="n">
        <v>67</v>
      </c>
      <c r="G27" s="5" t="n">
        <v>8</v>
      </c>
      <c r="H27" s="5" t="n">
        <v>14</v>
      </c>
      <c r="I27" s="6" t="n">
        <v>46095</v>
      </c>
    </row>
    <row r="28">
      <c r="A28" s="2" t="inlineStr">
        <is>
          <t>STK-0027</t>
        </is>
      </c>
      <c r="B28" s="2" t="inlineStr">
        <is>
          <t>ENDVAN-027</t>
        </is>
      </c>
      <c r="C28" s="2" t="inlineStr">
        <is>
          <t>IST-01</t>
        </is>
      </c>
      <c r="D28" s="5" t="n">
        <v>20</v>
      </c>
      <c r="E28" s="5" t="n">
        <v>3</v>
      </c>
      <c r="F28" s="5" t="n">
        <v>17</v>
      </c>
      <c r="G28" s="5" t="n">
        <v>27</v>
      </c>
      <c r="H28" s="5" t="n">
        <v>29</v>
      </c>
      <c r="I28" s="6" t="n">
        <v>46096</v>
      </c>
    </row>
    <row r="29">
      <c r="A29" s="2" t="inlineStr">
        <is>
          <t>STK-0028</t>
        </is>
      </c>
      <c r="B29" s="2" t="inlineStr">
        <is>
          <t>ENDVAN-028</t>
        </is>
      </c>
      <c r="C29" s="2" t="inlineStr">
        <is>
          <t>MRS-03</t>
        </is>
      </c>
      <c r="D29" s="5" t="n">
        <v>128</v>
      </c>
      <c r="E29" s="5" t="n">
        <v>35</v>
      </c>
      <c r="F29" s="5" t="n">
        <v>93</v>
      </c>
      <c r="G29" s="5" t="n">
        <v>8</v>
      </c>
      <c r="H29" s="5" t="n">
        <v>16</v>
      </c>
      <c r="I29" s="6" t="n">
        <v>46080</v>
      </c>
    </row>
    <row r="30">
      <c r="A30" s="2" t="inlineStr">
        <is>
          <t>STK-0029</t>
        </is>
      </c>
      <c r="B30" s="2" t="inlineStr">
        <is>
          <t>ENDVAN-029</t>
        </is>
      </c>
      <c r="C30" s="2" t="inlineStr">
        <is>
          <t>GEB-02</t>
        </is>
      </c>
      <c r="D30" s="5" t="n">
        <v>100</v>
      </c>
      <c r="E30" s="5" t="n">
        <v>5</v>
      </c>
      <c r="F30" s="5" t="n">
        <v>95</v>
      </c>
      <c r="G30" s="5" t="n">
        <v>20</v>
      </c>
      <c r="H30" s="5" t="n">
        <v>30</v>
      </c>
      <c r="I30" s="6" t="n">
        <v>46083</v>
      </c>
    </row>
    <row r="31">
      <c r="A31" s="2" t="inlineStr">
        <is>
          <t>STK-0030</t>
        </is>
      </c>
      <c r="B31" s="2" t="inlineStr">
        <is>
          <t>ENDVAN-030</t>
        </is>
      </c>
      <c r="C31" s="2" t="inlineStr">
        <is>
          <t>MRS-03</t>
        </is>
      </c>
      <c r="D31" s="5" t="n">
        <v>45</v>
      </c>
      <c r="E31" s="5" t="n">
        <v>6</v>
      </c>
      <c r="F31" s="5" t="n">
        <v>39</v>
      </c>
      <c r="G31" s="5" t="n">
        <v>24</v>
      </c>
      <c r="H31" s="5" t="n">
        <v>31</v>
      </c>
      <c r="I31" s="6" t="n">
        <v>46095</v>
      </c>
    </row>
    <row r="32">
      <c r="A32" s="2" t="inlineStr">
        <is>
          <t>STK-0031</t>
        </is>
      </c>
      <c r="B32" s="2" t="inlineStr">
        <is>
          <t>ENDVAN-031</t>
        </is>
      </c>
      <c r="C32" s="2" t="inlineStr">
        <is>
          <t>MRS-03</t>
        </is>
      </c>
      <c r="D32" s="5" t="n">
        <v>66</v>
      </c>
      <c r="E32" s="5" t="n">
        <v>14</v>
      </c>
      <c r="F32" s="5" t="n">
        <v>52</v>
      </c>
      <c r="G32" s="5" t="n">
        <v>35</v>
      </c>
      <c r="H32" s="5" t="n">
        <v>45</v>
      </c>
      <c r="I32" s="6" t="n">
        <v>46083</v>
      </c>
    </row>
    <row r="33">
      <c r="A33" s="2" t="inlineStr">
        <is>
          <t>STK-0032</t>
        </is>
      </c>
      <c r="B33" s="2" t="inlineStr">
        <is>
          <t>ENDVAN-032</t>
        </is>
      </c>
      <c r="C33" s="2" t="inlineStr">
        <is>
          <t>IST-01</t>
        </is>
      </c>
      <c r="D33" s="5" t="n">
        <v>117</v>
      </c>
      <c r="E33" s="5" t="n">
        <v>43</v>
      </c>
      <c r="F33" s="5" t="n">
        <v>74</v>
      </c>
      <c r="G33" s="5" t="n">
        <v>11</v>
      </c>
      <c r="H33" s="5" t="n">
        <v>15</v>
      </c>
      <c r="I33" s="6" t="n">
        <v>46094</v>
      </c>
    </row>
    <row r="34">
      <c r="A34" s="2" t="inlineStr">
        <is>
          <t>STK-0033</t>
        </is>
      </c>
      <c r="B34" s="2" t="inlineStr">
        <is>
          <t>ENDVAN-033</t>
        </is>
      </c>
      <c r="C34" s="2" t="inlineStr">
        <is>
          <t>IST-01</t>
        </is>
      </c>
      <c r="D34" s="5" t="n">
        <v>95</v>
      </c>
      <c r="E34" s="5" t="n">
        <v>9</v>
      </c>
      <c r="F34" s="5" t="n">
        <v>86</v>
      </c>
      <c r="G34" s="5" t="n">
        <v>29</v>
      </c>
      <c r="H34" s="5" t="n">
        <v>43</v>
      </c>
      <c r="I34" s="6" t="n">
        <v>46087</v>
      </c>
    </row>
    <row r="35">
      <c r="A35" s="2" t="inlineStr">
        <is>
          <t>STK-0034</t>
        </is>
      </c>
      <c r="B35" s="2" t="inlineStr">
        <is>
          <t>ENDVAN-034</t>
        </is>
      </c>
      <c r="C35" s="2" t="inlineStr">
        <is>
          <t>MRS-03</t>
        </is>
      </c>
      <c r="D35" s="5" t="n">
        <v>117</v>
      </c>
      <c r="E35" s="5" t="n">
        <v>15</v>
      </c>
      <c r="F35" s="5" t="n">
        <v>102</v>
      </c>
      <c r="G35" s="5" t="n">
        <v>36</v>
      </c>
      <c r="H35" s="5" t="n">
        <v>55</v>
      </c>
      <c r="I35" s="6" t="n">
        <v>46079</v>
      </c>
    </row>
    <row r="36">
      <c r="A36" s="2" t="inlineStr">
        <is>
          <t>STK-0035</t>
        </is>
      </c>
      <c r="B36" s="2" t="inlineStr">
        <is>
          <t>FLAIZO-001</t>
        </is>
      </c>
      <c r="C36" s="2" t="inlineStr">
        <is>
          <t>GEB-02</t>
        </is>
      </c>
      <c r="D36" s="5" t="n">
        <v>257</v>
      </c>
      <c r="E36" s="5" t="n">
        <v>101</v>
      </c>
      <c r="F36" s="5" t="n">
        <v>156</v>
      </c>
      <c r="G36" s="5" t="n">
        <v>138</v>
      </c>
      <c r="H36" s="5" t="n">
        <v>182</v>
      </c>
      <c r="I36" s="6" t="n">
        <v>46079</v>
      </c>
    </row>
    <row r="37">
      <c r="A37" s="2" t="inlineStr">
        <is>
          <t>STK-0036</t>
        </is>
      </c>
      <c r="B37" s="2" t="inlineStr">
        <is>
          <t>FLAIZO-002</t>
        </is>
      </c>
      <c r="C37" s="2" t="inlineStr">
        <is>
          <t>IST-01</t>
        </is>
      </c>
      <c r="D37" s="5" t="n">
        <v>410</v>
      </c>
      <c r="E37" s="5" t="n">
        <v>78</v>
      </c>
      <c r="F37" s="5" t="n">
        <v>332</v>
      </c>
      <c r="G37" s="5" t="n">
        <v>40</v>
      </c>
      <c r="H37" s="5" t="n">
        <v>43</v>
      </c>
      <c r="I37" s="6" t="n">
        <v>46087</v>
      </c>
    </row>
    <row r="38">
      <c r="A38" s="2" t="inlineStr">
        <is>
          <t>STK-0037</t>
        </is>
      </c>
      <c r="B38" s="2" t="inlineStr">
        <is>
          <t>FLAIZO-003</t>
        </is>
      </c>
      <c r="C38" s="2" t="inlineStr">
        <is>
          <t>GEB-02</t>
        </is>
      </c>
      <c r="D38" s="5" t="n">
        <v>389</v>
      </c>
      <c r="E38" s="5" t="n">
        <v>167</v>
      </c>
      <c r="F38" s="5" t="n">
        <v>222</v>
      </c>
      <c r="G38" s="5" t="n">
        <v>45</v>
      </c>
      <c r="H38" s="5" t="n">
        <v>66</v>
      </c>
      <c r="I38" s="6" t="n">
        <v>46094</v>
      </c>
    </row>
    <row r="39">
      <c r="A39" s="2" t="inlineStr">
        <is>
          <t>STK-0038</t>
        </is>
      </c>
      <c r="B39" s="2" t="inlineStr">
        <is>
          <t>FLAIZO-004</t>
        </is>
      </c>
      <c r="C39" s="2" t="inlineStr">
        <is>
          <t>MRS-03</t>
        </is>
      </c>
      <c r="D39" s="5" t="n">
        <v>298</v>
      </c>
      <c r="E39" s="5" t="n">
        <v>17</v>
      </c>
      <c r="F39" s="5" t="n">
        <v>281</v>
      </c>
      <c r="G39" s="5" t="n">
        <v>126</v>
      </c>
      <c r="H39" s="5" t="n">
        <v>182</v>
      </c>
      <c r="I39" s="6" t="n">
        <v>46096</v>
      </c>
    </row>
    <row r="40">
      <c r="A40" s="2" t="inlineStr">
        <is>
          <t>STK-0039</t>
        </is>
      </c>
      <c r="B40" s="2" t="inlineStr">
        <is>
          <t>FLAIZO-005</t>
        </is>
      </c>
      <c r="C40" s="2" t="inlineStr">
        <is>
          <t>IST-01</t>
        </is>
      </c>
      <c r="D40" s="5" t="n">
        <v>389</v>
      </c>
      <c r="E40" s="5" t="n">
        <v>151</v>
      </c>
      <c r="F40" s="5" t="n">
        <v>238</v>
      </c>
      <c r="G40" s="5" t="n">
        <v>82</v>
      </c>
      <c r="H40" s="5" t="n">
        <v>110</v>
      </c>
      <c r="I40" s="6" t="n">
        <v>46078</v>
      </c>
    </row>
    <row r="41">
      <c r="A41" s="2" t="inlineStr">
        <is>
          <t>STK-0040</t>
        </is>
      </c>
      <c r="B41" s="2" t="inlineStr">
        <is>
          <t>FLAIZO-006</t>
        </is>
      </c>
      <c r="C41" s="2" t="inlineStr">
        <is>
          <t>IST-01</t>
        </is>
      </c>
      <c r="D41" s="5" t="n">
        <v>442</v>
      </c>
      <c r="E41" s="5" t="n">
        <v>18</v>
      </c>
      <c r="F41" s="5" t="n">
        <v>424</v>
      </c>
      <c r="G41" s="5" t="n">
        <v>47</v>
      </c>
      <c r="H41" s="5" t="n">
        <v>56</v>
      </c>
      <c r="I41" s="6" t="n">
        <v>46087</v>
      </c>
    </row>
    <row r="42">
      <c r="A42" s="2" t="inlineStr">
        <is>
          <t>STK-0041</t>
        </is>
      </c>
      <c r="B42" s="2" t="inlineStr">
        <is>
          <t>FLAIZO-007</t>
        </is>
      </c>
      <c r="C42" s="2" t="inlineStr">
        <is>
          <t>MRS-03</t>
        </is>
      </c>
      <c r="D42" s="5" t="n">
        <v>541</v>
      </c>
      <c r="E42" s="5" t="n">
        <v>56</v>
      </c>
      <c r="F42" s="5" t="n">
        <v>485</v>
      </c>
      <c r="G42" s="5" t="n">
        <v>65</v>
      </c>
      <c r="H42" s="5" t="n">
        <v>69</v>
      </c>
      <c r="I42" s="6" t="n">
        <v>46096</v>
      </c>
    </row>
    <row r="43">
      <c r="A43" s="2" t="inlineStr">
        <is>
          <t>STK-0042</t>
        </is>
      </c>
      <c r="B43" s="2" t="inlineStr">
        <is>
          <t>FLAIZO-008</t>
        </is>
      </c>
      <c r="C43" s="2" t="inlineStr">
        <is>
          <t>IST-01</t>
        </is>
      </c>
      <c r="D43" s="5" t="n">
        <v>131</v>
      </c>
      <c r="E43" s="5" t="n">
        <v>31</v>
      </c>
      <c r="F43" s="5" t="n">
        <v>100</v>
      </c>
      <c r="G43" s="5" t="n">
        <v>124</v>
      </c>
      <c r="H43" s="5" t="n">
        <v>150</v>
      </c>
      <c r="I43" s="6" t="n">
        <v>46090</v>
      </c>
    </row>
    <row r="44">
      <c r="A44" s="2" t="inlineStr">
        <is>
          <t>STK-0043</t>
        </is>
      </c>
      <c r="B44" s="2" t="inlineStr">
        <is>
          <t>FLAIZO-009</t>
        </is>
      </c>
      <c r="C44" s="2" t="inlineStr">
        <is>
          <t>MRS-03</t>
        </is>
      </c>
      <c r="D44" s="5" t="n">
        <v>334</v>
      </c>
      <c r="E44" s="5" t="n">
        <v>122</v>
      </c>
      <c r="F44" s="5" t="n">
        <v>212</v>
      </c>
      <c r="G44" s="5" t="n">
        <v>135</v>
      </c>
      <c r="H44" s="5" t="n">
        <v>181</v>
      </c>
      <c r="I44" s="6" t="n">
        <v>46089</v>
      </c>
    </row>
    <row r="45">
      <c r="A45" s="2" t="inlineStr">
        <is>
          <t>STK-0044</t>
        </is>
      </c>
      <c r="B45" s="2" t="inlineStr">
        <is>
          <t>FLAIZO-010</t>
        </is>
      </c>
      <c r="C45" s="2" t="inlineStr">
        <is>
          <t>GEB-02</t>
        </is>
      </c>
      <c r="D45" s="5" t="n">
        <v>380</v>
      </c>
      <c r="E45" s="5" t="n">
        <v>49</v>
      </c>
      <c r="F45" s="5" t="n">
        <v>331</v>
      </c>
      <c r="G45" s="5" t="n">
        <v>87</v>
      </c>
      <c r="H45" s="5" t="n">
        <v>114</v>
      </c>
      <c r="I45" s="6" t="n">
        <v>46089</v>
      </c>
    </row>
    <row r="46">
      <c r="A46" s="2" t="inlineStr">
        <is>
          <t>STK-0045</t>
        </is>
      </c>
      <c r="B46" s="2" t="inlineStr">
        <is>
          <t>FLAIZO-011</t>
        </is>
      </c>
      <c r="C46" s="2" t="inlineStr">
        <is>
          <t>IST-01</t>
        </is>
      </c>
      <c r="D46" s="5" t="n">
        <v>350</v>
      </c>
      <c r="E46" s="5" t="n">
        <v>29</v>
      </c>
      <c r="F46" s="5" t="n">
        <v>321</v>
      </c>
      <c r="G46" s="5" t="n">
        <v>84</v>
      </c>
      <c r="H46" s="5" t="n">
        <v>88</v>
      </c>
      <c r="I46" s="6" t="n">
        <v>46098</v>
      </c>
    </row>
    <row r="47">
      <c r="A47" s="2" t="inlineStr">
        <is>
          <t>STK-0046</t>
        </is>
      </c>
      <c r="B47" s="2" t="inlineStr">
        <is>
          <t>FLAIZO-012</t>
        </is>
      </c>
      <c r="C47" s="2" t="inlineStr">
        <is>
          <t>MRS-03</t>
        </is>
      </c>
      <c r="D47" s="5" t="n">
        <v>492</v>
      </c>
      <c r="E47" s="5" t="n">
        <v>131</v>
      </c>
      <c r="F47" s="5" t="n">
        <v>361</v>
      </c>
      <c r="G47" s="5" t="n">
        <v>48</v>
      </c>
      <c r="H47" s="5" t="n">
        <v>53</v>
      </c>
      <c r="I47" s="6" t="n">
        <v>46097</v>
      </c>
    </row>
    <row r="48">
      <c r="A48" s="2" t="inlineStr">
        <is>
          <t>STK-0047</t>
        </is>
      </c>
      <c r="B48" s="2" t="inlineStr">
        <is>
          <t>FLAIZO-013</t>
        </is>
      </c>
      <c r="C48" s="2" t="inlineStr">
        <is>
          <t>GEB-02</t>
        </is>
      </c>
      <c r="D48" s="5" t="n">
        <v>356</v>
      </c>
      <c r="E48" s="5" t="n">
        <v>2</v>
      </c>
      <c r="F48" s="5" t="n">
        <v>354</v>
      </c>
      <c r="G48" s="5" t="n">
        <v>98</v>
      </c>
      <c r="H48" s="5" t="n">
        <v>108</v>
      </c>
      <c r="I48" s="6" t="n">
        <v>46079</v>
      </c>
    </row>
    <row r="49">
      <c r="A49" s="2" t="inlineStr">
        <is>
          <t>STK-0048</t>
        </is>
      </c>
      <c r="B49" s="2" t="inlineStr">
        <is>
          <t>FLAIZO-014</t>
        </is>
      </c>
      <c r="C49" s="2" t="inlineStr">
        <is>
          <t>IST-01</t>
        </is>
      </c>
      <c r="D49" s="5" t="n">
        <v>374</v>
      </c>
      <c r="E49" s="5" t="n">
        <v>96</v>
      </c>
      <c r="F49" s="5" t="n">
        <v>278</v>
      </c>
      <c r="G49" s="5" t="n">
        <v>85</v>
      </c>
      <c r="H49" s="5" t="n">
        <v>113</v>
      </c>
      <c r="I49" s="6" t="n">
        <v>46088</v>
      </c>
    </row>
    <row r="50">
      <c r="A50" s="2" t="inlineStr">
        <is>
          <t>STK-0049</t>
        </is>
      </c>
      <c r="B50" s="2" t="inlineStr">
        <is>
          <t>FLAIZO-015</t>
        </is>
      </c>
      <c r="C50" s="2" t="inlineStr">
        <is>
          <t>MRS-03</t>
        </is>
      </c>
      <c r="D50" s="5" t="n">
        <v>109</v>
      </c>
      <c r="E50" s="5" t="n">
        <v>5</v>
      </c>
      <c r="F50" s="5" t="n">
        <v>104</v>
      </c>
      <c r="G50" s="5" t="n">
        <v>92</v>
      </c>
      <c r="H50" s="5" t="n">
        <v>103</v>
      </c>
      <c r="I50" s="6" t="n">
        <v>46082</v>
      </c>
    </row>
    <row r="51">
      <c r="A51" s="2" t="inlineStr">
        <is>
          <t>STK-0050</t>
        </is>
      </c>
      <c r="B51" s="2" t="inlineStr">
        <is>
          <t>MEKSIZ-001</t>
        </is>
      </c>
      <c r="C51" s="2" t="inlineStr">
        <is>
          <t>GEB-02</t>
        </is>
      </c>
      <c r="D51" s="5" t="n">
        <v>516</v>
      </c>
      <c r="E51" s="5" t="n">
        <v>187</v>
      </c>
      <c r="F51" s="5" t="n">
        <v>329</v>
      </c>
      <c r="G51" s="5" t="n">
        <v>139</v>
      </c>
      <c r="H51" s="5" t="n">
        <v>197</v>
      </c>
      <c r="I51" s="6" t="n">
        <v>46095</v>
      </c>
    </row>
    <row r="52">
      <c r="A52" s="2" t="inlineStr">
        <is>
          <t>STK-0051</t>
        </is>
      </c>
      <c r="B52" s="2" t="inlineStr">
        <is>
          <t>MEKSIZ-002</t>
        </is>
      </c>
      <c r="C52" s="2" t="inlineStr">
        <is>
          <t>GEB-02</t>
        </is>
      </c>
      <c r="D52" s="5" t="n">
        <v>443</v>
      </c>
      <c r="E52" s="5" t="n">
        <v>175</v>
      </c>
      <c r="F52" s="5" t="n">
        <v>268</v>
      </c>
      <c r="G52" s="5" t="n">
        <v>97</v>
      </c>
      <c r="H52" s="5" t="n">
        <v>104</v>
      </c>
      <c r="I52" s="6" t="n">
        <v>46090</v>
      </c>
    </row>
    <row r="53">
      <c r="A53" s="2" t="inlineStr">
        <is>
          <t>STK-0052</t>
        </is>
      </c>
      <c r="B53" s="2" t="inlineStr">
        <is>
          <t>MEKSIZ-003</t>
        </is>
      </c>
      <c r="C53" s="2" t="inlineStr">
        <is>
          <t>MRS-03</t>
        </is>
      </c>
      <c r="D53" s="5" t="n">
        <v>448</v>
      </c>
      <c r="E53" s="5" t="n">
        <v>181</v>
      </c>
      <c r="F53" s="5" t="n">
        <v>267</v>
      </c>
      <c r="G53" s="5" t="n">
        <v>72</v>
      </c>
      <c r="H53" s="5" t="n">
        <v>95</v>
      </c>
      <c r="I53" s="6" t="n">
        <v>46079</v>
      </c>
    </row>
    <row r="54">
      <c r="A54" s="2" t="inlineStr">
        <is>
          <t>STK-0053</t>
        </is>
      </c>
      <c r="B54" s="2" t="inlineStr">
        <is>
          <t>MEKSIZ-004</t>
        </is>
      </c>
      <c r="C54" s="2" t="inlineStr">
        <is>
          <t>IST-01</t>
        </is>
      </c>
      <c r="D54" s="5" t="n">
        <v>231</v>
      </c>
      <c r="E54" s="5" t="n">
        <v>72</v>
      </c>
      <c r="F54" s="5" t="n">
        <v>159</v>
      </c>
      <c r="G54" s="5" t="n">
        <v>114</v>
      </c>
      <c r="H54" s="5" t="n">
        <v>163</v>
      </c>
      <c r="I54" s="6" t="n">
        <v>46084</v>
      </c>
    </row>
    <row r="55">
      <c r="A55" s="2" t="inlineStr">
        <is>
          <t>STK-0054</t>
        </is>
      </c>
      <c r="B55" s="2" t="inlineStr">
        <is>
          <t>MEKSIZ-005</t>
        </is>
      </c>
      <c r="C55" s="2" t="inlineStr">
        <is>
          <t>GEB-02</t>
        </is>
      </c>
      <c r="D55" s="5" t="n">
        <v>464</v>
      </c>
      <c r="E55" s="5" t="n">
        <v>202</v>
      </c>
      <c r="F55" s="5" t="n">
        <v>262</v>
      </c>
      <c r="G55" s="5" t="n">
        <v>133</v>
      </c>
      <c r="H55" s="5" t="n">
        <v>168</v>
      </c>
      <c r="I55" s="6" t="n">
        <v>46096</v>
      </c>
    </row>
    <row r="56">
      <c r="A56" s="2" t="inlineStr">
        <is>
          <t>STK-0055</t>
        </is>
      </c>
      <c r="B56" s="2" t="inlineStr">
        <is>
          <t>MEKSIZ-006</t>
        </is>
      </c>
      <c r="C56" s="2" t="inlineStr">
        <is>
          <t>MRS-03</t>
        </is>
      </c>
      <c r="D56" s="5" t="n">
        <v>304</v>
      </c>
      <c r="E56" s="5" t="n">
        <v>103</v>
      </c>
      <c r="F56" s="5" t="n">
        <v>201</v>
      </c>
      <c r="G56" s="5" t="n">
        <v>54</v>
      </c>
      <c r="H56" s="5" t="n">
        <v>86</v>
      </c>
      <c r="I56" s="6" t="n">
        <v>46080</v>
      </c>
    </row>
    <row r="57">
      <c r="A57" s="2" t="inlineStr">
        <is>
          <t>STK-0056</t>
        </is>
      </c>
      <c r="B57" s="2" t="inlineStr">
        <is>
          <t>MEKSIZ-007</t>
        </is>
      </c>
      <c r="C57" s="2" t="inlineStr">
        <is>
          <t>MRS-03</t>
        </is>
      </c>
      <c r="D57" s="5" t="n">
        <v>257</v>
      </c>
      <c r="E57" s="5" t="n">
        <v>30</v>
      </c>
      <c r="F57" s="5" t="n">
        <v>227</v>
      </c>
      <c r="G57" s="5" t="n">
        <v>75</v>
      </c>
      <c r="H57" s="5" t="n">
        <v>107</v>
      </c>
      <c r="I57" s="6" t="n">
        <v>46084</v>
      </c>
    </row>
    <row r="58">
      <c r="A58" s="2" t="inlineStr">
        <is>
          <t>STK-0057</t>
        </is>
      </c>
      <c r="B58" s="2" t="inlineStr">
        <is>
          <t>MEKSIZ-008</t>
        </is>
      </c>
      <c r="C58" s="2" t="inlineStr">
        <is>
          <t>IST-01</t>
        </is>
      </c>
      <c r="D58" s="5" t="n">
        <v>263</v>
      </c>
      <c r="E58" s="5" t="n">
        <v>94</v>
      </c>
      <c r="F58" s="5" t="n">
        <v>169</v>
      </c>
      <c r="G58" s="5" t="n">
        <v>132</v>
      </c>
      <c r="H58" s="5" t="n">
        <v>135</v>
      </c>
      <c r="I58" s="6" t="n">
        <v>46098</v>
      </c>
    </row>
    <row r="59">
      <c r="A59" s="2" t="inlineStr">
        <is>
          <t>STK-0058</t>
        </is>
      </c>
      <c r="B59" s="2" t="inlineStr">
        <is>
          <t>MEKSIZ-009</t>
        </is>
      </c>
      <c r="C59" s="2" t="inlineStr">
        <is>
          <t>GEB-02</t>
        </is>
      </c>
      <c r="D59" s="5" t="n">
        <v>271</v>
      </c>
      <c r="E59" s="5" t="n">
        <v>78</v>
      </c>
      <c r="F59" s="5" t="n">
        <v>193</v>
      </c>
      <c r="G59" s="5" t="n">
        <v>91</v>
      </c>
      <c r="H59" s="5" t="n">
        <v>137</v>
      </c>
      <c r="I59" s="6" t="n">
        <v>46080</v>
      </c>
    </row>
    <row r="60">
      <c r="A60" s="2" t="inlineStr">
        <is>
          <t>STK-0059</t>
        </is>
      </c>
      <c r="B60" s="2" t="inlineStr">
        <is>
          <t>MEKSIZ-010</t>
        </is>
      </c>
      <c r="C60" s="2" t="inlineStr">
        <is>
          <t>GEB-02</t>
        </is>
      </c>
      <c r="D60" s="5" t="n">
        <v>342</v>
      </c>
      <c r="E60" s="5" t="n">
        <v>40</v>
      </c>
      <c r="F60" s="5" t="n">
        <v>302</v>
      </c>
      <c r="G60" s="5" t="n">
        <v>131</v>
      </c>
      <c r="H60" s="5" t="n">
        <v>201</v>
      </c>
      <c r="I60" s="6" t="n">
        <v>46085</v>
      </c>
    </row>
    <row r="61">
      <c r="A61" s="2" t="inlineStr">
        <is>
          <t>STK-0060</t>
        </is>
      </c>
      <c r="B61" s="2" t="inlineStr">
        <is>
          <t>MEKSIZ-011</t>
        </is>
      </c>
      <c r="C61" s="2" t="inlineStr">
        <is>
          <t>GEB-02</t>
        </is>
      </c>
      <c r="D61" s="5" t="n">
        <v>237</v>
      </c>
      <c r="E61" s="5" t="n">
        <v>79</v>
      </c>
      <c r="F61" s="5" t="n">
        <v>158</v>
      </c>
      <c r="G61" s="5" t="n">
        <v>44</v>
      </c>
      <c r="H61" s="5" t="n">
        <v>69</v>
      </c>
      <c r="I61" s="6" t="n">
        <v>46090</v>
      </c>
    </row>
    <row r="62">
      <c r="A62" s="2" t="inlineStr">
        <is>
          <t>STK-0061</t>
        </is>
      </c>
      <c r="B62" s="2" t="inlineStr">
        <is>
          <t>MEKSIZ-012</t>
        </is>
      </c>
      <c r="C62" s="2" t="inlineStr">
        <is>
          <t>IST-01</t>
        </is>
      </c>
      <c r="D62" s="5" t="n">
        <v>444</v>
      </c>
      <c r="E62" s="5" t="n">
        <v>59</v>
      </c>
      <c r="F62" s="5" t="n">
        <v>385</v>
      </c>
      <c r="G62" s="5" t="n">
        <v>112</v>
      </c>
      <c r="H62" s="5" t="n">
        <v>114</v>
      </c>
      <c r="I62" s="6" t="n">
        <v>46088</v>
      </c>
    </row>
    <row r="63">
      <c r="A63" s="2" t="inlineStr">
        <is>
          <t>STK-0062</t>
        </is>
      </c>
      <c r="B63" s="2" t="inlineStr">
        <is>
          <t>MEKSIZ-013</t>
        </is>
      </c>
      <c r="C63" s="2" t="inlineStr">
        <is>
          <t>GEB-02</t>
        </is>
      </c>
      <c r="D63" s="5" t="n">
        <v>421</v>
      </c>
      <c r="E63" s="5" t="n">
        <v>52</v>
      </c>
      <c r="F63" s="5" t="n">
        <v>369</v>
      </c>
      <c r="G63" s="5" t="n">
        <v>88</v>
      </c>
      <c r="H63" s="5" t="n">
        <v>105</v>
      </c>
      <c r="I63" s="6" t="n">
        <v>46088</v>
      </c>
    </row>
    <row r="64">
      <c r="A64" s="2" t="inlineStr">
        <is>
          <t>STK-0063</t>
        </is>
      </c>
      <c r="B64" s="2" t="inlineStr">
        <is>
          <t>MEKSIZ-014</t>
        </is>
      </c>
      <c r="C64" s="2" t="inlineStr">
        <is>
          <t>IST-01</t>
        </is>
      </c>
      <c r="D64" s="5" t="n">
        <v>297</v>
      </c>
      <c r="E64" s="5" t="n">
        <v>50</v>
      </c>
      <c r="F64" s="5" t="n">
        <v>247</v>
      </c>
      <c r="G64" s="5" t="n">
        <v>67</v>
      </c>
      <c r="H64" s="5" t="n">
        <v>98</v>
      </c>
      <c r="I64" s="6" t="n">
        <v>46085</v>
      </c>
    </row>
    <row r="65">
      <c r="A65" s="2" t="inlineStr">
        <is>
          <t>STK-0064</t>
        </is>
      </c>
      <c r="B65" s="2" t="inlineStr">
        <is>
          <t>KAR/-001</t>
        </is>
      </c>
      <c r="C65" s="2" t="inlineStr">
        <is>
          <t>IST-01</t>
        </is>
      </c>
      <c r="D65" s="5" t="n">
        <v>4</v>
      </c>
      <c r="E65" s="5" t="n">
        <v>0</v>
      </c>
      <c r="F65" s="5" t="n">
        <v>4</v>
      </c>
      <c r="G65" s="5" t="n">
        <v>4</v>
      </c>
      <c r="H65" s="5" t="n">
        <v>9</v>
      </c>
      <c r="I65" s="6" t="n">
        <v>46084</v>
      </c>
    </row>
    <row r="66">
      <c r="A66" s="2" t="inlineStr">
        <is>
          <t>STK-0065</t>
        </is>
      </c>
      <c r="B66" s="2" t="inlineStr">
        <is>
          <t>KAR/-002</t>
        </is>
      </c>
      <c r="C66" s="2" t="inlineStr">
        <is>
          <t>MRS-03</t>
        </is>
      </c>
      <c r="D66" s="5" t="n">
        <v>4</v>
      </c>
      <c r="E66" s="5" t="n">
        <v>0</v>
      </c>
      <c r="F66" s="5" t="n">
        <v>4</v>
      </c>
      <c r="G66" s="5" t="n">
        <v>2</v>
      </c>
      <c r="H66" s="5" t="n">
        <v>6</v>
      </c>
      <c r="I66" s="6" t="n">
        <v>46083</v>
      </c>
    </row>
    <row r="67">
      <c r="A67" s="2" t="inlineStr">
        <is>
          <t>STK-0066</t>
        </is>
      </c>
      <c r="B67" s="2" t="inlineStr">
        <is>
          <t>KAR/-003</t>
        </is>
      </c>
      <c r="C67" s="2" t="inlineStr">
        <is>
          <t>GEB-02</t>
        </is>
      </c>
      <c r="D67" s="5" t="n">
        <v>5</v>
      </c>
      <c r="E67" s="5" t="n">
        <v>0</v>
      </c>
      <c r="F67" s="5" t="n">
        <v>5</v>
      </c>
      <c r="G67" s="5" t="n">
        <v>3</v>
      </c>
      <c r="H67" s="5" t="n">
        <v>8</v>
      </c>
      <c r="I67" s="6" t="n">
        <v>46089</v>
      </c>
    </row>
    <row r="68">
      <c r="A68" s="2" t="inlineStr">
        <is>
          <t>STK-0067</t>
        </is>
      </c>
      <c r="B68" s="2" t="inlineStr">
        <is>
          <t>KAR/-004</t>
        </is>
      </c>
      <c r="C68" s="2" t="inlineStr">
        <is>
          <t>GEB-02</t>
        </is>
      </c>
      <c r="D68" s="5" t="n">
        <v>9</v>
      </c>
      <c r="E68" s="5" t="n">
        <v>3</v>
      </c>
      <c r="F68" s="5" t="n">
        <v>6</v>
      </c>
      <c r="G68" s="5" t="n">
        <v>2</v>
      </c>
      <c r="H68" s="5" t="n">
        <v>8</v>
      </c>
      <c r="I68" s="6" t="n">
        <v>46090</v>
      </c>
    </row>
    <row r="69">
      <c r="A69" s="2" t="inlineStr">
        <is>
          <t>STK-0068</t>
        </is>
      </c>
      <c r="B69" s="2" t="inlineStr">
        <is>
          <t>KAR/-005</t>
        </is>
      </c>
      <c r="C69" s="2" t="inlineStr">
        <is>
          <t>IST-01</t>
        </is>
      </c>
      <c r="D69" s="5" t="n">
        <v>2</v>
      </c>
      <c r="E69" s="5" t="n">
        <v>0</v>
      </c>
      <c r="F69" s="5" t="n">
        <v>2</v>
      </c>
      <c r="G69" s="5" t="n">
        <v>3</v>
      </c>
      <c r="H69" s="5" t="n">
        <v>9</v>
      </c>
      <c r="I69" s="6" t="n">
        <v>46087</v>
      </c>
    </row>
    <row r="70">
      <c r="A70" s="2" t="inlineStr">
        <is>
          <t>STK-0069</t>
        </is>
      </c>
      <c r="B70" s="2" t="inlineStr">
        <is>
          <t>KAR/-006</t>
        </is>
      </c>
      <c r="C70" s="2" t="inlineStr">
        <is>
          <t>MRS-03</t>
        </is>
      </c>
      <c r="D70" s="5" t="n">
        <v>8</v>
      </c>
      <c r="E70" s="5" t="n">
        <v>0</v>
      </c>
      <c r="F70" s="5" t="n">
        <v>8</v>
      </c>
      <c r="G70" s="5" t="n">
        <v>4</v>
      </c>
      <c r="H70" s="5" t="n">
        <v>8</v>
      </c>
      <c r="I70" s="6" t="n">
        <v>46089</v>
      </c>
    </row>
    <row r="71">
      <c r="A71" s="2" t="inlineStr">
        <is>
          <t>STK-0070</t>
        </is>
      </c>
      <c r="B71" s="2" t="inlineStr">
        <is>
          <t>KAR/-007</t>
        </is>
      </c>
      <c r="C71" s="2" t="inlineStr">
        <is>
          <t>GEB-02</t>
        </is>
      </c>
      <c r="D71" s="5" t="n">
        <v>9</v>
      </c>
      <c r="E71" s="5" t="n">
        <v>0</v>
      </c>
      <c r="F71" s="5" t="n">
        <v>9</v>
      </c>
      <c r="G71" s="5" t="n">
        <v>3</v>
      </c>
      <c r="H71" s="5" t="n">
        <v>8</v>
      </c>
      <c r="I71" s="6" t="n">
        <v>46096</v>
      </c>
    </row>
    <row r="72">
      <c r="A72" s="2" t="inlineStr">
        <is>
          <t>STK-0071</t>
        </is>
      </c>
      <c r="B72" s="2" t="inlineStr">
        <is>
          <t>KAR/-008</t>
        </is>
      </c>
      <c r="C72" s="2" t="inlineStr">
        <is>
          <t>MRS-03</t>
        </is>
      </c>
      <c r="D72" s="5" t="n">
        <v>10</v>
      </c>
      <c r="E72" s="5" t="n">
        <v>4</v>
      </c>
      <c r="F72" s="5" t="n">
        <v>6</v>
      </c>
      <c r="G72" s="5" t="n">
        <v>3</v>
      </c>
      <c r="H72" s="5" t="n">
        <v>7</v>
      </c>
      <c r="I72" s="6" t="n">
        <v>46084</v>
      </c>
    </row>
    <row r="73">
      <c r="A73" s="2" t="inlineStr">
        <is>
          <t>STK-0072</t>
        </is>
      </c>
      <c r="B73" s="2" t="inlineStr">
        <is>
          <t>KAR/-009</t>
        </is>
      </c>
      <c r="C73" s="2" t="inlineStr">
        <is>
          <t>IST-01</t>
        </is>
      </c>
      <c r="D73" s="5" t="n">
        <v>7</v>
      </c>
      <c r="E73" s="5" t="n">
        <v>0</v>
      </c>
      <c r="F73" s="5" t="n">
        <v>7</v>
      </c>
      <c r="G73" s="5" t="n">
        <v>1</v>
      </c>
      <c r="H73" s="5" t="n">
        <v>3</v>
      </c>
      <c r="I73" s="6" t="n">
        <v>46078</v>
      </c>
    </row>
    <row r="74">
      <c r="A74" s="2" t="inlineStr">
        <is>
          <t>STK-0073</t>
        </is>
      </c>
      <c r="B74" s="2" t="inlineStr">
        <is>
          <t>KAR/-010</t>
        </is>
      </c>
      <c r="C74" s="2" t="inlineStr">
        <is>
          <t>GEB-02</t>
        </is>
      </c>
      <c r="D74" s="5" t="n">
        <v>10</v>
      </c>
      <c r="E74" s="5" t="n">
        <v>0</v>
      </c>
      <c r="F74" s="5" t="n">
        <v>10</v>
      </c>
      <c r="G74" s="5" t="n">
        <v>2</v>
      </c>
      <c r="H74" s="5" t="n">
        <v>4</v>
      </c>
      <c r="I74" s="6" t="n">
        <v>46093</v>
      </c>
    </row>
    <row r="75">
      <c r="A75" s="2" t="inlineStr">
        <is>
          <t>STK-0074</t>
        </is>
      </c>
      <c r="B75" s="2" t="inlineStr">
        <is>
          <t>KAR/-011</t>
        </is>
      </c>
      <c r="C75" s="2" t="inlineStr">
        <is>
          <t>IST-01</t>
        </is>
      </c>
      <c r="D75" s="5" t="n">
        <v>6</v>
      </c>
      <c r="E75" s="5" t="n">
        <v>1</v>
      </c>
      <c r="F75" s="5" t="n">
        <v>5</v>
      </c>
      <c r="G75" s="5" t="n">
        <v>4</v>
      </c>
      <c r="H75" s="5" t="n">
        <v>11</v>
      </c>
      <c r="I75" s="6" t="n">
        <v>46079</v>
      </c>
    </row>
    <row r="76">
      <c r="A76" s="2" t="inlineStr">
        <is>
          <t>STK-0075</t>
        </is>
      </c>
      <c r="B76" s="2" t="inlineStr">
        <is>
          <t>KAR/-012</t>
        </is>
      </c>
      <c r="C76" s="2" t="inlineStr">
        <is>
          <t>IST-01</t>
        </is>
      </c>
      <c r="D76" s="5" t="n">
        <v>2</v>
      </c>
      <c r="E76" s="5" t="n">
        <v>0</v>
      </c>
      <c r="F76" s="5" t="n">
        <v>2</v>
      </c>
      <c r="G76" s="5" t="n">
        <v>4</v>
      </c>
      <c r="H76" s="5" t="n">
        <v>7</v>
      </c>
      <c r="I76" s="6" t="n">
        <v>46098</v>
      </c>
    </row>
    <row r="77">
      <c r="A77" s="2" t="inlineStr">
        <is>
          <t>STK-0076</t>
        </is>
      </c>
      <c r="B77" s="2" t="inlineStr">
        <is>
          <t>PROTAN-001</t>
        </is>
      </c>
      <c r="C77" s="2" t="inlineStr">
        <is>
          <t>MRS-03</t>
        </is>
      </c>
      <c r="D77" s="5" t="n">
        <v>9</v>
      </c>
      <c r="E77" s="5" t="n">
        <v>1</v>
      </c>
      <c r="F77" s="5" t="n">
        <v>8</v>
      </c>
      <c r="G77" s="5" t="n">
        <v>2</v>
      </c>
      <c r="H77" s="5" t="n">
        <v>5</v>
      </c>
      <c r="I77" s="6" t="n">
        <v>46096</v>
      </c>
    </row>
    <row r="78">
      <c r="A78" s="2" t="inlineStr">
        <is>
          <t>STK-0077</t>
        </is>
      </c>
      <c r="B78" s="2" t="inlineStr">
        <is>
          <t>PROTAN-002</t>
        </is>
      </c>
      <c r="C78" s="2" t="inlineStr">
        <is>
          <t>MRS-03</t>
        </is>
      </c>
      <c r="D78" s="5" t="n">
        <v>3</v>
      </c>
      <c r="E78" s="5" t="n">
        <v>1</v>
      </c>
      <c r="F78" s="5" t="n">
        <v>2</v>
      </c>
      <c r="G78" s="5" t="n">
        <v>1</v>
      </c>
      <c r="H78" s="5" t="n">
        <v>4</v>
      </c>
      <c r="I78" s="6" t="n">
        <v>46080</v>
      </c>
    </row>
    <row r="79">
      <c r="A79" s="2" t="inlineStr">
        <is>
          <t>STK-0078</t>
        </is>
      </c>
      <c r="B79" s="2" t="inlineStr">
        <is>
          <t>PROTAN-003</t>
        </is>
      </c>
      <c r="C79" s="2" t="inlineStr">
        <is>
          <t>GEB-02</t>
        </is>
      </c>
      <c r="D79" s="5" t="n">
        <v>5</v>
      </c>
      <c r="E79" s="5" t="n">
        <v>2</v>
      </c>
      <c r="F79" s="5" t="n">
        <v>3</v>
      </c>
      <c r="G79" s="5" t="n">
        <v>4</v>
      </c>
      <c r="H79" s="5" t="n">
        <v>6</v>
      </c>
      <c r="I79" s="6" t="n">
        <v>46093</v>
      </c>
    </row>
    <row r="80">
      <c r="A80" s="2" t="inlineStr">
        <is>
          <t>STK-0079</t>
        </is>
      </c>
      <c r="B80" s="2" t="inlineStr">
        <is>
          <t>PROTAN-004</t>
        </is>
      </c>
      <c r="C80" s="2" t="inlineStr">
        <is>
          <t>IST-01</t>
        </is>
      </c>
      <c r="D80" s="5" t="n">
        <v>6</v>
      </c>
      <c r="E80" s="5" t="n">
        <v>0</v>
      </c>
      <c r="F80" s="5" t="n">
        <v>6</v>
      </c>
      <c r="G80" s="5" t="n">
        <v>4</v>
      </c>
      <c r="H80" s="5" t="n">
        <v>7</v>
      </c>
      <c r="I80" s="6" t="n">
        <v>46096</v>
      </c>
    </row>
    <row r="81">
      <c r="A81" s="2" t="inlineStr">
        <is>
          <t>STK-0080</t>
        </is>
      </c>
      <c r="B81" s="2" t="inlineStr">
        <is>
          <t>PROTAN-005</t>
        </is>
      </c>
      <c r="C81" s="2" t="inlineStr">
        <is>
          <t>MRS-03</t>
        </is>
      </c>
      <c r="D81" s="5" t="n">
        <v>5</v>
      </c>
      <c r="E81" s="5" t="n">
        <v>1</v>
      </c>
      <c r="F81" s="5" t="n">
        <v>4</v>
      </c>
      <c r="G81" s="5" t="n">
        <v>1</v>
      </c>
      <c r="H81" s="5" t="n">
        <v>6</v>
      </c>
      <c r="I81" s="6" t="n">
        <v>46093</v>
      </c>
    </row>
    <row r="82">
      <c r="A82" s="2" t="inlineStr">
        <is>
          <t>STK-0081</t>
        </is>
      </c>
      <c r="B82" s="2" t="inlineStr">
        <is>
          <t>PROTAN-006</t>
        </is>
      </c>
      <c r="C82" s="2" t="inlineStr">
        <is>
          <t>IST-01</t>
        </is>
      </c>
      <c r="D82" s="5" t="n">
        <v>2</v>
      </c>
      <c r="E82" s="5" t="n">
        <v>1</v>
      </c>
      <c r="F82" s="5" t="n">
        <v>1</v>
      </c>
      <c r="G82" s="5" t="n">
        <v>2</v>
      </c>
      <c r="H82" s="5" t="n">
        <v>5</v>
      </c>
      <c r="I82" s="6" t="n">
        <v>46093</v>
      </c>
    </row>
    <row r="83">
      <c r="A83" s="2" t="inlineStr">
        <is>
          <t>STK-0082</t>
        </is>
      </c>
      <c r="B83" s="2" t="inlineStr">
        <is>
          <t>PROTAN-007</t>
        </is>
      </c>
      <c r="C83" s="2" t="inlineStr">
        <is>
          <t>MRS-03</t>
        </is>
      </c>
      <c r="D83" s="5" t="n">
        <v>9</v>
      </c>
      <c r="E83" s="5" t="n">
        <v>4</v>
      </c>
      <c r="F83" s="5" t="n">
        <v>5</v>
      </c>
      <c r="G83" s="5" t="n">
        <v>3</v>
      </c>
      <c r="H83" s="5" t="n">
        <v>9</v>
      </c>
      <c r="I83" s="6" t="n">
        <v>46090</v>
      </c>
    </row>
    <row r="84">
      <c r="A84" s="2" t="inlineStr">
        <is>
          <t>STK-0083</t>
        </is>
      </c>
      <c r="B84" s="2" t="inlineStr">
        <is>
          <t>PROTAN-008</t>
        </is>
      </c>
      <c r="C84" s="2" t="inlineStr">
        <is>
          <t>MRS-03</t>
        </is>
      </c>
      <c r="D84" s="5" t="n">
        <v>6</v>
      </c>
      <c r="E84" s="5" t="n">
        <v>2</v>
      </c>
      <c r="F84" s="5" t="n">
        <v>4</v>
      </c>
      <c r="G84" s="5" t="n">
        <v>2</v>
      </c>
      <c r="H84" s="5" t="n">
        <v>6</v>
      </c>
      <c r="I84" s="6" t="n">
        <v>46096</v>
      </c>
    </row>
    <row r="85">
      <c r="A85" s="2" t="inlineStr">
        <is>
          <t>STK-0084</t>
        </is>
      </c>
      <c r="B85" s="2" t="inlineStr">
        <is>
          <t>PROTAN-009</t>
        </is>
      </c>
      <c r="C85" s="2" t="inlineStr">
        <is>
          <t>IST-01</t>
        </is>
      </c>
      <c r="D85" s="5" t="n">
        <v>3</v>
      </c>
      <c r="E85" s="5" t="n">
        <v>1</v>
      </c>
      <c r="F85" s="5" t="n">
        <v>2</v>
      </c>
      <c r="G85" s="5" t="n">
        <v>1</v>
      </c>
      <c r="H85" s="5" t="n">
        <v>5</v>
      </c>
      <c r="I85" s="6" t="n">
        <v>46080</v>
      </c>
    </row>
    <row r="86">
      <c r="A86" s="2" t="inlineStr">
        <is>
          <t>STK-0085</t>
        </is>
      </c>
      <c r="B86" s="2" t="inlineStr">
        <is>
          <t>PROTAN-010</t>
        </is>
      </c>
      <c r="C86" s="2" t="inlineStr">
        <is>
          <t>GEB-02</t>
        </is>
      </c>
      <c r="D86" s="5" t="n">
        <v>6</v>
      </c>
      <c r="E86" s="5" t="n">
        <v>1</v>
      </c>
      <c r="F86" s="5" t="n">
        <v>5</v>
      </c>
      <c r="G86" s="5" t="n">
        <v>4</v>
      </c>
      <c r="H86" s="5" t="n">
        <v>6</v>
      </c>
      <c r="I86" s="6" t="n">
        <v>46091</v>
      </c>
    </row>
    <row r="87">
      <c r="A87" s="2" t="inlineStr">
        <is>
          <t>STK-0086</t>
        </is>
      </c>
      <c r="B87" s="2" t="inlineStr">
        <is>
          <t>YAREND-001</t>
        </is>
      </c>
      <c r="C87" s="2" t="inlineStr">
        <is>
          <t>IST-01</t>
        </is>
      </c>
      <c r="D87" s="5" t="n">
        <v>17</v>
      </c>
      <c r="E87" s="5" t="n">
        <v>3</v>
      </c>
      <c r="F87" s="5" t="n">
        <v>14</v>
      </c>
      <c r="G87" s="5" t="n">
        <v>25</v>
      </c>
      <c r="H87" s="5" t="n">
        <v>37</v>
      </c>
      <c r="I87" s="6" t="n">
        <v>46090</v>
      </c>
    </row>
    <row r="88">
      <c r="A88" s="2" t="inlineStr">
        <is>
          <t>STK-0087</t>
        </is>
      </c>
      <c r="B88" s="2" t="inlineStr">
        <is>
          <t>YAREND-002</t>
        </is>
      </c>
      <c r="C88" s="2" t="inlineStr">
        <is>
          <t>MRS-03</t>
        </is>
      </c>
      <c r="D88" s="5" t="n">
        <v>109</v>
      </c>
      <c r="E88" s="5" t="n">
        <v>19</v>
      </c>
      <c r="F88" s="5" t="n">
        <v>90</v>
      </c>
      <c r="G88" s="5" t="n">
        <v>13</v>
      </c>
      <c r="H88" s="5" t="n">
        <v>16</v>
      </c>
      <c r="I88" s="6" t="n">
        <v>46088</v>
      </c>
    </row>
    <row r="89">
      <c r="A89" s="2" t="inlineStr">
        <is>
          <t>STK-0088</t>
        </is>
      </c>
      <c r="B89" s="2" t="inlineStr">
        <is>
          <t>YAREND-003</t>
        </is>
      </c>
      <c r="C89" s="2" t="inlineStr">
        <is>
          <t>IST-01</t>
        </is>
      </c>
      <c r="D89" s="5" t="n">
        <v>117</v>
      </c>
      <c r="E89" s="5" t="n">
        <v>41</v>
      </c>
      <c r="F89" s="5" t="n">
        <v>76</v>
      </c>
      <c r="G89" s="5" t="n">
        <v>11</v>
      </c>
      <c r="H89" s="5" t="n">
        <v>15</v>
      </c>
      <c r="I89" s="6" t="n">
        <v>46082</v>
      </c>
    </row>
    <row r="90">
      <c r="A90" s="2" t="inlineStr">
        <is>
          <t>STK-0089</t>
        </is>
      </c>
      <c r="B90" s="2" t="inlineStr">
        <is>
          <t>YAREND-004</t>
        </is>
      </c>
      <c r="C90" s="2" t="inlineStr">
        <is>
          <t>MRS-03</t>
        </is>
      </c>
      <c r="D90" s="5" t="n">
        <v>139</v>
      </c>
      <c r="E90" s="5" t="n">
        <v>5</v>
      </c>
      <c r="F90" s="5" t="n">
        <v>134</v>
      </c>
      <c r="G90" s="5" t="n">
        <v>9</v>
      </c>
      <c r="H90" s="5" t="n">
        <v>11</v>
      </c>
      <c r="I90" s="6" t="n">
        <v>46086</v>
      </c>
    </row>
    <row r="91">
      <c r="A91" s="2" t="inlineStr">
        <is>
          <t>STK-0090</t>
        </is>
      </c>
      <c r="B91" s="2" t="inlineStr">
        <is>
          <t>YAREND-005</t>
        </is>
      </c>
      <c r="C91" s="2" t="inlineStr">
        <is>
          <t>GEB-02</t>
        </is>
      </c>
      <c r="D91" s="5" t="n">
        <v>38</v>
      </c>
      <c r="E91" s="5" t="n">
        <v>8</v>
      </c>
      <c r="F91" s="5" t="n">
        <v>30</v>
      </c>
      <c r="G91" s="5" t="n">
        <v>11</v>
      </c>
      <c r="H91" s="5" t="n">
        <v>13</v>
      </c>
      <c r="I91" s="6" t="n">
        <v>46093</v>
      </c>
    </row>
    <row r="92">
      <c r="A92" s="2" t="inlineStr">
        <is>
          <t>STK-0091</t>
        </is>
      </c>
      <c r="B92" s="2" t="inlineStr">
        <is>
          <t>YAREND-006</t>
        </is>
      </c>
      <c r="C92" s="2" t="inlineStr">
        <is>
          <t>GEB-02</t>
        </is>
      </c>
      <c r="D92" s="5" t="n">
        <v>66</v>
      </c>
      <c r="E92" s="5" t="n">
        <v>8</v>
      </c>
      <c r="F92" s="5" t="n">
        <v>58</v>
      </c>
      <c r="G92" s="5" t="n">
        <v>10</v>
      </c>
      <c r="H92" s="5" t="n">
        <v>14</v>
      </c>
      <c r="I92" s="6" t="n">
        <v>46087</v>
      </c>
    </row>
    <row r="93">
      <c r="A93" s="2" t="inlineStr">
        <is>
          <t>STK-0092</t>
        </is>
      </c>
      <c r="B93" s="2" t="inlineStr">
        <is>
          <t>YAREND-007</t>
        </is>
      </c>
      <c r="C93" s="2" t="inlineStr">
        <is>
          <t>IST-01</t>
        </is>
      </c>
      <c r="D93" s="5" t="n">
        <v>58</v>
      </c>
      <c r="E93" s="5" t="n">
        <v>24</v>
      </c>
      <c r="F93" s="5" t="n">
        <v>34</v>
      </c>
      <c r="G93" s="5" t="n">
        <v>27</v>
      </c>
      <c r="H93" s="5" t="n">
        <v>40</v>
      </c>
      <c r="I93" s="6" t="n">
        <v>46096</v>
      </c>
    </row>
    <row r="94">
      <c r="A94" s="2" t="inlineStr">
        <is>
          <t>STK-0093</t>
        </is>
      </c>
      <c r="B94" s="2" t="inlineStr">
        <is>
          <t>YAREND-008</t>
        </is>
      </c>
      <c r="C94" s="2" t="inlineStr">
        <is>
          <t>GEB-02</t>
        </is>
      </c>
      <c r="D94" s="5" t="n">
        <v>123</v>
      </c>
      <c r="E94" s="5" t="n">
        <v>1</v>
      </c>
      <c r="F94" s="5" t="n">
        <v>122</v>
      </c>
      <c r="G94" s="5" t="n">
        <v>12</v>
      </c>
      <c r="H94" s="5" t="n">
        <v>17</v>
      </c>
      <c r="I94" s="6" t="n">
        <v>46082</v>
      </c>
    </row>
    <row r="95">
      <c r="A95" s="2" t="inlineStr">
        <is>
          <t>STK-0094</t>
        </is>
      </c>
      <c r="B95" s="2" t="inlineStr">
        <is>
          <t>YAREND-009</t>
        </is>
      </c>
      <c r="C95" s="2" t="inlineStr">
        <is>
          <t>MRS-03</t>
        </is>
      </c>
      <c r="D95" s="5" t="n">
        <v>72</v>
      </c>
      <c r="E95" s="5" t="n">
        <v>5</v>
      </c>
      <c r="F95" s="5" t="n">
        <v>67</v>
      </c>
      <c r="G95" s="5" t="n">
        <v>28</v>
      </c>
      <c r="H95" s="5" t="n">
        <v>40</v>
      </c>
      <c r="I95" s="6" t="n">
        <v>46091</v>
      </c>
    </row>
    <row r="96">
      <c r="A96" s="2" t="inlineStr">
        <is>
          <t>STK-0095</t>
        </is>
      </c>
      <c r="B96" s="2" t="inlineStr">
        <is>
          <t>YAREND-010</t>
        </is>
      </c>
      <c r="C96" s="2" t="inlineStr">
        <is>
          <t>MRS-03</t>
        </is>
      </c>
      <c r="D96" s="5" t="n">
        <v>112</v>
      </c>
      <c r="E96" s="5" t="n">
        <v>10</v>
      </c>
      <c r="F96" s="5" t="n">
        <v>102</v>
      </c>
      <c r="G96" s="5" t="n">
        <v>36</v>
      </c>
      <c r="H96" s="5" t="n">
        <v>57</v>
      </c>
      <c r="I96" s="6" t="n">
        <v>46096</v>
      </c>
    </row>
    <row r="97">
      <c r="A97" s="2" t="inlineStr">
        <is>
          <t>STK-0096</t>
        </is>
      </c>
      <c r="B97" s="2" t="inlineStr">
        <is>
          <t>YAREND-011</t>
        </is>
      </c>
      <c r="C97" s="2" t="inlineStr">
        <is>
          <t>GEB-02</t>
        </is>
      </c>
      <c r="D97" s="5" t="n">
        <v>49</v>
      </c>
      <c r="E97" s="5" t="n">
        <v>9</v>
      </c>
      <c r="F97" s="5" t="n">
        <v>40</v>
      </c>
      <c r="G97" s="5" t="n">
        <v>15</v>
      </c>
      <c r="H97" s="5" t="n">
        <v>19</v>
      </c>
      <c r="I97" s="6" t="n">
        <v>46097</v>
      </c>
    </row>
    <row r="98">
      <c r="A98" s="2" t="inlineStr">
        <is>
          <t>STK-0097</t>
        </is>
      </c>
      <c r="B98" s="2" t="inlineStr">
        <is>
          <t>YAREND-012</t>
        </is>
      </c>
      <c r="C98" s="2" t="inlineStr">
        <is>
          <t>GEB-02</t>
        </is>
      </c>
      <c r="D98" s="5" t="n">
        <v>105</v>
      </c>
      <c r="E98" s="5" t="n">
        <v>22</v>
      </c>
      <c r="F98" s="5" t="n">
        <v>83</v>
      </c>
      <c r="G98" s="5" t="n">
        <v>21</v>
      </c>
      <c r="H98" s="5" t="n">
        <v>34</v>
      </c>
      <c r="I98" s="6" t="n">
        <v>46092</v>
      </c>
    </row>
    <row r="99">
      <c r="A99" s="2" t="inlineStr">
        <is>
          <t>STK-0098</t>
        </is>
      </c>
      <c r="B99" s="2" t="inlineStr">
        <is>
          <t>YAREND-013</t>
        </is>
      </c>
      <c r="C99" s="2" t="inlineStr">
        <is>
          <t>IST-01</t>
        </is>
      </c>
      <c r="D99" s="5" t="n">
        <v>56</v>
      </c>
      <c r="E99" s="5" t="n">
        <v>18</v>
      </c>
      <c r="F99" s="5" t="n">
        <v>38</v>
      </c>
      <c r="G99" s="5" t="n">
        <v>8</v>
      </c>
      <c r="H99" s="5" t="n">
        <v>15</v>
      </c>
      <c r="I99" s="6" t="n">
        <v>46078</v>
      </c>
    </row>
    <row r="100">
      <c r="A100" s="2" t="inlineStr">
        <is>
          <t>STK-0099</t>
        </is>
      </c>
      <c r="B100" s="2" t="inlineStr">
        <is>
          <t>YAREND-014</t>
        </is>
      </c>
      <c r="C100" s="2" t="inlineStr">
        <is>
          <t>GEB-02</t>
        </is>
      </c>
      <c r="D100" s="5" t="n">
        <v>65</v>
      </c>
      <c r="E100" s="5" t="n">
        <v>16</v>
      </c>
      <c r="F100" s="5" t="n">
        <v>49</v>
      </c>
      <c r="G100" s="5" t="n">
        <v>28</v>
      </c>
      <c r="H100" s="5" t="n">
        <v>44</v>
      </c>
      <c r="I100" s="6" t="n">
        <v>46081</v>
      </c>
    </row>
    <row r="101">
      <c r="A101" s="2" t="inlineStr">
        <is>
          <t>STK-0100</t>
        </is>
      </c>
      <c r="B101" s="2" t="inlineStr">
        <is>
          <t>YAREND-015</t>
        </is>
      </c>
      <c r="C101" s="2" t="inlineStr">
        <is>
          <t>MRS-03</t>
        </is>
      </c>
      <c r="D101" s="5" t="n">
        <v>140</v>
      </c>
      <c r="E101" s="5" t="n">
        <v>10</v>
      </c>
      <c r="F101" s="5" t="n">
        <v>130</v>
      </c>
      <c r="G101" s="5" t="n">
        <v>27</v>
      </c>
      <c r="H101" s="5" t="n">
        <v>43</v>
      </c>
      <c r="I101" s="6" t="n">
        <v>46095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7" customWidth="1" min="4" max="4"/>
    <col width="18" customWidth="1" min="5" max="5"/>
    <col width="13" customWidth="1" min="6" max="6"/>
    <col width="19" customWidth="1" min="7" max="7"/>
    <col width="14" customWidth="1" min="8" max="8"/>
    <col width="13" customWidth="1" min="9" max="9"/>
  </cols>
  <sheetData>
    <row r="1">
      <c r="A1" s="1" t="inlineStr">
        <is>
          <t>Tedarikci_Kodu</t>
        </is>
      </c>
      <c r="B1" s="1" t="inlineStr">
        <is>
          <t>Firma_Adi</t>
        </is>
      </c>
      <c r="C1" s="1" t="inlineStr">
        <is>
          <t>Ulke</t>
        </is>
      </c>
      <c r="D1" s="1" t="inlineStr">
        <is>
          <t>Kategori</t>
        </is>
      </c>
      <c r="E1" s="1" t="inlineStr">
        <is>
          <t>Odeme_Vadesi_Gun</t>
        </is>
      </c>
      <c r="F1" s="1" t="inlineStr">
        <is>
          <t>Para_Birimi</t>
        </is>
      </c>
      <c r="G1" s="1" t="inlineStr">
        <is>
          <t>Teslim_Suresi_Gun</t>
        </is>
      </c>
      <c r="H1" s="1" t="inlineStr">
        <is>
          <t>Kalite_Puani</t>
        </is>
      </c>
      <c r="I1" s="1" t="inlineStr">
        <is>
          <t>Aktif_Pasif</t>
        </is>
      </c>
    </row>
    <row r="2">
      <c r="A2" s="2" t="inlineStr">
        <is>
          <t>TED-001</t>
        </is>
      </c>
      <c r="B2" s="2" t="inlineStr">
        <is>
          <t>Tekno Flanş SRL</t>
        </is>
      </c>
      <c r="C2" s="2" t="inlineStr">
        <is>
          <t>Polonya</t>
        </is>
      </c>
      <c r="D2" s="2" t="inlineStr">
        <is>
          <t>Flans</t>
        </is>
      </c>
      <c r="E2" s="5" t="n">
        <v>15</v>
      </c>
      <c r="F2" s="2" t="inlineStr">
        <is>
          <t>EUR</t>
        </is>
      </c>
      <c r="G2" s="5" t="n">
        <v>34</v>
      </c>
      <c r="H2" s="2" t="n">
        <v>3.96</v>
      </c>
      <c r="I2" s="2" t="inlineStr">
        <is>
          <t>Aktif</t>
        </is>
      </c>
    </row>
    <row r="3">
      <c r="A3" s="2" t="inlineStr">
        <is>
          <t>TED-002</t>
        </is>
      </c>
      <c r="B3" s="2" t="inlineStr">
        <is>
          <t>Orbit Process Metals SRL</t>
        </is>
      </c>
      <c r="C3" s="2" t="inlineStr">
        <is>
          <t>Hindistan</t>
        </is>
      </c>
      <c r="D3" s="2" t="inlineStr">
        <is>
          <t>Celik Govde</t>
        </is>
      </c>
      <c r="E3" s="5" t="n">
        <v>60</v>
      </c>
      <c r="F3" s="2" t="inlineStr">
        <is>
          <t>TRY</t>
        </is>
      </c>
      <c r="G3" s="5" t="n">
        <v>26</v>
      </c>
      <c r="H3" s="2" t="n">
        <v>4.86</v>
      </c>
      <c r="I3" s="2" t="inlineStr">
        <is>
          <t>Pasif</t>
        </is>
      </c>
    </row>
    <row r="4">
      <c r="A4" s="2" t="inlineStr">
        <is>
          <t>TED-003</t>
        </is>
      </c>
      <c r="B4" s="2" t="inlineStr">
        <is>
          <t>Tekno Flanş GmbH</t>
        </is>
      </c>
      <c r="C4" s="2" t="inlineStr">
        <is>
          <t>Hindistan</t>
        </is>
      </c>
      <c r="D4" s="2" t="inlineStr">
        <is>
          <t>Elektrik Motoru</t>
        </is>
      </c>
      <c r="E4" s="5" t="n">
        <v>60</v>
      </c>
      <c r="F4" s="2" t="inlineStr">
        <is>
          <t>EUR</t>
        </is>
      </c>
      <c r="G4" s="5" t="n">
        <v>13</v>
      </c>
      <c r="H4" s="2" t="n">
        <v>4.39</v>
      </c>
      <c r="I4" s="2" t="inlineStr">
        <is>
          <t>Aktif</t>
        </is>
      </c>
    </row>
    <row r="5">
      <c r="A5" s="2" t="inlineStr">
        <is>
          <t>TED-004</t>
        </is>
      </c>
      <c r="B5" s="2" t="inlineStr">
        <is>
          <t>Marmara Sealtech Ltd.</t>
        </is>
      </c>
      <c r="C5" s="2" t="inlineStr">
        <is>
          <t>Hindistan</t>
        </is>
      </c>
      <c r="D5" s="2" t="inlineStr">
        <is>
          <t>Elektrik Motoru</t>
        </is>
      </c>
      <c r="E5" s="5" t="n">
        <v>30</v>
      </c>
      <c r="F5" s="2" t="inlineStr">
        <is>
          <t>USD</t>
        </is>
      </c>
      <c r="G5" s="5" t="n">
        <v>24</v>
      </c>
      <c r="H5" s="2" t="n">
        <v>4.61</v>
      </c>
      <c r="I5" s="2" t="inlineStr">
        <is>
          <t>Aktif</t>
        </is>
      </c>
    </row>
    <row r="6">
      <c r="A6" s="2" t="inlineStr">
        <is>
          <t>TED-005</t>
        </is>
      </c>
      <c r="B6" s="2" t="inlineStr">
        <is>
          <t>Net Valve Components Ltd.</t>
        </is>
      </c>
      <c r="C6" s="2" t="inlineStr">
        <is>
          <t>Almanya</t>
        </is>
      </c>
      <c r="D6" s="2" t="inlineStr">
        <is>
          <t>Mil ve Yatak</t>
        </is>
      </c>
      <c r="E6" s="5" t="n">
        <v>15</v>
      </c>
      <c r="F6" s="2" t="inlineStr">
        <is>
          <t>EUR</t>
        </is>
      </c>
      <c r="G6" s="5" t="n">
        <v>22</v>
      </c>
      <c r="H6" s="2" t="n">
        <v>4.46</v>
      </c>
      <c r="I6" s="2" t="inlineStr">
        <is>
          <t>Aktif</t>
        </is>
      </c>
    </row>
    <row r="7">
      <c r="A7" s="2" t="inlineStr">
        <is>
          <t>TED-006</t>
        </is>
      </c>
      <c r="B7" s="2" t="inlineStr">
        <is>
          <t>Delta Kompozit GmbH</t>
        </is>
      </c>
      <c r="C7" s="2" t="inlineStr">
        <is>
          <t>Hindistan</t>
        </is>
      </c>
      <c r="D7" s="2" t="inlineStr">
        <is>
          <t>Elektrik Motoru</t>
        </is>
      </c>
      <c r="E7" s="5" t="n">
        <v>60</v>
      </c>
      <c r="F7" s="2" t="inlineStr">
        <is>
          <t>TRY</t>
        </is>
      </c>
      <c r="G7" s="5" t="n">
        <v>7</v>
      </c>
      <c r="H7" s="2" t="n">
        <v>3.45</v>
      </c>
      <c r="I7" s="2" t="inlineStr">
        <is>
          <t>Aktif</t>
        </is>
      </c>
    </row>
    <row r="8">
      <c r="A8" s="2" t="inlineStr">
        <is>
          <t>TED-007</t>
        </is>
      </c>
      <c r="B8" s="2" t="inlineStr">
        <is>
          <t>Anadolu Paslanmaz GmbH</t>
        </is>
      </c>
      <c r="C8" s="2" t="inlineStr">
        <is>
          <t>Turkiye</t>
        </is>
      </c>
      <c r="D8" s="2" t="inlineStr">
        <is>
          <t>Mil ve Yatak</t>
        </is>
      </c>
      <c r="E8" s="5" t="n">
        <v>45</v>
      </c>
      <c r="F8" s="2" t="inlineStr">
        <is>
          <t>USD</t>
        </is>
      </c>
      <c r="G8" s="5" t="n">
        <v>32</v>
      </c>
      <c r="H8" s="2" t="n">
        <v>3.62</v>
      </c>
      <c r="I8" s="2" t="inlineStr">
        <is>
          <t>Aktif</t>
        </is>
      </c>
    </row>
    <row r="9">
      <c r="A9" s="2" t="inlineStr">
        <is>
          <t>TED-008</t>
        </is>
      </c>
      <c r="B9" s="2" t="inlineStr">
        <is>
          <t>Delta Kompozit SRL</t>
        </is>
      </c>
      <c r="C9" s="2" t="inlineStr">
        <is>
          <t>Polonya</t>
        </is>
      </c>
      <c r="D9" s="2" t="inlineStr">
        <is>
          <t>Conta</t>
        </is>
      </c>
      <c r="E9" s="5" t="n">
        <v>15</v>
      </c>
      <c r="F9" s="2" t="inlineStr">
        <is>
          <t>TRY</t>
        </is>
      </c>
      <c r="G9" s="5" t="n">
        <v>41</v>
      </c>
      <c r="H9" s="2" t="n">
        <v>3.62</v>
      </c>
      <c r="I9" s="2" t="inlineStr">
        <is>
          <t>Aktif</t>
        </is>
      </c>
    </row>
    <row r="10">
      <c r="A10" s="2" t="inlineStr">
        <is>
          <t>TED-009</t>
        </is>
      </c>
      <c r="B10" s="2" t="inlineStr">
        <is>
          <t>Bosphorus Casting SRL</t>
        </is>
      </c>
      <c r="C10" s="2" t="inlineStr">
        <is>
          <t>Turkiye</t>
        </is>
      </c>
      <c r="D10" s="2" t="inlineStr">
        <is>
          <t>Celik Govde</t>
        </is>
      </c>
      <c r="E10" s="5" t="n">
        <v>60</v>
      </c>
      <c r="F10" s="2" t="inlineStr">
        <is>
          <t>USD</t>
        </is>
      </c>
      <c r="G10" s="5" t="n">
        <v>9</v>
      </c>
      <c r="H10" s="2" t="n">
        <v>3.74</v>
      </c>
      <c r="I10" s="2" t="inlineStr">
        <is>
          <t>Aktif</t>
        </is>
      </c>
    </row>
    <row r="11">
      <c r="A11" s="2" t="inlineStr">
        <is>
          <t>TED-010</t>
        </is>
      </c>
      <c r="B11" s="2" t="inlineStr">
        <is>
          <t>Net Valve Components Ltd.</t>
        </is>
      </c>
      <c r="C11" s="2" t="inlineStr">
        <is>
          <t>Almanya</t>
        </is>
      </c>
      <c r="D11" s="2" t="inlineStr">
        <is>
          <t>Conta</t>
        </is>
      </c>
      <c r="E11" s="5" t="n">
        <v>15</v>
      </c>
      <c r="F11" s="2" t="inlineStr">
        <is>
          <t>EUR</t>
        </is>
      </c>
      <c r="G11" s="5" t="n">
        <v>43</v>
      </c>
      <c r="H11" s="2" t="n">
        <v>4.49</v>
      </c>
      <c r="I11" s="2" t="inlineStr">
        <is>
          <t>Aktif</t>
        </is>
      </c>
    </row>
    <row r="12">
      <c r="A12" s="2" t="inlineStr">
        <is>
          <t>TED-011</t>
        </is>
      </c>
      <c r="B12" s="2" t="inlineStr">
        <is>
          <t>Aksis Mekanik A.S.</t>
        </is>
      </c>
      <c r="C12" s="2" t="inlineStr">
        <is>
          <t>Hindistan</t>
        </is>
      </c>
      <c r="D12" s="2" t="inlineStr">
        <is>
          <t>Aktuator</t>
        </is>
      </c>
      <c r="E12" s="5" t="n">
        <v>30</v>
      </c>
      <c r="F12" s="2" t="inlineStr">
        <is>
          <t>USD</t>
        </is>
      </c>
      <c r="G12" s="5" t="n">
        <v>38</v>
      </c>
      <c r="H12" s="2" t="n">
        <v>4.49</v>
      </c>
      <c r="I12" s="2" t="inlineStr">
        <is>
          <t>Aktif</t>
        </is>
      </c>
    </row>
    <row r="13">
      <c r="A13" s="2" t="inlineStr">
        <is>
          <t>TED-012</t>
        </is>
      </c>
      <c r="B13" s="2" t="inlineStr">
        <is>
          <t>Delta Kompozit Ltd.</t>
        </is>
      </c>
      <c r="C13" s="2" t="inlineStr">
        <is>
          <t>Polonya</t>
        </is>
      </c>
      <c r="D13" s="2" t="inlineStr">
        <is>
          <t>Aktuator</t>
        </is>
      </c>
      <c r="E13" s="5" t="n">
        <v>15</v>
      </c>
      <c r="F13" s="2" t="inlineStr">
        <is>
          <t>EUR</t>
        </is>
      </c>
      <c r="G13" s="5" t="n">
        <v>20</v>
      </c>
      <c r="H13" s="2" t="n">
        <v>3.42</v>
      </c>
      <c r="I13" s="2" t="inlineStr">
        <is>
          <t>Aktif</t>
        </is>
      </c>
    </row>
    <row r="14">
      <c r="A14" s="2" t="inlineStr">
        <is>
          <t>TED-013</t>
        </is>
      </c>
      <c r="B14" s="2" t="inlineStr">
        <is>
          <t>Marmara Sealtech SRL</t>
        </is>
      </c>
      <c r="C14" s="2" t="inlineStr">
        <is>
          <t>Italya</t>
        </is>
      </c>
      <c r="D14" s="2" t="inlineStr">
        <is>
          <t>Mil ve Yatak</t>
        </is>
      </c>
      <c r="E14" s="5" t="n">
        <v>45</v>
      </c>
      <c r="F14" s="2" t="inlineStr">
        <is>
          <t>TRY</t>
        </is>
      </c>
      <c r="G14" s="5" t="n">
        <v>11</v>
      </c>
      <c r="H14" s="2" t="n">
        <v>3.82</v>
      </c>
      <c r="I14" s="2" t="inlineStr">
        <is>
          <t>Aktif</t>
        </is>
      </c>
    </row>
    <row r="15">
      <c r="A15" s="2" t="inlineStr">
        <is>
          <t>TED-014</t>
        </is>
      </c>
      <c r="B15" s="2" t="inlineStr">
        <is>
          <t>Net Valve Components Ltd.</t>
        </is>
      </c>
      <c r="C15" s="2" t="inlineStr">
        <is>
          <t>Cin</t>
        </is>
      </c>
      <c r="D15" s="2" t="inlineStr">
        <is>
          <t>Mil ve Yatak</t>
        </is>
      </c>
      <c r="E15" s="5" t="n">
        <v>15</v>
      </c>
      <c r="F15" s="2" t="inlineStr">
        <is>
          <t>USD</t>
        </is>
      </c>
      <c r="G15" s="5" t="n">
        <v>39</v>
      </c>
      <c r="H15" s="2" t="n">
        <v>4.25</v>
      </c>
      <c r="I15" s="2" t="inlineStr">
        <is>
          <t>Pasif</t>
        </is>
      </c>
    </row>
    <row r="16">
      <c r="A16" s="2" t="inlineStr">
        <is>
          <t>TED-015</t>
        </is>
      </c>
      <c r="B16" s="2" t="inlineStr">
        <is>
          <t>Eksen Otomasyon A.S.</t>
        </is>
      </c>
      <c r="C16" s="2" t="inlineStr">
        <is>
          <t>Hindistan</t>
        </is>
      </c>
      <c r="D16" s="2" t="inlineStr">
        <is>
          <t>Aktuator</t>
        </is>
      </c>
      <c r="E16" s="5" t="n">
        <v>60</v>
      </c>
      <c r="F16" s="2" t="inlineStr">
        <is>
          <t>EUR</t>
        </is>
      </c>
      <c r="G16" s="5" t="n">
        <v>27</v>
      </c>
      <c r="H16" s="2" t="n">
        <v>4.24</v>
      </c>
      <c r="I16" s="2" t="inlineStr">
        <is>
          <t>Aktif</t>
        </is>
      </c>
    </row>
    <row r="17">
      <c r="A17" s="2" t="inlineStr">
        <is>
          <t>TED-016</t>
        </is>
      </c>
      <c r="B17" s="2" t="inlineStr">
        <is>
          <t>Net Valve Components SRL</t>
        </is>
      </c>
      <c r="C17" s="2" t="inlineStr">
        <is>
          <t>Hindistan</t>
        </is>
      </c>
      <c r="D17" s="2" t="inlineStr">
        <is>
          <t>Conta</t>
        </is>
      </c>
      <c r="E17" s="5" t="n">
        <v>60</v>
      </c>
      <c r="F17" s="2" t="inlineStr">
        <is>
          <t>EUR</t>
        </is>
      </c>
      <c r="G17" s="5" t="n">
        <v>9</v>
      </c>
      <c r="H17" s="2" t="n">
        <v>4.68</v>
      </c>
      <c r="I17" s="2" t="inlineStr">
        <is>
          <t>Aktif</t>
        </is>
      </c>
    </row>
    <row r="18">
      <c r="A18" s="2" t="inlineStr">
        <is>
          <t>TED-017</t>
        </is>
      </c>
      <c r="B18" s="2" t="inlineStr">
        <is>
          <t>Net Valve Components Ltd.</t>
        </is>
      </c>
      <c r="C18" s="2" t="inlineStr">
        <is>
          <t>Cin</t>
        </is>
      </c>
      <c r="D18" s="2" t="inlineStr">
        <is>
          <t>Conta</t>
        </is>
      </c>
      <c r="E18" s="5" t="n">
        <v>45</v>
      </c>
      <c r="F18" s="2" t="inlineStr">
        <is>
          <t>EUR</t>
        </is>
      </c>
      <c r="G18" s="5" t="n">
        <v>20</v>
      </c>
      <c r="H18" s="2" t="n">
        <v>4.36</v>
      </c>
      <c r="I18" s="2" t="inlineStr">
        <is>
          <t>Aktif</t>
        </is>
      </c>
    </row>
    <row r="19">
      <c r="A19" s="2" t="inlineStr">
        <is>
          <t>TED-018</t>
        </is>
      </c>
      <c r="B19" s="2" t="inlineStr">
        <is>
          <t>Eksen Otomasyon GmbH</t>
        </is>
      </c>
      <c r="C19" s="2" t="inlineStr">
        <is>
          <t>Cin</t>
        </is>
      </c>
      <c r="D19" s="2" t="inlineStr">
        <is>
          <t>Flans</t>
        </is>
      </c>
      <c r="E19" s="5" t="n">
        <v>45</v>
      </c>
      <c r="F19" s="2" t="inlineStr">
        <is>
          <t>TRY</t>
        </is>
      </c>
      <c r="G19" s="5" t="n">
        <v>15</v>
      </c>
      <c r="H19" s="2" t="n">
        <v>3.67</v>
      </c>
      <c r="I19" s="2" t="inlineStr">
        <is>
          <t>Pasif</t>
        </is>
      </c>
    </row>
    <row r="20">
      <c r="A20" s="2" t="inlineStr">
        <is>
          <t>TED-019</t>
        </is>
      </c>
      <c r="B20" s="2" t="inlineStr">
        <is>
          <t>Kuzey Motor Ltd.</t>
        </is>
      </c>
      <c r="C20" s="2" t="inlineStr">
        <is>
          <t>Cin</t>
        </is>
      </c>
      <c r="D20" s="2" t="inlineStr">
        <is>
          <t>Aktuator</t>
        </is>
      </c>
      <c r="E20" s="5" t="n">
        <v>60</v>
      </c>
      <c r="F20" s="2" t="inlineStr">
        <is>
          <t>USD</t>
        </is>
      </c>
      <c r="G20" s="5" t="n">
        <v>8</v>
      </c>
      <c r="H20" s="2" t="n">
        <v>3.71</v>
      </c>
      <c r="I20" s="2" t="inlineStr">
        <is>
          <t>Aktif</t>
        </is>
      </c>
    </row>
    <row r="21">
      <c r="A21" s="2" t="inlineStr">
        <is>
          <t>TED-020</t>
        </is>
      </c>
      <c r="B21" s="2" t="inlineStr">
        <is>
          <t>Anadolu Paslanmaz SRL</t>
        </is>
      </c>
      <c r="C21" s="2" t="inlineStr">
        <is>
          <t>Polonya</t>
        </is>
      </c>
      <c r="D21" s="2" t="inlineStr">
        <is>
          <t>Elektrik Motoru</t>
        </is>
      </c>
      <c r="E21" s="5" t="n">
        <v>45</v>
      </c>
      <c r="F21" s="2" t="inlineStr">
        <is>
          <t>EUR</t>
        </is>
      </c>
      <c r="G21" s="5" t="n">
        <v>22</v>
      </c>
      <c r="H21" s="2" t="n">
        <v>3.99</v>
      </c>
      <c r="I21" s="2" t="inlineStr">
        <is>
          <t>Aktif</t>
        </is>
      </c>
    </row>
    <row r="22">
      <c r="A22" s="2" t="inlineStr">
        <is>
          <t>TED-021</t>
        </is>
      </c>
      <c r="B22" s="2" t="inlineStr">
        <is>
          <t>Net Valve Components Ltd.</t>
        </is>
      </c>
      <c r="C22" s="2" t="inlineStr">
        <is>
          <t>Hindistan</t>
        </is>
      </c>
      <c r="D22" s="2" t="inlineStr">
        <is>
          <t>Elektrik Motoru</t>
        </is>
      </c>
      <c r="E22" s="5" t="n">
        <v>15</v>
      </c>
      <c r="F22" s="2" t="inlineStr">
        <is>
          <t>EUR</t>
        </is>
      </c>
      <c r="G22" s="5" t="n">
        <v>12</v>
      </c>
      <c r="H22" s="2" t="n">
        <v>3.71</v>
      </c>
      <c r="I22" s="2" t="inlineStr">
        <is>
          <t>Aktif</t>
        </is>
      </c>
    </row>
    <row r="23">
      <c r="A23" s="2" t="inlineStr">
        <is>
          <t>TED-022</t>
        </is>
      </c>
      <c r="B23" s="2" t="inlineStr">
        <is>
          <t>Sarnic Endustri SRL</t>
        </is>
      </c>
      <c r="C23" s="2" t="inlineStr">
        <is>
          <t>Polonya</t>
        </is>
      </c>
      <c r="D23" s="2" t="inlineStr">
        <is>
          <t>Aktuator</t>
        </is>
      </c>
      <c r="E23" s="5" t="n">
        <v>45</v>
      </c>
      <c r="F23" s="2" t="inlineStr">
        <is>
          <t>TRY</t>
        </is>
      </c>
      <c r="G23" s="5" t="n">
        <v>43</v>
      </c>
      <c r="H23" s="2" t="n">
        <v>4.35</v>
      </c>
      <c r="I23" s="2" t="inlineStr">
        <is>
          <t>Aktif</t>
        </is>
      </c>
    </row>
    <row r="24">
      <c r="A24" s="2" t="inlineStr">
        <is>
          <t>TED-023</t>
        </is>
      </c>
      <c r="B24" s="2" t="inlineStr">
        <is>
          <t>Novatek Conta SRL</t>
        </is>
      </c>
      <c r="C24" s="2" t="inlineStr">
        <is>
          <t>Italya</t>
        </is>
      </c>
      <c r="D24" s="2" t="inlineStr">
        <is>
          <t>Aktuator</t>
        </is>
      </c>
      <c r="E24" s="5" t="n">
        <v>30</v>
      </c>
      <c r="F24" s="2" t="inlineStr">
        <is>
          <t>TRY</t>
        </is>
      </c>
      <c r="G24" s="5" t="n">
        <v>26</v>
      </c>
      <c r="H24" s="2" t="n">
        <v>4.59</v>
      </c>
      <c r="I24" s="2" t="inlineStr">
        <is>
          <t>Aktif</t>
        </is>
      </c>
    </row>
    <row r="25">
      <c r="A25" s="2" t="inlineStr">
        <is>
          <t>TED-024</t>
        </is>
      </c>
      <c r="B25" s="2" t="inlineStr">
        <is>
          <t>Sarnic Endustri Ltd.</t>
        </is>
      </c>
      <c r="C25" s="2" t="inlineStr">
        <is>
          <t>Italya</t>
        </is>
      </c>
      <c r="D25" s="2" t="inlineStr">
        <is>
          <t>Aktuator</t>
        </is>
      </c>
      <c r="E25" s="5" t="n">
        <v>30</v>
      </c>
      <c r="F25" s="2" t="inlineStr">
        <is>
          <t>TRY</t>
        </is>
      </c>
      <c r="G25" s="5" t="n">
        <v>35</v>
      </c>
      <c r="H25" s="2" t="n">
        <v>4.18</v>
      </c>
      <c r="I25" s="2" t="inlineStr">
        <is>
          <t>Aktif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Tarih</t>
        </is>
      </c>
      <c r="B1" s="1" t="inlineStr">
        <is>
          <t>USD_TRY</t>
        </is>
      </c>
      <c r="C1" s="1" t="inlineStr">
        <is>
          <t>EUR_TRY</t>
        </is>
      </c>
      <c r="D1" s="1" t="inlineStr">
        <is>
          <t>EUR_USD</t>
        </is>
      </c>
    </row>
    <row r="2">
      <c r="A2" s="6" t="n">
        <v>45383</v>
      </c>
      <c r="B2" s="3" t="n">
        <v>28.9123</v>
      </c>
      <c r="C2" s="3" t="n">
        <v>31.1175</v>
      </c>
      <c r="D2" s="3" t="n">
        <v>1.0763</v>
      </c>
    </row>
    <row r="3">
      <c r="A3" s="6" t="n">
        <v>45413</v>
      </c>
      <c r="B3" s="3" t="n">
        <v>29.5546</v>
      </c>
      <c r="C3" s="3" t="n">
        <v>30.9763</v>
      </c>
      <c r="D3" s="3" t="n">
        <v>1.0481</v>
      </c>
    </row>
    <row r="4">
      <c r="A4" s="6" t="n">
        <v>45444</v>
      </c>
      <c r="B4" s="3" t="n">
        <v>30.3742</v>
      </c>
      <c r="C4" s="3" t="n">
        <v>31.2908</v>
      </c>
      <c r="D4" s="3" t="n">
        <v>1.0302</v>
      </c>
    </row>
    <row r="5">
      <c r="A5" s="6" t="n">
        <v>45474</v>
      </c>
      <c r="B5" s="3" t="n">
        <v>30.9914</v>
      </c>
      <c r="C5" s="3" t="n">
        <v>32.4682</v>
      </c>
      <c r="D5" s="3" t="n">
        <v>1.0477</v>
      </c>
    </row>
    <row r="6">
      <c r="A6" s="6" t="n">
        <v>45505</v>
      </c>
      <c r="B6" s="3" t="n">
        <v>31.9282</v>
      </c>
      <c r="C6" s="3" t="n">
        <v>33.6296</v>
      </c>
      <c r="D6" s="3" t="n">
        <v>1.0533</v>
      </c>
    </row>
    <row r="7">
      <c r="A7" s="6" t="n">
        <v>45536</v>
      </c>
      <c r="B7" s="3" t="n">
        <v>32.9966</v>
      </c>
      <c r="C7" s="3" t="n">
        <v>35.557</v>
      </c>
      <c r="D7" s="3" t="n">
        <v>1.0776</v>
      </c>
    </row>
    <row r="8">
      <c r="A8" s="6" t="n">
        <v>45566</v>
      </c>
      <c r="B8" s="3" t="n">
        <v>33.413</v>
      </c>
      <c r="C8" s="3" t="n">
        <v>36.8084</v>
      </c>
      <c r="D8" s="3" t="n">
        <v>1.1016</v>
      </c>
    </row>
    <row r="9">
      <c r="A9" s="6" t="n">
        <v>45597</v>
      </c>
      <c r="B9" s="3" t="n">
        <v>34.1537</v>
      </c>
      <c r="C9" s="3" t="n">
        <v>37.6946</v>
      </c>
      <c r="D9" s="3" t="n">
        <v>1.1037</v>
      </c>
    </row>
    <row r="10">
      <c r="A10" s="6" t="n">
        <v>45627</v>
      </c>
      <c r="B10" s="3" t="n">
        <v>34.31</v>
      </c>
      <c r="C10" s="3" t="n">
        <v>38.3302</v>
      </c>
      <c r="D10" s="3" t="n">
        <v>1.1172</v>
      </c>
    </row>
    <row r="11">
      <c r="A11" s="6" t="n">
        <v>45658</v>
      </c>
      <c r="B11" s="3" t="n">
        <v>34.6821</v>
      </c>
      <c r="C11" s="3" t="n">
        <v>39.0191</v>
      </c>
      <c r="D11" s="3" t="n">
        <v>1.1251</v>
      </c>
    </row>
    <row r="12">
      <c r="A12" s="6" t="n">
        <v>45689</v>
      </c>
      <c r="B12" s="3" t="n">
        <v>35.6036</v>
      </c>
      <c r="C12" s="3" t="n">
        <v>39.8239</v>
      </c>
      <c r="D12" s="3" t="n">
        <v>1.1185</v>
      </c>
    </row>
    <row r="13">
      <c r="A13" s="6" t="n">
        <v>45717</v>
      </c>
      <c r="B13" s="3" t="n">
        <v>36.3553</v>
      </c>
      <c r="C13" s="3" t="n">
        <v>41.5529</v>
      </c>
      <c r="D13" s="3" t="n">
        <v>1.143</v>
      </c>
    </row>
    <row r="14">
      <c r="A14" s="6" t="n">
        <v>45748</v>
      </c>
      <c r="B14" s="3" t="n">
        <v>37.3918</v>
      </c>
      <c r="C14" s="3" t="n">
        <v>43.2101</v>
      </c>
      <c r="D14" s="3" t="n">
        <v>1.1556</v>
      </c>
    </row>
    <row r="15">
      <c r="A15" s="6" t="n">
        <v>45778</v>
      </c>
      <c r="B15" s="3" t="n">
        <v>38.4022</v>
      </c>
      <c r="C15" s="3" t="n">
        <v>44.5006</v>
      </c>
      <c r="D15" s="3" t="n">
        <v>1.1588</v>
      </c>
    </row>
    <row r="16">
      <c r="A16" s="6" t="n">
        <v>45809</v>
      </c>
      <c r="B16" s="3" t="n">
        <v>39.3398</v>
      </c>
      <c r="C16" s="3" t="n">
        <v>44.4484</v>
      </c>
      <c r="D16" s="3" t="n">
        <v>1.1299</v>
      </c>
    </row>
    <row r="17">
      <c r="A17" s="6" t="n">
        <v>45839</v>
      </c>
      <c r="B17" s="3" t="n">
        <v>40.0392</v>
      </c>
      <c r="C17" s="3" t="n">
        <v>45.5246</v>
      </c>
      <c r="D17" s="3" t="n">
        <v>1.137</v>
      </c>
    </row>
    <row r="18">
      <c r="A18" s="6" t="n">
        <v>45870</v>
      </c>
      <c r="B18" s="3" t="n">
        <v>40.7397</v>
      </c>
      <c r="C18" s="3" t="n">
        <v>45.7674</v>
      </c>
      <c r="D18" s="3" t="n">
        <v>1.1234</v>
      </c>
    </row>
    <row r="19">
      <c r="A19" s="6" t="n">
        <v>45901</v>
      </c>
      <c r="B19" s="3" t="n">
        <v>41.4462</v>
      </c>
      <c r="C19" s="3" t="n">
        <v>46.9506</v>
      </c>
      <c r="D19" s="3" t="n">
        <v>1.1328</v>
      </c>
    </row>
    <row r="20">
      <c r="A20" s="6" t="n">
        <v>45931</v>
      </c>
      <c r="B20" s="3" t="n">
        <v>41.8464</v>
      </c>
      <c r="C20" s="3" t="n">
        <v>47.1044</v>
      </c>
      <c r="D20" s="3" t="n">
        <v>1.1257</v>
      </c>
    </row>
    <row r="21">
      <c r="A21" s="6" t="n">
        <v>45962</v>
      </c>
      <c r="B21" s="3" t="n">
        <v>42.5486</v>
      </c>
      <c r="C21" s="3" t="n">
        <v>47.3613</v>
      </c>
      <c r="D21" s="3" t="n">
        <v>1.1131</v>
      </c>
    </row>
    <row r="22">
      <c r="A22" s="6" t="n">
        <v>45992</v>
      </c>
      <c r="B22" s="3" t="n">
        <v>43.3464</v>
      </c>
      <c r="C22" s="3" t="n">
        <v>47.0283</v>
      </c>
      <c r="D22" s="3" t="n">
        <v>1.0849</v>
      </c>
    </row>
    <row r="23">
      <c r="A23" s="6" t="n">
        <v>46023</v>
      </c>
      <c r="B23" s="3" t="n">
        <v>44.3536</v>
      </c>
      <c r="C23" s="3" t="n">
        <v>48.5137</v>
      </c>
      <c r="D23" s="3" t="n">
        <v>1.0938</v>
      </c>
    </row>
    <row r="24">
      <c r="A24" s="6" t="n">
        <v>46054</v>
      </c>
      <c r="B24" s="3" t="n">
        <v>45.2328</v>
      </c>
      <c r="C24" s="3" t="n">
        <v>48.2026</v>
      </c>
      <c r="D24" s="3" t="n">
        <v>1.0657</v>
      </c>
    </row>
    <row r="25">
      <c r="A25" s="6" t="n">
        <v>46082</v>
      </c>
      <c r="B25" s="3" t="n">
        <v>46.1158</v>
      </c>
      <c r="C25" s="3" t="n">
        <v>49.1398</v>
      </c>
      <c r="D25" s="3" t="n">
        <v>1.0656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24" customWidth="1" min="4" max="4"/>
    <col width="22" customWidth="1" min="5" max="5"/>
    <col width="12" customWidth="1" min="6" max="6"/>
    <col width="20" customWidth="1" min="7" max="7"/>
    <col width="21" customWidth="1" min="8" max="8"/>
  </cols>
  <sheetData>
    <row r="1">
      <c r="A1" s="1" t="inlineStr">
        <is>
          <t>Ulke</t>
        </is>
      </c>
      <c r="B1" s="1" t="inlineStr">
        <is>
          <t>Bolge</t>
        </is>
      </c>
      <c r="C1" s="1" t="inlineStr">
        <is>
          <t>Varsayilan_Incoterm</t>
        </is>
      </c>
      <c r="D1" s="1" t="inlineStr">
        <is>
          <t>Varsayilan_Tasima_Turu</t>
        </is>
      </c>
      <c r="E1" s="1" t="inlineStr">
        <is>
          <t>Ortalama_Transit_Gun</t>
        </is>
      </c>
      <c r="F1" s="1" t="inlineStr">
        <is>
          <t>Risk_Skoru</t>
        </is>
      </c>
      <c r="G1" s="1" t="inlineStr">
        <is>
          <t>Tahmini_Navlun_USD</t>
        </is>
      </c>
      <c r="H1" s="1" t="inlineStr">
        <is>
          <t>Gumruk_Zorluk_Skoru</t>
        </is>
      </c>
    </row>
    <row r="2">
      <c r="A2" s="2" t="inlineStr">
        <is>
          <t>Almanya</t>
        </is>
      </c>
      <c r="B2" s="2" t="inlineStr">
        <is>
          <t>Avrupa</t>
        </is>
      </c>
      <c r="C2" s="2" t="inlineStr">
        <is>
          <t>DAP</t>
        </is>
      </c>
      <c r="D2" s="2" t="inlineStr">
        <is>
          <t>Karayolu</t>
        </is>
      </c>
      <c r="E2" s="5" t="n">
        <v>7</v>
      </c>
      <c r="F2" s="5" t="n">
        <v>2</v>
      </c>
      <c r="G2" s="3" t="n">
        <v>2100</v>
      </c>
      <c r="H2" s="5" t="n">
        <v>2</v>
      </c>
    </row>
    <row r="3">
      <c r="A3" s="2" t="inlineStr">
        <is>
          <t>Hollanda</t>
        </is>
      </c>
      <c r="B3" s="2" t="inlineStr">
        <is>
          <t>Avrupa</t>
        </is>
      </c>
      <c r="C3" s="2" t="inlineStr">
        <is>
          <t>DAP</t>
        </is>
      </c>
      <c r="D3" s="2" t="inlineStr">
        <is>
          <t>Denizyolu</t>
        </is>
      </c>
      <c r="E3" s="5" t="n">
        <v>11</v>
      </c>
      <c r="F3" s="5" t="n">
        <v>2</v>
      </c>
      <c r="G3" s="3" t="n">
        <v>2600</v>
      </c>
      <c r="H3" s="5" t="n">
        <v>2</v>
      </c>
    </row>
    <row r="4">
      <c r="A4" s="2" t="inlineStr">
        <is>
          <t>Italya</t>
        </is>
      </c>
      <c r="B4" s="2" t="inlineStr">
        <is>
          <t>Avrupa</t>
        </is>
      </c>
      <c r="C4" s="2" t="inlineStr">
        <is>
          <t>DAP</t>
        </is>
      </c>
      <c r="D4" s="2" t="inlineStr">
        <is>
          <t>Karayolu</t>
        </is>
      </c>
      <c r="E4" s="5" t="n">
        <v>8</v>
      </c>
      <c r="F4" s="5" t="n">
        <v>2</v>
      </c>
      <c r="G4" s="3" t="n">
        <v>2400</v>
      </c>
      <c r="H4" s="5" t="n">
        <v>2</v>
      </c>
    </row>
    <row r="5">
      <c r="A5" s="2" t="inlineStr">
        <is>
          <t>Romanya</t>
        </is>
      </c>
      <c r="B5" s="2" t="inlineStr">
        <is>
          <t>Avrupa</t>
        </is>
      </c>
      <c r="C5" s="2" t="inlineStr">
        <is>
          <t>FCA</t>
        </is>
      </c>
      <c r="D5" s="2" t="inlineStr">
        <is>
          <t>Karayolu</t>
        </is>
      </c>
      <c r="E5" s="5" t="n">
        <v>5</v>
      </c>
      <c r="F5" s="5" t="n">
        <v>2</v>
      </c>
      <c r="G5" s="3" t="n">
        <v>1600</v>
      </c>
      <c r="H5" s="5" t="n">
        <v>2</v>
      </c>
    </row>
    <row r="6">
      <c r="A6" s="2" t="inlineStr">
        <is>
          <t>Polonya</t>
        </is>
      </c>
      <c r="B6" s="2" t="inlineStr">
        <is>
          <t>Avrupa</t>
        </is>
      </c>
      <c r="C6" s="2" t="inlineStr">
        <is>
          <t>DAP</t>
        </is>
      </c>
      <c r="D6" s="2" t="inlineStr">
        <is>
          <t>Karayolu</t>
        </is>
      </c>
      <c r="E6" s="5" t="n">
        <v>9</v>
      </c>
      <c r="F6" s="5" t="n">
        <v>2</v>
      </c>
      <c r="G6" s="3" t="n">
        <v>2500</v>
      </c>
      <c r="H6" s="5" t="n">
        <v>2</v>
      </c>
    </row>
    <row r="7">
      <c r="A7" s="2" t="inlineStr">
        <is>
          <t>BAE</t>
        </is>
      </c>
      <c r="B7" s="2" t="inlineStr">
        <is>
          <t>Orta Doğu</t>
        </is>
      </c>
      <c r="C7" s="2" t="inlineStr">
        <is>
          <t>CIF</t>
        </is>
      </c>
      <c r="D7" s="2" t="inlineStr">
        <is>
          <t>Denizyolu</t>
        </is>
      </c>
      <c r="E7" s="5" t="n">
        <v>18</v>
      </c>
      <c r="F7" s="5" t="n">
        <v>3</v>
      </c>
      <c r="G7" s="3" t="n">
        <v>3700</v>
      </c>
      <c r="H7" s="5" t="n">
        <v>3</v>
      </c>
    </row>
    <row r="8">
      <c r="A8" s="2" t="inlineStr">
        <is>
          <t>Suudi Arabistan</t>
        </is>
      </c>
      <c r="B8" s="2" t="inlineStr">
        <is>
          <t>Orta Doğu</t>
        </is>
      </c>
      <c r="C8" s="2" t="inlineStr">
        <is>
          <t>CIF</t>
        </is>
      </c>
      <c r="D8" s="2" t="inlineStr">
        <is>
          <t>Denizyolu</t>
        </is>
      </c>
      <c r="E8" s="5" t="n">
        <v>21</v>
      </c>
      <c r="F8" s="5" t="n">
        <v>3</v>
      </c>
      <c r="G8" s="3" t="n">
        <v>3950</v>
      </c>
      <c r="H8" s="5" t="n">
        <v>3</v>
      </c>
    </row>
    <row r="9">
      <c r="A9" s="2" t="inlineStr">
        <is>
          <t>Katar</t>
        </is>
      </c>
      <c r="B9" s="2" t="inlineStr">
        <is>
          <t>Orta Doğu</t>
        </is>
      </c>
      <c r="C9" s="2" t="inlineStr">
        <is>
          <t>CIF</t>
        </is>
      </c>
      <c r="D9" s="2" t="inlineStr">
        <is>
          <t>Denizyolu</t>
        </is>
      </c>
      <c r="E9" s="5" t="n">
        <v>20</v>
      </c>
      <c r="F9" s="5" t="n">
        <v>3</v>
      </c>
      <c r="G9" s="3" t="n">
        <v>4050</v>
      </c>
      <c r="H9" s="5" t="n">
        <v>3</v>
      </c>
    </row>
    <row r="10">
      <c r="A10" s="2" t="inlineStr">
        <is>
          <t>Misir</t>
        </is>
      </c>
      <c r="B10" s="2" t="inlineStr">
        <is>
          <t>Kuzey Afrika</t>
        </is>
      </c>
      <c r="C10" s="2" t="inlineStr">
        <is>
          <t>CFR</t>
        </is>
      </c>
      <c r="D10" s="2" t="inlineStr">
        <is>
          <t>Denizyolu</t>
        </is>
      </c>
      <c r="E10" s="5" t="n">
        <v>14</v>
      </c>
      <c r="F10" s="5" t="n">
        <v>4</v>
      </c>
      <c r="G10" s="3" t="n">
        <v>3100</v>
      </c>
      <c r="H10" s="5" t="n">
        <v>4</v>
      </c>
    </row>
    <row r="11">
      <c r="A11" s="2" t="inlineStr">
        <is>
          <t>Cezayir</t>
        </is>
      </c>
      <c r="B11" s="2" t="inlineStr">
        <is>
          <t>Kuzey Afrika</t>
        </is>
      </c>
      <c r="C11" s="2" t="inlineStr">
        <is>
          <t>CFR</t>
        </is>
      </c>
      <c r="D11" s="2" t="inlineStr">
        <is>
          <t>Denizyolu</t>
        </is>
      </c>
      <c r="E11" s="5" t="n">
        <v>16</v>
      </c>
      <c r="F11" s="5" t="n">
        <v>4</v>
      </c>
      <c r="G11" s="3" t="n">
        <v>3300</v>
      </c>
      <c r="H11" s="5" t="n">
        <v>4</v>
      </c>
    </row>
    <row r="12">
      <c r="A12" s="2" t="inlineStr">
        <is>
          <t>Kazakistan</t>
        </is>
      </c>
      <c r="B12" s="2" t="inlineStr">
        <is>
          <t>Orta Asya</t>
        </is>
      </c>
      <c r="C12" s="2" t="inlineStr">
        <is>
          <t>FCA</t>
        </is>
      </c>
      <c r="D12" s="2" t="inlineStr">
        <is>
          <t>Karayolu</t>
        </is>
      </c>
      <c r="E12" s="5" t="n">
        <v>15</v>
      </c>
      <c r="F12" s="5" t="n">
        <v>3</v>
      </c>
      <c r="G12" s="3" t="n">
        <v>3500</v>
      </c>
      <c r="H12" s="5" t="n">
        <v>4</v>
      </c>
    </row>
    <row r="13">
      <c r="A13" s="2" t="inlineStr">
        <is>
          <t>Azerbaycan</t>
        </is>
      </c>
      <c r="B13" s="2" t="inlineStr">
        <is>
          <t>Orta Asya</t>
        </is>
      </c>
      <c r="C13" s="2" t="inlineStr">
        <is>
          <t>FCA</t>
        </is>
      </c>
      <c r="D13" s="2" t="inlineStr">
        <is>
          <t>Karayolu</t>
        </is>
      </c>
      <c r="E13" s="5" t="n">
        <v>9</v>
      </c>
      <c r="F13" s="5" t="n">
        <v>3</v>
      </c>
      <c r="G13" s="3" t="n">
        <v>2300</v>
      </c>
      <c r="H13" s="5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20" customWidth="1" min="4" max="4"/>
    <col width="18" customWidth="1" min="5" max="5"/>
    <col width="12" customWidth="1" min="6" max="6"/>
    <col width="24" customWidth="1" min="7" max="7"/>
    <col width="18" customWidth="1" min="8" max="8"/>
  </cols>
  <sheetData>
    <row r="1">
      <c r="A1" s="7" t="inlineStr">
        <is>
          <t>PMT Benzeri Ihracatci Mock Veri Seti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Referans Firma URL</t>
        </is>
      </c>
      <c r="B2" s="8" t="inlineStr">
        <is>
          <t>https://www.pmtendustriyel.com.tr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Veri Aciklamasi</t>
        </is>
      </c>
      <c r="B3" s="3" t="inlineStr">
        <is>
          <t>Bu workbook tamamen sentetik verilerden uretilmistir; urun ve sektor kurgusu referans siteden esinlenmistir.</t>
        </is>
      </c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9" t="inlineStr">
        <is>
          <t>KPI</t>
        </is>
      </c>
      <c r="B5" s="10" t="inlineStr">
        <is>
          <t>Deger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Toplam Ihracat Ciro USD</t>
        </is>
      </c>
      <c r="B6" s="3">
        <f>SUM(Faturalar!H2:H1048576)</f>
        <v/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Aylik Siparis Adedi</t>
        </is>
      </c>
      <c r="B7" s="11">
        <f>COUNTA(Siparisler!A2:A1048576)/24</f>
        <v/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Aylik Sevkiyat Adedi</t>
        </is>
      </c>
      <c r="B8" s="11">
        <f>COUNTA(Sevkiyatlar!A2:A1048576)/24</f>
        <v/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Ortalama Brut Marj</t>
        </is>
      </c>
      <c r="B9" s="4">
        <f>IFERROR(AVERAGE(Siparis_Kalemleri!M2:M1048576),0)</f>
        <v/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Zamaninda Teslim Orani</t>
        </is>
      </c>
      <c r="B10" s="4">
        <f>IFERROR(COUNTIF(Siparisler!N2:N1048576,0)/COUNTA(Siparisler!A2:A1048576),0)</f>
        <v/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Ortalama Tahsilat Gecikmesi (Gun)</t>
        </is>
      </c>
      <c r="B11" s="3">
        <f>IFERROR(AVERAGE(Tahsilatlar!G2:G1048576),0)</f>
        <v/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Geciken Acik Alacak USD</t>
        </is>
      </c>
      <c r="B12" s="3">
        <f>SUMIF(Faturalar!J2:J1048576,"Acik",Faturalar!H2:H1048576)-SUMIF(Tahsilatlar!H2:H1048576,"Kismi",Tahsilatlar!E2:E1048576)</f>
        <v/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Aktif Musteri Sayisi</t>
        </is>
      </c>
      <c r="B13" s="3">
        <f>COUNTIF(Musteriler!N2:N1048576,"Aktif")</f>
        <v/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Aktif Urun Sayisi</t>
        </is>
      </c>
      <c r="B14" s="3">
        <f>COUNTIF(Urunler!N2:N1048576,"Aktif")</f>
        <v/>
      </c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12" t="inlineStr">
        <is>
          <t>En Buyuk 10 Musteri</t>
        </is>
      </c>
      <c r="B18" s="2" t="n"/>
      <c r="C18" s="2" t="n"/>
      <c r="D18" s="12" t="inlineStr">
        <is>
          <t>Bolge Bazli Satis Dagilimi</t>
        </is>
      </c>
      <c r="E18" s="2" t="n"/>
      <c r="F18" s="2" t="n"/>
      <c r="G18" s="12" t="inlineStr">
        <is>
          <t>Urun Ailesi Bazli Ciro</t>
        </is>
      </c>
      <c r="H18" s="2" t="n"/>
    </row>
    <row r="19">
      <c r="A19" s="9" t="inlineStr">
        <is>
          <t>Firma</t>
        </is>
      </c>
      <c r="B19" s="10" t="inlineStr">
        <is>
          <t>Toplam Fatura USD</t>
        </is>
      </c>
      <c r="C19" s="2" t="n"/>
      <c r="D19" s="9" t="inlineStr">
        <is>
          <t>Bolge</t>
        </is>
      </c>
      <c r="E19" s="10" t="inlineStr">
        <is>
          <t>Toplam Fatura USD</t>
        </is>
      </c>
      <c r="F19" s="2" t="n"/>
      <c r="G19" s="9" t="inlineStr">
        <is>
          <t>Urun Ailesi</t>
        </is>
      </c>
      <c r="H19" s="10" t="inlineStr">
        <is>
          <t>Toplam Siparis USD</t>
        </is>
      </c>
    </row>
    <row r="20">
      <c r="A20" s="2" t="inlineStr">
        <is>
          <t>Nova Energy BV</t>
        </is>
      </c>
      <c r="B20" s="3" t="n">
        <v>335026.34</v>
      </c>
      <c r="C20" s="2" t="n"/>
      <c r="D20" s="2" t="inlineStr">
        <is>
          <t>Avrupa</t>
        </is>
      </c>
      <c r="E20" s="3" t="n">
        <v>4705261.88</v>
      </c>
      <c r="F20" s="2" t="n"/>
      <c r="G20" s="2" t="inlineStr">
        <is>
          <t>Endustriyel Vana</t>
        </is>
      </c>
      <c r="H20" s="3" t="n">
        <v>4780876.03</v>
      </c>
    </row>
    <row r="21">
      <c r="A21" s="2" t="inlineStr">
        <is>
          <t>Blue Chem LLC</t>
        </is>
      </c>
      <c r="B21" s="3" t="n">
        <v>304348.88</v>
      </c>
      <c r="C21" s="2" t="n"/>
      <c r="D21" s="2" t="inlineStr">
        <is>
          <t>Kuzey Afrika</t>
        </is>
      </c>
      <c r="E21" s="3" t="n">
        <v>1506754.23</v>
      </c>
      <c r="F21" s="2" t="n"/>
      <c r="G21" s="2" t="inlineStr">
        <is>
          <t>Flans Izolasyon Kiti</t>
        </is>
      </c>
      <c r="H21" s="3" t="n">
        <v>980020.85</v>
      </c>
    </row>
    <row r="22">
      <c r="A22" s="2" t="inlineStr">
        <is>
          <t>Apex Systems BV</t>
        </is>
      </c>
      <c r="B22" s="3" t="n">
        <v>281686.62</v>
      </c>
      <c r="C22" s="2" t="n"/>
      <c r="D22" s="2" t="inlineStr">
        <is>
          <t>Orta Asya</t>
        </is>
      </c>
      <c r="E22" s="3" t="n">
        <v>1398375.82</v>
      </c>
      <c r="F22" s="2" t="n"/>
      <c r="G22" s="2" t="inlineStr">
        <is>
          <t>Karistirici / Mikser</t>
        </is>
      </c>
      <c r="H22" s="3" t="n">
        <v>1222784.91</v>
      </c>
    </row>
    <row r="23">
      <c r="A23" s="2" t="inlineStr">
        <is>
          <t>Prime Technik SARL</t>
        </is>
      </c>
      <c r="B23" s="3" t="n">
        <v>278070.1</v>
      </c>
      <c r="C23" s="2" t="n"/>
      <c r="D23" s="2" t="inlineStr">
        <is>
          <t>Orta Doğu</t>
        </is>
      </c>
      <c r="E23" s="3" t="n">
        <v>2217089.68</v>
      </c>
      <c r="F23" s="2" t="n"/>
      <c r="G23" s="2" t="inlineStr">
        <is>
          <t>Mekanik Sizdirmazlik</t>
        </is>
      </c>
      <c r="H23" s="3" t="n">
        <v>1076155.16</v>
      </c>
    </row>
    <row r="24">
      <c r="A24" s="2" t="inlineStr">
        <is>
          <t>Delta Technik GmbH</t>
        </is>
      </c>
      <c r="B24" s="3" t="n">
        <v>275832.3</v>
      </c>
      <c r="C24" s="2" t="n"/>
      <c r="D24" s="2" t="n"/>
      <c r="E24" s="2" t="n"/>
      <c r="F24" s="2" t="n"/>
      <c r="G24" s="2" t="inlineStr">
        <is>
          <t>Proses Tanki</t>
        </is>
      </c>
      <c r="H24" s="3" t="n">
        <v>741470.91</v>
      </c>
    </row>
    <row r="25">
      <c r="A25" s="2" t="inlineStr">
        <is>
          <t>Prime Chem Ltd</t>
        </is>
      </c>
      <c r="B25" s="3" t="n">
        <v>267494.33</v>
      </c>
      <c r="C25" s="2" t="n"/>
      <c r="D25" s="2" t="n"/>
      <c r="E25" s="2" t="n"/>
      <c r="F25" s="2" t="n"/>
      <c r="G25" s="2" t="inlineStr">
        <is>
          <t>Yardimci Endustriyel Ekipman</t>
        </is>
      </c>
      <c r="H25" s="3" t="n">
        <v>1026173.75</v>
      </c>
    </row>
    <row r="26">
      <c r="A26" s="2" t="inlineStr">
        <is>
          <t>Nord Gulf LLC</t>
        </is>
      </c>
      <c r="B26" s="3" t="n">
        <v>259234.85</v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Atlas Process FZC</t>
        </is>
      </c>
      <c r="B27" s="3" t="n">
        <v>253569.6</v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Atlas Flow LLC</t>
        </is>
      </c>
      <c r="B28" s="3" t="n">
        <v>230517.94</v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Blue Solutions Ltd</t>
        </is>
      </c>
      <c r="B29" s="3" t="n">
        <v>225538.03</v>
      </c>
      <c r="C29" s="2" t="n"/>
      <c r="D29" s="2" t="n"/>
      <c r="E29" s="2" t="n"/>
      <c r="F29" s="2" t="n"/>
      <c r="G29" s="2" t="n"/>
      <c r="H29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PMT Benzeri Ihracatci Mock Veri Seti</dc:title>
  <dcterms:created xsi:type="dcterms:W3CDTF">2026-03-17T20:35:08Z</dcterms:created>
  <dcterms:modified xsi:type="dcterms:W3CDTF">2026-03-17T20:35:09Z</dcterms:modified>
</cp:coreProperties>
</file>